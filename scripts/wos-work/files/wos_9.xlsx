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<sst xmlns="http://schemas.openxmlformats.org/spreadsheetml/2006/main" count="65635" uniqueCount="9904">
  <si>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</si>
  <si>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</si>
  <si>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</si>
  <si>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</si>
  <si>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</si>
  <si>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</si>
  <si>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</si>
  <si>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</si>
  <si>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</si>
  <si>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</si>
  <si>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</si>
  <si>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</si>
  <si>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</si>
  <si>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</si>
  <si>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</si>
  <si>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</si>
  <si>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</si>
  <si>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</si>
  <si>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</si>
  <si>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</si>
  <si>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</si>
  <si>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</si>
  <si>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</si>
  <si>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</si>
  <si>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</si>
  <si>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</si>
  <si>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</si>
  <si>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</si>
  <si>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</si>
  <si>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</si>
  <si>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</si>
  <si>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</si>
  <si>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</si>
  <si>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</si>
  <si>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</si>
  <si>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</si>
  <si>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</si>
  <si>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</si>
  <si>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</si>
  <si>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</si>
  <si>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</si>
  <si>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</si>
  <si>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</si>
  <si>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</si>
  <si>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</si>
  <si>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</si>
  <si>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</si>
  <si>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</si>
  <si>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</si>
  <si>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</si>
  <si>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</si>
  <si>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</si>
  <si>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</si>
  <si>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</si>
  <si>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</si>
  <si>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</si>
  <si>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</si>
  <si>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</si>
  <si>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</si>
  <si>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</si>
  <si>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</si>
  <si>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</si>
  <si>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</si>
  <si>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</si>
  <si>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</si>
  <si>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</si>
  <si>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</si>
  <si>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</si>
  <si>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</si>
  <si>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</si>
  <si>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</si>
  <si>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</si>
  <si>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</si>
  <si>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Duque, F; Fabila-Monroy, R; Hidalgo-Toscano, C; Pérez-Lantero, P</t>
  </si>
  <si>
    <t/>
  </si>
  <si>
    <t>Duque, F.; Fabila-Monroy, R.; Hidalgo-Toscano, C.; Perez-Lantero, P.</t>
  </si>
  <si>
    <t>NON-CROSSING MONOTONE PATHS AND BINARY TREES IN EDGE-ORDERED COMPLETE GEOMETRIC GRAPHS</t>
  </si>
  <si>
    <t>ACTA MATHEMATICA HUNGARICA</t>
  </si>
  <si>
    <t>An edge-ordered graph is a graph with a total ordering of its edges. A path P = v(1)v(2) . . . v(k) in an edge-ordered graph is called increasing if (v(i)v(i) + 1) &lt; (v(i)+(1)v(i)+2) for all i = 1, . . . , k - 2; and it is called decreasing if (v(i)v(i)+ 1) &gt; (v(i)+(1)v(i)+2) for all i = 1, . . . , k - 2. We say that P is monotone if it is increasing or decreasing. A rooted tree T in an edge-ordered graph is called monotone if either every path from the root to a leaf is increasing or every path from the root to a leaf is decreasing. Let G be a graph. In a straight-line drawing D of G, its vertices are drawn as different points in the plane and its edges are straight line segments. Let (alpha) over bar (G) be the largest integer such that every edge-ordered straight-line drawing of G contains a monotone non-crossing path of length (alpha) over bar (G). Let (tau) over bar (G) be the largest integer such that every edge-ordered straight-line drawing of G contains a monotone non-crossing complete binary tree of (tau) over bar (G) edges. In this paper we show that (alpha) over bar (K-n) = Omega(log log n), (alpha) over bar (K-n) = O(log n), (tau) over bar (K-n) = Omega(log log log n) and (tau) over bar (K-n) = Omega(root n log n).</t>
  </si>
  <si>
    <t>Fabila-Monroy, Ruy/A-2890-2016</t>
  </si>
  <si>
    <t>0236-5294</t>
  </si>
  <si>
    <t>1588-2632</t>
  </si>
  <si>
    <t>OCT</t>
  </si>
  <si>
    <t>10.1007/s10474-021-01166-2</t>
  </si>
  <si>
    <t>SEP 2021</t>
  </si>
  <si>
    <t>WOS:000692303800011</t>
  </si>
  <si>
    <t>Cerda, A; Quilaqueo, M; Barros, L; Seriche, G; Gim-Krumm, M; Santoro, S; Avci, AH; Romero, J; Curcio, E; Estay, H</t>
  </si>
  <si>
    <t>Cerda, Amanda; Quilaqueo, Michelle; Barros, Lorena; Seriche, Gabriel; Gim-Krumm, Minghai; Santoro, Sergio; Avci, Ahmet H.; Romero, Julio; Curcio, Efrem; Estay, Humberto</t>
  </si>
  <si>
    <t>Recovering water from lithium-rich brines by a fractionation process based on membrane distillation-crystallization</t>
  </si>
  <si>
    <t>JOURNAL OF WATER PROCESS ENGINEERING</t>
  </si>
  <si>
    <t>In recent years, lithium production has been increasing as a result of the growing market demand. Salt-lake brines are one of the main sources of raw lithium, which can be concentrated and purified by natural evaporation. This time-consuming production causes a loss of around 85-95 % of the water contained in the extracted brine. In this context, new technologies could replace the current process with the aim to improve the water management by recognizing the evaporated water as a critical resource. This study proposes a novel fractionation method, based on a membrane distillation-crystallization process, for concentrating and purifying the lithium brine while recovering fresh water. Synthetic brines containing the major components present in Li-rich brines were assessed at different temperatures, reaching a water flux higher than 3.0 kg/m(2)h at 50 degrees C. The process was continuously protracted achieving the fractionation of Na and K salts by controlling the supersaturation of the brine and crystallization. Subsequently, the observed water flux for Mg brine was 0.22 kg/m(2)h as a result of the water activity decline at high brine concentration (&gt;7.0 mol/kgH(2)O). Moreover, thermodynamic speciation simulation supported the potentialities of this process, showing the capacity to recover around 95 % of the water contained in real brines from salt-lakes after three stages of separation. Overall, a conceptual flow-sheet of a new membrane-based fractional crystallization method was proposed for: i) the intensification of the brine concentration; ii) the recovery of water (up to 95 %); iii) the brine purification from in presence of major ions (i.e. Li, Na, K and Mg).</t>
  </si>
  <si>
    <t>Santoro, Sergio/AAL-9668-2020; Romero, Julio/I-6705-2013; Estay, Humberto/I-3499-2017</t>
  </si>
  <si>
    <t>Romero, Julio/0000-0002-1229-1592; Santoro, Sergio/0000-0001-7687-0780; Gim Krumm, Minghai/0000-0003-0450-4751; Avci, Ahmet Halil/0000-0002-5504-4831; Estay, Humberto/0000-0001-8518-7131</t>
  </si>
  <si>
    <t>2214-7144</t>
  </si>
  <si>
    <t>JUN</t>
  </si>
  <si>
    <t>10.1016/j.jwpe.2021.102063</t>
  </si>
  <si>
    <t>WOS:000663322400009</t>
  </si>
  <si>
    <t>Fernández, AM; Baeza, CG; Pavez, P; Aldunate, N</t>
  </si>
  <si>
    <t>Fernandez, Ana Maria; Baeza, Carmen Gloria; Pavez, Paula; Aldunate, Nerea</t>
  </si>
  <si>
    <t>Chilean Version of the Empathy Quotient (EQ) Scale: Adaptation and Psychometric Properties</t>
  </si>
  <si>
    <t>SPANISH JOURNAL OF PSYCHOLOGY</t>
  </si>
  <si>
    <t>We evaluated the psychometric properties of the empathy quotient (EQ) scale translated to Spanish in Chile. We estimated its structural validity, and its construct validity with other convergent measures of empathy and attachment, as well an inversely associated construct such as aggression. We used a general sample of students and community individuals (n = 336). Participants completed the EQ, Interpersonal Reactivity Index (IRI), and Buss-Perry Aggression Questionnaire (BPAQ). Another exclusively community group (n = 102) completed Collins Adult Attachment scale and the EQ. CFA and ESEM analyses confirmed the structural model fit of the data to three previously reported dimensions of the EQ: cognitive empathy (CE), emotional reactivity (ER) and social skills (SS). Sex-differences in emotional reactivity, and the predicted relationships with the convergent measures were observed. The current Chilean version of the EQ resulted in an appropriate multidimensional measurement of empathy. Finally, providing a specific social skills dimension extends the traditional conception of cognitive and affective empathy to the social realm in the Chilean context.</t>
  </si>
  <si>
    <t>Aldunate, Nerea/AAP-7739-2020; pavez, paula/ITT-0755-2023; Fernandez, Ana Maria/E-6429-2011</t>
  </si>
  <si>
    <t>Aldunate, Nerea/0000-0002-7020-9403; Pavez Salinas, Paula Andrea/0000-0001-7829-8490; Fernandez, Ana Maria/0000-0003-4132-5891; Baeza Ugarte, Carmen Gloria/0000-0001-5316-3397</t>
  </si>
  <si>
    <t>1138-7416</t>
  </si>
  <si>
    <t>1988-2904</t>
  </si>
  <si>
    <t>APR 8</t>
  </si>
  <si>
    <t>e24</t>
  </si>
  <si>
    <t>10.1017/SJP.2021.26</t>
  </si>
  <si>
    <t>WOS:000637739500001</t>
  </si>
  <si>
    <t>Pérez-Torrado, R; Cubillos, FA</t>
  </si>
  <si>
    <t>Perez-Torrado, Roberto; Cubillos, Francisco A.</t>
  </si>
  <si>
    <t>Editorial: New Advances in Genetic Studies to Understand Yeast Adaptation to Extreme and Fermentative Environments</t>
  </si>
  <si>
    <t>FRONTIERS IN GENETICS</t>
  </si>
  <si>
    <t>Torrado, Roberto/E-7613-2012; Cubillos, Francisco/MIT-2389-2025; Cubillos, Francisco/G-5195-2019</t>
  </si>
  <si>
    <t>Cubillos, Francisco/0000-0003-3022-469X</t>
  </si>
  <si>
    <t>1664-8021</t>
  </si>
  <si>
    <t>MAR 11</t>
  </si>
  <si>
    <t>10.3389/fgene.2021.663641</t>
  </si>
  <si>
    <t>WOS:000632424400001</t>
  </si>
  <si>
    <t>Melo, F; Caballero, L; Zamorano, E; Ventura, N; Navarro, C; Doll, I; Zamorano, P; Cornejo, A</t>
  </si>
  <si>
    <t>Melo, Francisco; Caballero, Leonardo; Zamorano, Esteban; Ventura, Natalia; Navarro, Camilo; Doll, Irving; Zamorano, Pedro; Cornejo, Alberto</t>
  </si>
  <si>
    <t>The Cytotoxic Effect of α-Synuclein Aggregates</t>
  </si>
  <si>
    <t>CHEMPHYSCHEM</t>
  </si>
  <si>
    <t>Parkinson's disease is a neurodegenerative disorder involving a functional protein, alpha-synuclein, whose primary function is related to vesicle trafficking. However, alpha-synuclein is prone to form aggregates, and these inclusions, known as Lewy bodies, are the hallmark of Parkinson's disease. alpha-synuclein can alter its conformation and acquire aggregating capacity, forming aggregates containing beta-sheets. This protein's pathogenic importance is based on its ability to form oligomers that impair synaptic transmission and neuronal function by increasing membrane permeability and altering homeostasis, generating a deleterious effect over cells. First, we establish that oligomers interfere with the mechanical properties of 1,2-dioleoyl-sn-glycero-3-phosphocholine (DOPC) membrane, as demonstrated by nanoindentation curves. In contrast, nanoindentation revealed that the alpha-synuclein monomer's presence leads to a much more resistant lipid bilayer. Moreover, the oligomers' interaction with cell membranes can promote lactate dehydrogenase (LDH) release, suggesting the activation of cytotoxic events.</t>
  </si>
  <si>
    <t>Cornejo, Alberto/AAE-7978-2022; Melo, Francisco/M-3923-2014</t>
  </si>
  <si>
    <t>Cornejo, Alberto/0000-0003-0837-4130; Melo, Francisco Esteban/0000-0001-6818-5476</t>
  </si>
  <si>
    <t>1439-4235</t>
  </si>
  <si>
    <t>1439-7641</t>
  </si>
  <si>
    <t>MAR 17</t>
  </si>
  <si>
    <t>10.1002/cphc.202000831</t>
  </si>
  <si>
    <t>FEB 2021</t>
  </si>
  <si>
    <t>WOS:000618366700001</t>
  </si>
  <si>
    <t>Guerrero, K; Gallardo, R; Paredes, I; Quintero, J; Mau, S; Conejeros, R; Gentina, JC; Aroca, G</t>
  </si>
  <si>
    <t>Guerrero, Karlo; Gallardo, Roberto; Paredes, Ivan; Quintero, Julian; Mau, Silvia; Conejeros, Raul; Carlos Gentina, Juan; Aroca, German</t>
  </si>
  <si>
    <t>Continuous biohydrogen production by a degenerated strain of Clostridium acetobutylicum ATCC 824</t>
  </si>
  <si>
    <t>INTERNATIONAL JOURNAL OF HYDROGEN ENERGY</t>
  </si>
  <si>
    <t>Degenerated strains of Clostridium acetobutylicum lack the ability to produce solvents and to sporulate, allowing the continuous production of hydrogen and organic acids. A degenerated strain of Clostridium acetobutylicum was obtained through successive batch cultures. Its kinetic characterization showed a similar specific growth rate than the wild type (0.25 h(-1)), a higher butyric acid production of 6.8 g-L-1 and no solvents production. A steady state was reached in a continuous culture at a dilution rate of 0.1 h(-1), with a constant hydrogen production of 507 mL.h(-1), corresponding to a volumetric rate of 6.10 L.L(-1)d(-1), and a yield of 2.39 mol of H-2 per mole of glucose which represents 60% of the theoretical maximum yield. These results suggest that the degeneration is an interesting alternative for hydrogen production with this strain, obtaining a high hydrogen production in a continuous culture with cells in a permanent acidogenic state. (C) 2020 Hydrogen Energy Publications LLC. Published by Elsevier Ltd. All rights reserved.</t>
  </si>
  <si>
    <t>Quintero, Julian/KHY-7891-2024; Guerrero, Karlo/LZE-6955-2025; Gallardo, Roberto/AAN-6510-2021; Aroca, German/ABG-6714-2020; Conejeros, Raul/A-2466-2011; Aroca, German/B-3798-2011</t>
  </si>
  <si>
    <t>Guerrero Munoz, Karlo Antonio/0000-0002-4849-536X; Mau Inchaustegui, Silvia/0000-0002-9775-7442; Aroca, German/0000-0003-1376-7940; Gentina, Juan Carlos/0000-0002-1265-9828</t>
  </si>
  <si>
    <t>0360-3199</t>
  </si>
  <si>
    <t>1879-3487</t>
  </si>
  <si>
    <t>JAN 27</t>
  </si>
  <si>
    <t>10.1016/j.ijhydene.2020.11.104</t>
  </si>
  <si>
    <t>JAN 2021</t>
  </si>
  <si>
    <t>WOS:000608682100001</t>
  </si>
  <si>
    <t>García-Hermoso, A; Ramírez-Vélez, R; García-Alonso, Y; Alonso-Martínez, AM; Izquierdo, M</t>
  </si>
  <si>
    <t>Garcia-Hermoso, Antonio; Ramirez-Velez, Robinson; Garcia-Alonso, Yesenia; Alonso-Martinez, Alicia M.; Izquierdo, Mikel</t>
  </si>
  <si>
    <t>Association of Cardiorespiratory Fitness Levels During Youth With Health Risk Later in Life: A Systematic Review and Meta-analysis</t>
  </si>
  <si>
    <t>JAMA PEDIATRICS</t>
  </si>
  <si>
    <t>Key PointsQuestionIs cardiorespiratory fitness associated with future health benefits in children and adolescents? FindingsThis systematic review and meta-analysis of 55 studies that included 37563 youths revealed that cardiorespiratory fitness levels and change over approximately 1 year during youth were associated with lower risk of developing obesity and cardiometabolic disease later in life. These early associations detected from baseline to follow-up dissipated over time. MeaningThe study suggests that prevention strategies that target youth cardiorespiratory fitness may be associated with improved health parameters in later life. ImportanceAlthough the associations between cardiorespiratory fitness (CRF) and health in adults are well understood, to date, no systematic review has quantitatively examined the association between CRF during youth and health parameters later in life. ObjectivesTo examine the prospective association between CRF in childhood and adolescence and future health status and to assess whether changes in CRF are associated with future health status at least 1 year later. Data SourcesFor this systematic review and meta-analysis, MEDLINE, Embase, and SPORTDiscus electronic databases were searched for relevant articles published from database inception to January 30, 2020. Study SelectionThe following inclusion criteria were used: CRF measured using a validated test and assessed at baseline and/or its change from baseline to the end of follow-up, healthy population with a mean age of 3 to 18 years at baseline, and prospective cohort design with a follow-up period of at least 1 year. Data Extraction and SynthesisData were processed according to the Preferred Reporting Items for Systematic Reviews and Meta-Analyses (PRISMA). Random-effects models were used to estimate the pooled effect size. Main Outcomes and MeasuresAnthropometric and adiposity measurements and cardiometabolic health parameters. ResultsFifty-five studies were included with a total of 37563 youths (46% female). Weak-moderate associations were found between CRF at baseline and body mass index (r=-0.11; 95% CI, -0.18 to -0.04; I-2=59.03), waist circumference (r=-0.29; 95% CI, -0.42 to -0.14; I-2=69.42), skinfold thickness (r=-0.34; 95% CI, -0.41 to -0.26; I-2=83.87), obesity (r=-0.15; 95% CI, -0.23 to -0.06; I-2=86.75), total cholesterol level (r=-0.12; 95% CI, -0.19 to -0.05; I-2=75.81), high-density lipoprotein cholesterol (HDL-C) level (r=0.11; 95% CI, 0.05-0.18; I-2=69.06), total cholesterol to HDL-C ratio (r=-0.19; 95% CI, -0.26 to -0.13; I-2=67.07), triglyceride levels (r=-0.10; 95% CI, -0.18 to -0.02; I-2=73.43), homeostasis model assessment for insulin resistance (r=-0.12; 95% CI, -0.18 to -0.06; I-2=68.26), fasting insulin level (r=-0.07; 95% CI, -0.11 to -0.03; I-2=0), and cardiometabolic risk (r=-0.18; 95% CI, -0.29 to -0.07; I-2=90.61) at follow-up. Meta-regression analyses found that early associations in waist circumference (beta =0.014; 95% CI, 0.002-0.026), skinfold thickness (beta =0.006; 95% CI, 0.002-0.011), HDL-C level (beta=-0.006; 95% CI, -0.011 to -0.001), triglyceride levels (beta =0.009; 95% CI, 0.004-0.014), and cardiometabolic risk (beta =0.007; 95% CI, 0.003-0.011) from baseline to follow-up dissipated over time. Weak-moderate associations were found between change in CRF and body mass index (r=-0.17; 95% CI, -0.24 to -0.11; I-2=39.65), skinfold thickness (r=-0.36; 95% CI, -0.58 to -0.09; I-2=96.84), obesity (r=-0.21; 95% CI, -0.35 to -0.06; I-2=91.08), HDL-C level (r=0.05; 95% CI, 0.02-0.08; I-2=0), low-density lipoprotein cholesterol level (r=-0.06; 95% CI, -0.11 to -0.01; I-2=58.94), and cardiometabolic risk (r=-0.08; 95% CI, -0.15 to -0.02; I-2=69.53) later in life. Conclusions and RelevanceThis study suggests that early intervention and prevention strategies that target youth CRF may be associated with maintaining health parameters in later life. This systematic review and meta-analysis examines the prospective association between cardiorespiratory fitness in childhood and adolescence and health status later in life.</t>
  </si>
  <si>
    <t>García-Hermoso, Antonio/ADU-2591-2022; Ramirez-Velez, Robinson/D-5311-2016; Alonso-Martinez, Alicia M./KYR-7889-2024; Garcia-Hermoso, Antonio/P-1857-2017; Izquierdo, Mikel/A-4894-2010</t>
  </si>
  <si>
    <t>Ramirez-Velez, Robinson/0000-0003-3075-6960; Alonso-Martinez, Alicia M./0000-0002-7204-696X; Garcia-Hermoso, Antonio/0000-0002-1397-7182; Izquierdo, Mikel/0000-0002-1506-4272</t>
  </si>
  <si>
    <t>2168-6203</t>
  </si>
  <si>
    <t>2168-6211</t>
  </si>
  <si>
    <t>10.1001/jamapediatrics.2020.2400</t>
  </si>
  <si>
    <t>WOS:000593804800009</t>
  </si>
  <si>
    <t>Verdejo, H; Awerkin, A; Kliemann, W; Becker, C</t>
  </si>
  <si>
    <t>Verdejo, Humberto; Awerkin, Almendra; Kliemann, Wolfgang; Becker, Cristhian</t>
  </si>
  <si>
    <t>Modelling uncertainties in electrical power systems with stochastic differential equations</t>
  </si>
  <si>
    <t>INTERNATIONAL JOURNAL OF ELECTRICAL POWER &amp; ENERGY SYSTEMS</t>
  </si>
  <si>
    <t>The presence of uncertainties in electrical power systems is a critical issue due to the effects that those perturbations can induce in the quality, safety and economy of the electrical supply. An accurate representation of these phenomena is needed in order to understand and predict possible damage scenarios, which allows the improvement of system operation. In this context, the method of stochastic differential equations provides a dynamic representation of power systems under continuous time uncertainties. Thus, this paper presents the application of stochastic differential equation in power system analysis and explain a systematic methodology to get a representative model of a perturbation, including estimation methods and a validation procedure. Three real examples are given, two of them related to non-conventional energy resources and the third related to energy consumption.</t>
  </si>
  <si>
    <t>0142-0615</t>
  </si>
  <si>
    <t>1879-3517</t>
  </si>
  <si>
    <t>DEC</t>
  </si>
  <si>
    <t>10.1016/j.ijepes.2019.05.054</t>
  </si>
  <si>
    <t>WOS:000477784100028</t>
  </si>
  <si>
    <t>Eugenin, JL; Olivares, MJS; Beltran-Castillo, S; von Bernhardi, RM</t>
  </si>
  <si>
    <t>Eugenin, J. L.; Olivares, M. J. S.; Beltran-Castillo, S.; von Bernhardi, R. M.</t>
  </si>
  <si>
    <t>Astrocytes from caudal medulla contribute to central respiratory chemoreception</t>
  </si>
  <si>
    <t>GLIA</t>
  </si>
  <si>
    <t>14th European Meeting on Glial Cells in Health and Disease (GLIA)</t>
  </si>
  <si>
    <t>JUL 10-13, 2019</t>
  </si>
  <si>
    <t>Porto, PORTUGAL</t>
  </si>
  <si>
    <t>von Bernhardi, Rommy/IAO-3764-2023; Beltran Castillo, Sebastian/AAT-2028-2021; Olivares, María/M-9606-2017</t>
  </si>
  <si>
    <t>0894-1491</t>
  </si>
  <si>
    <t>1098-1136</t>
  </si>
  <si>
    <t>JUL</t>
  </si>
  <si>
    <t>S1</t>
  </si>
  <si>
    <t>T09-079B</t>
  </si>
  <si>
    <t>E372</t>
  </si>
  <si>
    <t>E373</t>
  </si>
  <si>
    <t>WOS:000502867402066</t>
  </si>
  <si>
    <t>Acuña-Carvajal, F; Pinto-Tarazona, L; López-Ospina, H; Barros-Castro, R; Quezada, L; Palacio, K</t>
  </si>
  <si>
    <t>Acuna-Carvajal, Felipe; Pinto-Tarazona, Leonardo; Lopez-Ospina, Hector; Barros-Castro, Ricardo; Quezada, Luis; Palacio, Katherine</t>
  </si>
  <si>
    <t>An integrated method to plan, structure and validate a business strategy using fuzzy DEMATEL and the balanced scorecard</t>
  </si>
  <si>
    <t>EXPERT SYSTEMS WITH APPLICATIONS</t>
  </si>
  <si>
    <t>Strategy literature has mainly focused on conceptual tools to support stages of the planning and structuring of the strategy within the context of a Balanced Scorecard (BSC). Recently, quantitative tools based on multi-criteria decision-making methods (MCDM) have received more attention; however, studies still have limitations. Such is the case of Fuzzy DEMATEL, which has been proposed in the literature, but not integrated within the whole process of strategy formulation. In addition, studies have presented weaknesses by not considering, for instance, the logical structure of a strategy map. Hence, the main objective of this study is to propose the development of a method that supports the overall process of planning, structuring and validating a business unit strategy while overcoming the limitations of previous works, considering the subjectivity of decision-making in the construction of strategy maps. To fulfil these purposes, this study proposes an extension of the work of Lopez-Ospina et al. (2017) entitled A method for designing strategy maps using DEMATEL and linear programming, by integrating fuzzy logic and traditional, conceptual and qualitative tools to support the diagnosis and strategy design. The significant contributions of this work is that it overcomes limitations of previous methods by providing: (1) a logic structure of strategy maps; (2) integration of subjectivity within the overall formulation process of the strategy; (3) selection of the most important relationships between strategy objectives to explain efficiently, functionally, and easily the route map of a strategy; and (4) integration of traditional qualitative tools with quantitative tools, making the process robust and holistic. The proposed method was applied to an Official Banking business unit of a Colombian bank, where expert judgment for strategy formulation helps to test the effect of the methodological design. (C) 2019 Elsevier Ltd. All rights reserved.</t>
  </si>
  <si>
    <t>Palacio, Katherine/HNQ-6799-2023; Quezada, Luis/W-8168-2019</t>
  </si>
  <si>
    <t>Barros-Castro, Ricardo A./0000-0002-3708-4522; Lopez-Ospina, Hector/0000-0001-8144-6394; PALACIO SALGAR, KATHERINE/0000-0001-6134-7700</t>
  </si>
  <si>
    <t>0957-4174</t>
  </si>
  <si>
    <t>1873-6793</t>
  </si>
  <si>
    <t>MAY 15</t>
  </si>
  <si>
    <t>10.1016/j.eswa.2019.01.030</t>
  </si>
  <si>
    <t>WOS:000458589900027</t>
  </si>
  <si>
    <t>García-Macías, E; Guzmán, CF; Flores, EIS; Castro-Triguero, R</t>
  </si>
  <si>
    <t>Garcia-Macias, Enrique; Felipe Guzman, Carlos; Saavedra Flores, Erick I.; Castro-Triguero, Rafael</t>
  </si>
  <si>
    <t>Multiscale modeling of the elastic moduli of CNT-reinforced polymers and fitting of efficiency parameters for the use of the extended rule-of-mixtures</t>
  </si>
  <si>
    <t>COMPOSITES PART B-ENGINEERING</t>
  </si>
  <si>
    <t>In this work, a bottom-up multiscale modeling approach is developed to estimate the effective elastic moduli of Carbon NanoTube (CNT)-reinforced polymer composites. The homogenization process comprises two successive steps, including an atomistic-based computational model and a micromechanics approach at the nano- and micro-scales, respectively. Firstly, the atomistic-based finite element model defines a cylindrical Representative Volume Element (RVE) that accounts for a carbon nanotube, the immediately surrounding matrix, and the CNT/polymer interface. The carbon-carbon bonds of the CNT are modeled using Timoshenko beams, whilst three-dimensional solid elements are used for the surrounding matrix. Through the application of four loading conditions, the RVEs are homogenized into transversely isotropic equivalent fibers by equating the associated strain energies. Secondly, the equivalent fibers are employed in a micromechanics approach to estimate the macroscopic response of non-dilute composites. This is performed using both the analytical Mon-Tanaka model and a computational RVE model with a hexagonal packing geometry. A wide spectrum of single- and multi-walled carbon nanotubes are studied, as well as two different polymeric matrices. Furthermore, the so-called efficiency parameters, imperative for the application of the simplified extended rule of mixtures, are characterized by polynomial expressions for practical filler contents. Finally, detailed parametric analyses are also provided to give insight into the sensitivity of the macroscopic response of CNT-reinforced polymer composites to micro structural features such as filler volume fraction, chirality or aspect ratio.</t>
  </si>
  <si>
    <t>Flores, Erick/I-7646-2012; Guzman, Carlos Felipe/D-7722-2013; Garcia-Macias, Enrique/L-2005-2015; Castro Triguero, Rafael/C-2564-2019</t>
  </si>
  <si>
    <t>Guzman, Carlos Felipe/0000-0002-5537-3854; Garcia-Macias, Enrique/0000-0001-5557-144X; Castro Triguero, Rafael/0000-0002-2937-1118</t>
  </si>
  <si>
    <t>1359-8368</t>
  </si>
  <si>
    <t>1879-1069</t>
  </si>
  <si>
    <t>FEB 15</t>
  </si>
  <si>
    <t>10.1016/j.compositesb.2018.09.057</t>
  </si>
  <si>
    <t>WOS:000461843800011</t>
  </si>
  <si>
    <t>C</t>
  </si>
  <si>
    <t>Díaz, H; Cid, FM; Flores, E; Gárate, E; Muñoz, S</t>
  </si>
  <si>
    <t>HerreraViedma, E; Shi, Y; Berg, D; Tien, J; Cabrerizo, FJ; Li, J</t>
  </si>
  <si>
    <t>Diaz M, Hernan; Maureira Cid, Fernando; Flores, Elizabeth; Garate L, Elias; Munoz C, Sergio</t>
  </si>
  <si>
    <t>Intra and inter-individual variability in the chaotic component and functional connectivity of the EEG signal in basal eyes closed condition</t>
  </si>
  <si>
    <t>7TH INTERNATIONAL CONFERENCE ON INFORMATION TECHNOLOGY AND QUANTITATIVE MANAGEMENT (ITQM 2019): INFORMATION TECHNOLOGY AND QUANTITATIVE MANAGEMENT BASED ON ARTIFICIAL INTELLIGENCE</t>
  </si>
  <si>
    <t>Procedia Computer Science</t>
  </si>
  <si>
    <t>7th International Conference on Information Technology and Quantitative Management (ITQM) - Information Technology and Quantitative Management Based on Artificial Intelligence</t>
  </si>
  <si>
    <t>NOV 03-06, 2019</t>
  </si>
  <si>
    <t>Granada, SPAIN</t>
  </si>
  <si>
    <t>Chinese Acad Sci,Univ Granada,LifeWatch ERIC,Univ Nebraska Omaha,Chinese Acad Sci, Res Ctr Fictitious Econ &amp; Data Sci,Chinese Acad Sci, Key Lab Big Data Mining &amp; Knowledge Management,Univ Chinese Acad Sci, Sch Econ &amp; Management,Chinese Acad Sci, Inst Sci &amp; Dev,SW Minzu Univ,Chinese Acad Management, Business Intelligence Soc,Tainfu Int Inst Big Data Strategy &amp; Technol,Int Acad Informat Technol &amp; Quantitat Management</t>
  </si>
  <si>
    <t>Individuality has to do with our differences and similitudes, our phenotype and genotype characteristics that make us unique in some ways, and common in others. In this study we applied linear and non-linear quantitative description of the EEG signal of 8 subjects in closed eyes, basal conditions, three times at a day (at 10:00, 13:00, and 16:00 hrs. UTC -04:00 Santiago), to provide evidence that allows us to narrow the boundaries of intra and inter-individual differences in the behavior of the oscillatory electrical signal of the brain. We applied two versions of Hurst exponent estimator of persistence/anti-persistence of the brain signal, and a Spearman R inter-correlation analysis between pairs of EEG channels to quantify and allocate the magnitude of highly correlated pairs of electrodes as an indicator of enhanced brain synchrony. Results showed differences and patterns in laterality/symmetry associated with magnitude, self-organized long-memory processes; and brain synchrony. (C) 2020 The Authors. Published by Elsevier B.V. This is an open access article under the CC BY-NC-ND license (http://creativecommons.org/licenses/by-ne-nd/4.0/) Peer-review under responsibility of the scientific committee of the 7th International Conference on Information Technology and Quantitative Management (ITQM 2019)</t>
  </si>
  <si>
    <t>Flores, Elizabeth/JLM-7033-2023</t>
  </si>
  <si>
    <t>1877-0509</t>
  </si>
  <si>
    <t>10.1016/j.procs.2019.12.077</t>
  </si>
  <si>
    <t>WOS:000514081500122</t>
  </si>
  <si>
    <t>Salgado, J; Rojas, F; Pereda, J; Díaz, M; Gatica, G</t>
  </si>
  <si>
    <t>IEEE</t>
  </si>
  <si>
    <t>Salgado, Jordan; Rojas, Felix; Pereda, Javier; Diaz, Matias; Gatica, Gustavo</t>
  </si>
  <si>
    <t>Linear Control applied to a non-isolated bidirectional DC-DC converter with Interleave technique powered by variable sources</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</si>
  <si>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</si>
  <si>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</si>
  <si>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</si>
  <si>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</si>
  <si>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</si>
  <si>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In this article, a linear control strategy is presented applied to a Synchronous Buck converter, which allows N sub-converters to operate in parallel, operating in Interleave mode, balancing the currents in each of the sub-converters and maintaining their dynamic response invariant over a wide range of operation, even when their DC links vary as it would be in a system with electric batteries. Simulation results validating this behavior, using variable DC sources are presented and discussed in this article.</t>
  </si>
  <si>
    <t>Rojas, Felix/U-3305-2019; gatica, gustavo/KXR-7308-2024; Diaz, Matias/R-7570-2018; Pereda Torres, Javier/F-8244-2013</t>
  </si>
  <si>
    <t>Diaz, Matias/0000-0003-4489-9532; Pereda Torres, Javier/0000-0002-3407-5233</t>
  </si>
  <si>
    <t>978-1-7281-3185-6</t>
  </si>
  <si>
    <t>WOS:000542919100201</t>
  </si>
  <si>
    <t>Contreras, C; Guajardo, D; Diaz, M; Rojas, F; Espinoza, M; Cardenas, R</t>
  </si>
  <si>
    <t>DuranFaundez, C; Lefranc, G; FernandezFernandez, M; Munoz, C; Rubio, E</t>
  </si>
  <si>
    <t>Contreras, Camilo; Guajardo, David; Diaz, Matias; Rojas, Felix; Espinoza, Mauricio; Cardenas, Roberto</t>
  </si>
  <si>
    <t>Fast Delayed Signal Cancellation based PLL for unbalanced grid conditions</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</si>
  <si>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</si>
  <si>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</si>
  <si>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</si>
  <si>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</si>
  <si>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</si>
  <si>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Frequency identification is one of the most critical issues for grid-connected power converters, especially when the grid is unbalanced or distorted. Therefore, this paper proposes a novel frequency estimator with fast convergence for balance and unbalanced grid-voltage faults. The proposed algorithm is based on a Phase Locked Loop (PLL), enhanced with a fast positive and negative sequence detector. Delayed Signal Cancellation methodology with fast convergence is investigated under single-phase and two-phase voltage dip. The effectiveness of the proposed PLL is validated using simulations and experimental results.</t>
  </si>
  <si>
    <t>Rojas, Felix/U-3305-2019; Diaz, Matias/R-7570-2018</t>
  </si>
  <si>
    <t>978-1-5386-5586-3</t>
  </si>
  <si>
    <t>WOS:000458417600045</t>
  </si>
  <si>
    <t>Corona, RM; Basaran, AC; Escrig, J; Altbir, D</t>
  </si>
  <si>
    <t>Corona, Rosa M.; Basaran, Ali C.; Escrig, Juan; Altbir, Dora</t>
  </si>
  <si>
    <t>Unusual behavior of the magnetization reversal in soft/hard multisegmented nanowires</t>
  </si>
  <si>
    <t>JOURNAL OF MAGNETISM AND MAGNETIC MATERIALS</t>
  </si>
  <si>
    <t>The magnetization reversal mechanisms in soft/hard multisegmented nanowires have been investigated using numerical simulations. In most of the studied systems the magnetization reversal process starts at the ends. However in short soft/hard/soft nanowires, the magnetization reversal process starts at the center of the wire, generating an unusual behavior of the coercivity as a function of the length. (C) 2017 Elsevier B.V. All rights reserved.</t>
  </si>
  <si>
    <t>Basaran, Ali/GRF-6654-2022; Altbir, Dora/R-6781-2018; Escrig, Juan/N-4304-2015</t>
  </si>
  <si>
    <t>Corona, Rosa/0000-0001-6054-5019; Altbir, Dora/0000-0002-2945-4909; Escrig, Juan/0000-0002-3958-8185</t>
  </si>
  <si>
    <t>0304-8853</t>
  </si>
  <si>
    <t>1873-4766</t>
  </si>
  <si>
    <t>SEP 15</t>
  </si>
  <si>
    <t>10.1016/j.jmmm.2017.04.078</t>
  </si>
  <si>
    <t>WOS:000402480500026</t>
  </si>
  <si>
    <t>López-González, A; Sánchez-López, M; Garcia-Hermoso, A; López-Tendero, J; Rabanales-Sotos, J; Martínez-Vizcaíno, V</t>
  </si>
  <si>
    <t>Lopez-Gonzalez, Angel; Sanchez-Lopez, Mairena; Garcia-Hermoso, Antonio; Lopez-Tendero, Jaime; Rabanales-Sotos, Joseba; Martinez-Vizcaino, Vicente</t>
  </si>
  <si>
    <t>Muscular fitness as a mediator of quality cardiopulmonary resuscitation</t>
  </si>
  <si>
    <t>AMERICAN JOURNAL OF EMERGENCY MEDICINE</t>
  </si>
  <si>
    <t>Background: It has been hypothesized that body mass index (BMI) and muscle strength (MS) of the rescuers are predictors of adequate external chest compressions (ECC). The aims of this study were: (a) to analyze, in college students, the relationship between BMI andMS with adequate ECC parameters; and (b) to examine whether the association between BMI and adequate ECC parameters is mediated by MS. Methods: A cross-sectional analysis of the evaluation of a CPR performance test involving students (n= 63). We determined BMI and MS. After previous training, participants performed cardiopulmonary resuscitation on a mannequin for 20 minutes. PROCESS macro developed by Preacher and Hayes was used to assess whether the association between BMI and ECC was mediated by MS. Results: Underweight subjects achieved lower results than those with normal weight and overweight/obese in several dependent variables including: correct compression depth (P &lt;.001) and adequate ECC (P &lt;.001). This differences remained after adjusting for muscle strength except for the compression rate (P =.053). Moreover, participants in the low MS quartile were lower in both correct compression depth (P=.001) and adequate ECC (P &lt;.001) than participants in the medium/high quartile after adjusting for confounding variables. The effect of BMI on adequate ECC was partially mediated by MS. Similar results were obtained in the analysis of the mediator role of MS in the relationship between BMI and correct compression depth. Conclusions: The ability to provide adequate ECC is influenced by the rescuer's MS. Rescuers should be advised to exercise arm strength to improve the quality of CPR. (C) 2016 Elsevier Inc. All rights reserved.</t>
  </si>
  <si>
    <t>López, Ángel/AAN-2248-2021; SANCHEZ-LOPEZ, MAIRENA/J-7933-2016; VIZCAINO, VICENTE/R-4336-2017; García-Hermoso, Antonio/ADU-2591-2022; Garcia-Hermoso, Antonio/P-1857-2017</t>
  </si>
  <si>
    <t>Garcia-Hermoso, Antonio/0000-0002-1397-7182; Sanchez Lopez, Mairena/0000-0002-0217-0623; Rabanales, Joseba/0000-0002-6649-4395</t>
  </si>
  <si>
    <t>0735-6757</t>
  </si>
  <si>
    <t>1532-8171</t>
  </si>
  <si>
    <t>SEP</t>
  </si>
  <si>
    <t>10.1016/j.ajem.2016.06.058</t>
  </si>
  <si>
    <t>WOS:000381664300020</t>
  </si>
  <si>
    <t>Quoirin, HR; Umezu, K</t>
  </si>
  <si>
    <t>Ramos Quoirin, Humberto; Umezu, Kenichiro</t>
  </si>
  <si>
    <t>Positive steady states of an indefinite equation with a nonlinear boundary condition: existence, multiplicity, stability and asymptotic profiles</t>
  </si>
  <si>
    <t>CALCULUS OF VARIATIONS AND PARTIAL DIFFERENTIAL EQUATIONS</t>
  </si>
  <si>
    <t>We investigate positive steady states of an indefinite superlinear reaction-diffusion equation arising from population dynamics, coupled with a nonlinear boundary condition. Both the equation and the boundary condition depend upon a positive parameter lambda, which is inversely proportional to the diffusion rate. We establish several multiplicity results when the diffusion rate is large and analyze the asymptotic profiles and the stability properties of these steady states as the diffusion rate grows to infinity. In particular, our results show that in some cases bifurcation from zero and from infinity occur at lambda = 0. Our approach combines variational and bifurcation techniques.</t>
  </si>
  <si>
    <t>Ramos Quoirin, Humberto/0000-0001-6252-2515</t>
  </si>
  <si>
    <t>0944-2669</t>
  </si>
  <si>
    <t>1432-0835</t>
  </si>
  <si>
    <t>AUG</t>
  </si>
  <si>
    <t>10.1007/s00526-016-1033-4</t>
  </si>
  <si>
    <t>WOS:000381989700031</t>
  </si>
  <si>
    <t>Hauser, C; Peñaloza, A; Guarda, A; Galotto, MJ; Bruna, JE; Rodríguez, FJ</t>
  </si>
  <si>
    <t>Hauser, Carolin; Penaloza, Angela; Guarda, Abel; Jose Galotto, Maria; Bruna, Julio E.; Rodriguez, Francisco J.</t>
  </si>
  <si>
    <t>Development of an Active Packaging Film Based on a Methylcellulose Coating Containing Murta (Ugni molinae Turcz) Leaf Extract</t>
  </si>
  <si>
    <t>FOOD AND BIOPROCESS TECHNOLOGY</t>
  </si>
  <si>
    <t>A new active packaging film based on murta leaf extract was elaborated. The extract was incorporated into a methylcellulose layer which was coated on a low-density polyethylene (LDPE) film. Its antioxidant effectivity, antimicrobial activity, and physicochemical properties were evaluated. The active film was able to keep its antimicrobial and antioxidant properties for at least 60 days. During this time, the growth of Listeria (L.) innocua was reduced by 2 log cycles and free radical formation could be inhibited by about 90 % for films stored under light and dark conditions. The active coating on the LDPE film did not affect the thermal and water vapor transmission properties; however, slight changes in the mechanical, color, and optical properties were observed. Finally, a sensory analysis showed that active coating did not change the flavor and odor properties of a fatty food packed inside the active material. This suggests that this active packaging film could be used to extend the shelf-life of packaged food.</t>
  </si>
  <si>
    <t>Rodríguez, Francisco/I-5283-2018; bruna, julio/AAM-6867-2021</t>
  </si>
  <si>
    <t>Bruna, Julio E./0000-0001-9656-6022; Rodriguez-Mercado, Francisco/0000-0002-0530-6653</t>
  </si>
  <si>
    <t>1935-5130</t>
  </si>
  <si>
    <t>1935-5149</t>
  </si>
  <si>
    <t>FEB</t>
  </si>
  <si>
    <t>10.1007/s11947-015-1623-8</t>
  </si>
  <si>
    <t>WOS:000369271200009</t>
  </si>
  <si>
    <t>Gil-Costa, V; Hidalgo, N; Rosas, E; Marin, M</t>
  </si>
  <si>
    <t>Gil-Costa, Veronica; Hidalgo, Nicolas; Rosas, Erika; Marin, Mauricio</t>
  </si>
  <si>
    <t>A dynamic load balance algorithm for the S4 Parallel stream processing engine</t>
  </si>
  <si>
    <t>2016 28TH IEEE INTERNATIONAL SYMPOSIUM ON COMPUTER ARCHITECTURE AND HIGH PERFORMANCE COMPUTING WORKSHOPS (SBAC-PADW)</t>
  </si>
  <si>
    <t>28th IEEE International Symposium on Computer Architecture and High Performance Computing (SBAC-PAD)</t>
  </si>
  <si>
    <t>OCT 26-28, 2016</t>
  </si>
  <si>
    <t>Los Angeles, CA</t>
  </si>
  <si>
    <t>IEEE,IEEE Comp Soc,UNICAMP,Brazilian Comp Soc,Univ S California,UC Irvine,LG</t>
  </si>
  <si>
    <t>Large streams of data can be analyzed in real-time by Parallel Stream Processing Engines (PSPEs) which are based on a graph paradigm where vertices represent processing elements(PEs) and edges represent flows of data among PEs. In this work, we propose a new elastic strategy for the S4 PSPE to adjust the overall load of PEs in accordance with the utilization levels and data traffic at each PE. Our approach exploits a producer/consumer model to achieve load balance where new workers pull events from a buffer queue in order to release the amount of traffic in an overloaded PE. Results show that the proposed strategy prevents saturation of PEs and improves the overall throughput of the system by up to 470%.</t>
  </si>
  <si>
    <t>Gil-Costa, Veronica/GPT-4785-2022; Marin, Mauricio/GLR-7700-2022; Rosas, Erika/AFY-6048-2022</t>
  </si>
  <si>
    <t>Hidalgo, Nicolas/0000-0003-0831-9350; Marin, Mauricio/0000-0003-0662-7149; Rosas Olivos, Erika Susana/0000-0003-0377-0193; Gil-Costa, Veronica/0000-0003-4637-9725</t>
  </si>
  <si>
    <t>978-1-5090-4844-1</t>
  </si>
  <si>
    <t>10.1109/SBAC-PADW.2016.12</t>
  </si>
  <si>
    <t>WOS:000398540400004</t>
  </si>
  <si>
    <t>S</t>
  </si>
  <si>
    <t>von Bernhardi, R; Eugenín-von Bernhardi, J; Flores, B; León, JE</t>
  </si>
  <si>
    <t>VonBernhardi, R</t>
  </si>
  <si>
    <t>von Bernhardi, Rommy; Eugenin-von Bernhardi, Jaime; Flores, Betsi; Eugenin Leon, Jaime</t>
  </si>
  <si>
    <t>Glial Cells and Integrity of the Nervous System</t>
  </si>
  <si>
    <t>GLIAL CELLS IN HEALTH AND DISEASE OF THE CNS</t>
  </si>
  <si>
    <t>Advances in Experimental Medicine and Biology</t>
  </si>
  <si>
    <t>Today, there is enormous progress in understanding the function of glial cells, including astroglia, oligodendroglia, Schwann cells, and microglia. Around 150 years ago, glia were viewed as a glue among neurons. During the course of the twentieth century, microglia were discovered and neuroscientists' views evolved toward considering glia only as auxiliary cells of neurons. However, over the last two to three decades, glial cells' importance has been reconsidered because of the evidence on their involvement in defining central nervous system architecture, brain metabolism, the survival of neurons, development and modulation of synaptic transmission, propagation of nerve impulses, and many other physiological functions. Furthermore, increasing evidence shows that glia are involved in the mechanisms of a broad spectrum of pathologies of the nervous system, including some psychiatric diseases, epilepsy, and neurodegenerative diseases to mention a few. It appears safe to say that no neurological disease can be understood without considering neuron-glia crosstalk. Thus, this book aims to show different roles played by glia in the healthy and diseased nervous system, highlighting some of their properties while considering that the various glial cell types are essential components not only for cell function and integration among neurons, but also for the emergence of important brain homeostasis.</t>
  </si>
  <si>
    <t>von Bernhardi, Rommy/IAO-3764-2023</t>
  </si>
  <si>
    <t>von Bernhardi, Rommy/0000-0002-9022-7676; Eugenin von Bernhardi, Jaime/0000-0003-1092-6942</t>
  </si>
  <si>
    <t>0065-2598</t>
  </si>
  <si>
    <t>2214-8019</t>
  </si>
  <si>
    <t>978-3-319-40764-7; 978-3-319-40762-3</t>
  </si>
  <si>
    <t>10.1007/978-3-319-40764-7_1</t>
  </si>
  <si>
    <t>10.1007/978-3-319-40764-7</t>
  </si>
  <si>
    <t>WOS:000400932800001</t>
  </si>
  <si>
    <t>Iturriaga, L; Souto, MA; Ubilla, P</t>
  </si>
  <si>
    <t>Iturriaga, Leonelo; Souto, Marco A.; Ubilla, Pedro</t>
  </si>
  <si>
    <t>QUASILINEAR PROBLEMS INVOLVING CHANGING-SIGN NONLINEARITIES WITHOUT AN AMBROSETTI-RABINOWITZ-TYPE CONDITION</t>
  </si>
  <si>
    <t>PROCEEDINGS OF THE EDINBURGH MATHEMATICAL SOCIETY</t>
  </si>
  <si>
    <t>In this paper quasilinear elliptic boundary value equations without an Ambrosetti and Rabinowitz growth condition are considered. Existence of a non-trivial solution result is established. For this, we show the existence of a Cerami sequence by using a variant of the mountain-pass theorem due to Schechter. The novelty here is that we may consider nonlinearities that satisfy a local p-superlinear condition and may change sign.</t>
  </si>
  <si>
    <t>Iturriaga, Leonelo/F-6339-2012</t>
  </si>
  <si>
    <t>Iturriaga, Leonelo/0000-0001-7621-7976; Souto, Marco/0000-0002-2826-2534</t>
  </si>
  <si>
    <t>0013-0915</t>
  </si>
  <si>
    <t>1464-3839</t>
  </si>
  <si>
    <t>10.1017/S0013091513000667</t>
  </si>
  <si>
    <t>WOS:000341567000009</t>
  </si>
  <si>
    <t>López-Alarcón, C; Speisky, H; Aliaga, ME; Lissi, E; Rojas, M; Faúndez, M</t>
  </si>
  <si>
    <t>Lopez-Alarcon, C.; Speisky, H.; Aliaga, M. E.; Lissi, E.; Rojas, M.; Faundez, M.</t>
  </si>
  <si>
    <t>Assessment of the redox cycling properties of nitrocompounds using a superoxide-dependent pyrogallol red bleaching assay</t>
  </si>
  <si>
    <t>FREE RADICAL BIOLOGY AND MEDICINE</t>
  </si>
  <si>
    <t>Rojas, Matias/LTF-6048-2024; Lopez, Camilo/J-5770-2013</t>
  </si>
  <si>
    <t>0891-5849</t>
  </si>
  <si>
    <t>1873-4596</t>
  </si>
  <si>
    <t>S153</t>
  </si>
  <si>
    <t>S154</t>
  </si>
  <si>
    <t>10.1016/j.freeradbiomed.2012.08.322</t>
  </si>
  <si>
    <t>WOS:000209480800319</t>
  </si>
  <si>
    <t>Bravo-Marquez, F; Manriquez, M</t>
  </si>
  <si>
    <t>CalderonBenavides, L; GonzalezCaro, C; Chavez, E; Ziviani, N</t>
  </si>
  <si>
    <t>Bravo-Marquez, Felipe; Manriquez, Manuel</t>
  </si>
  <si>
    <t>A Zipf-Like Distant Supervision Approach for Multi-document Summarization Using Wikinews Articles</t>
  </si>
  <si>
    <t>STRING PROCESSING AND INFORMATION RETRIEVAL: 19TH INTERNATIONAL SYMPOSIUM, SPIRE 2012</t>
  </si>
  <si>
    <t>Lecture Notes in Computer Science</t>
  </si>
  <si>
    <t>19th International Symposium on String Processing and Information Retrieval (SPIRE) / 8th Latin American Web Congress (LA-WEB)</t>
  </si>
  <si>
    <t>OCT 21-25, 2012</t>
  </si>
  <si>
    <t>Cartagena de Indias, COLOMBIA</t>
  </si>
  <si>
    <t>This work presents a sentence ranking strategy based on distant supervision for the multi-document summarization problem. Due to the difficulty of obtaining large training datasets formed by document clusters and their respective human-made summaries, we propose building a training and a testing corpus from Wikinews. Wikinews articles are modeled as distant summaries of their cited sources, considering that first sentences of Wikinews articles tend to summarize the event covered in the news story. Sentences from cited sources are represented as tuples of numerical features and labeled according to a relationship with the given distant summary that is based on the Zipf law. Ranking functions are trained using linear regressions and ranking SVMs, which are also combined using Borda count. Top ranked sentences are concatenated and used to build summaries, which are compared with the first sentences of the distant summary using ROUGE evaluation measures. Experimental results obtained show the effectiveness of the proposed method and that the combination of different ranking techniques outperforms the quality of the generated summary.</t>
  </si>
  <si>
    <t>Bravo-Marquez, Felipe/AAG-6488-2019</t>
  </si>
  <si>
    <t>Bravo-Marquez, Felipe/0000-0002-2153-4306</t>
  </si>
  <si>
    <t>0302-9743</t>
  </si>
  <si>
    <t>1611-3349</t>
  </si>
  <si>
    <t>978-3-642-34108-3; 978-3-642-34109-0</t>
  </si>
  <si>
    <t>WOS:000310731700015</t>
  </si>
  <si>
    <t>Hahn, IJ; Vergara, PM; Römer, U</t>
  </si>
  <si>
    <t>Hahn, Ingo J.; Vergara, Pablo M.; Roemer, Uwe</t>
  </si>
  <si>
    <t>Habitat selection and population trends in terrestrial bird species of Robinson Crusoe Island: habitat generalists versus forest specialists</t>
  </si>
  <si>
    <t>BIODIVERSITY AND CONSERVATION</t>
  </si>
  <si>
    <t>Habitat loss and degradation on oceanic islands are key processes leading to population decline of endemic birds and facilitating the establishment of invasive bird species. In this study, carried out in the Robinson Crusoe Island, we assessed density and habitat selection of terrestrial bird species, including juan fernandez firecrown and juan fernandez tit-tyrant, two endemics, as well as green-backed firecrown and austral thrush, which apparently originate from the mainland. Results show that perturbed habitats contained a low density of the endemic species whereas the mainland species were significantly more abundant in perturbed scrub habitats. Bird species show different habitat selection patterns, with endemics selecting for native forest and mainland species selecting for perturbed habitats, or using them at random. Bird species experienced temporal trends in their overall population sizes, with the endemic tit-tyrant suffering a significant decline in its population size of about 63% between 1994 and 2009. Only mainland species exhibited temporal changes in habitat use, significantly reducing their densities in the preferred scrub habitats, possibly as a response to decreased habitat quality. Thrushes apparently were able to compensate the population decrease in one non native habitat type by using native forests, a habitat giving them the opportunity of preying on nests of endemic species. We conclude that endemic bird species behave as specialists whereas the mainland species must be treated as invasive generalists on Robinson Crusoe Island.</t>
  </si>
  <si>
    <t>Vergara, Pablo/F-2519-2010</t>
  </si>
  <si>
    <t>Vergara, Pablo/0000-0002-0024-1678</t>
  </si>
  <si>
    <t>0960-3115</t>
  </si>
  <si>
    <t>1572-9710</t>
  </si>
  <si>
    <t>NOV</t>
  </si>
  <si>
    <t>10.1007/s10531-011-0109-x</t>
  </si>
  <si>
    <t>WOS:000297200000015</t>
  </si>
  <si>
    <t>Pedreschi, F; Mery, D; Bunger, A; Yañez, V</t>
  </si>
  <si>
    <t>Pedreschi, Franco; Mery, Domingo; Bunger, Andrea; Yanez, Veronica</t>
  </si>
  <si>
    <t>COMPUTER VISION CLASSIFICATION OF POTATO CHIPS BY COLOR</t>
  </si>
  <si>
    <t>JOURNAL OF FOOD PROCESS ENGINEERING</t>
  </si>
  <si>
    <t>In this research the automatic classification of commercial potato chips by computer vision was studied. The general objective was to design a tool that would be able to classify objectively potato chips according to their color in different categories. For this purpose, sensory measurements of color in 100 potato chips were correlated with the corresponding objective measurements obtained by computer vision system. Potato chips with and without ruffles of different brands were used for training and validation experiments. Sensory evaluations were done with a special chart that classifies potato chips in seven color categories. Simultaneously, the color of the same potato chips classified by the sensory panel, was determined objectively by a computer vision system in L*, a*, b* units. A linear regression model was good enough to predict potato chip sensory color values from the corresponding instrumental measurements by computer vision. The linear model after following the process of crossed validation crossed presented an error of similar to 4% for smooth chips (without ruffles) and similar to 7% for chips with ruffles.</t>
  </si>
  <si>
    <t>pedreschi, franco/F-8844-2013; Mery, Domingo/D-1385-2014</t>
  </si>
  <si>
    <t>Mery, Domingo/0000-0003-4748-3882</t>
  </si>
  <si>
    <t>0145-8876</t>
  </si>
  <si>
    <t>1745-4530</t>
  </si>
  <si>
    <t>10.1111/j.1745-4530.2009.00540.x</t>
  </si>
  <si>
    <t>WOS:000295326700022</t>
  </si>
  <si>
    <t>Fernández, C; Lizama, C; Poblete, V</t>
  </si>
  <si>
    <t>Fernandez, Claudio; Lizama, Carlos; Poblete, Veronica</t>
  </si>
  <si>
    <t>Regularity of solutions for a third order differential equation in Hilbert spaces</t>
  </si>
  <si>
    <t>APPLIED MATHEMATICS AND COMPUTATION</t>
  </si>
  <si>
    <t>We study regularity of mild and strong solutions of an abstract mathematical model of a flexible space structure under appropriate initial conditions. We apply our results showing qualitative properties of the trajectories in the case of the negative Laplacian operator. (C) 2011 Elsevier Inc. All rights reserved.</t>
  </si>
  <si>
    <t>Poblete, Veronica/D-8810-2015; Lizama, Carlos/E-5909-2011</t>
  </si>
  <si>
    <t>Lizama, Carlos/0000-0002-9807-1100</t>
  </si>
  <si>
    <t>0096-3003</t>
  </si>
  <si>
    <t>1873-5649</t>
  </si>
  <si>
    <t>JUL 1</t>
  </si>
  <si>
    <t>10.1016/j.amc.2011.03.056</t>
  </si>
  <si>
    <t>WOS:000290622200039</t>
  </si>
  <si>
    <t>Cruz, N; Lepe, S; Peña, F; Saavedra, J</t>
  </si>
  <si>
    <t>Cruz, Norman; Lepe, Samuel; Pena, Francisco; Saavedra, Joel</t>
  </si>
  <si>
    <t>Bare and effective fluid description in brane world cosmology</t>
  </si>
  <si>
    <t>EUROPEAN PHYSICAL JOURNAL C</t>
  </si>
  <si>
    <t>An effective fluid description, for a brane world model in five dimensions, is discussed for both signs of the brane tension. We found several cosmological scenarios where the effective equation differs widely from the bare equation of state. For universes with negative brane tension, with a bare fluid satisfying the strong energy condition, the effective fluid can cross the barrier omega (eff)=-1.</t>
  </si>
  <si>
    <t>saavedra, joel/0000-0002-1430-3008</t>
  </si>
  <si>
    <t>1434-6044</t>
  </si>
  <si>
    <t>1434-6052</t>
  </si>
  <si>
    <t>MAR</t>
  </si>
  <si>
    <t>1-2</t>
  </si>
  <si>
    <t>10.1140/epjc/s10052-009-1226-5</t>
  </si>
  <si>
    <t>WOS:000275453500019</t>
  </si>
  <si>
    <t>Vera, CG</t>
  </si>
  <si>
    <t>Garay Vera, Cristian</t>
  </si>
  <si>
    <t>Peru's Amazonian Attribute: the Construction of Sovereignty, 1903-1942</t>
  </si>
  <si>
    <t>HISTORIA CRITICA</t>
  </si>
  <si>
    <t>Starting from the premise that borders are constructed rather than historically given, this article describes the process that, following the War of the Pacific (1879), turned civil and governmental actors in Peru to claim their own space in the Amazon, successively disputing territories with Bolivia, Brazil, Colombia, and Ecuador and which, in the final analysis, appears to have been successful. This was a complex process that, in addition to demonstrating how Peru discarded the thesis of utis possidetis iuris, which it once supported, for the thesis of fait accompli, more appropriate for the de facto occupation of disputed space.</t>
  </si>
  <si>
    <t>0121-1617</t>
  </si>
  <si>
    <t>SEP-DEC</t>
  </si>
  <si>
    <t>10.7440/histcrit39.2009.07</t>
  </si>
  <si>
    <t>WOS:000271929600007</t>
  </si>
  <si>
    <t>Lastra, F; Romero, G; López, CE; Santos, MF; Retamal, JC</t>
  </si>
  <si>
    <t>Orszag, M; Retamal, JC; Saavedra, C; Wallentowitz, S</t>
  </si>
  <si>
    <t>Lastra, F.; Romero, G.; Lopez, C. E.; Santos, M. Franca; Retamal, J. C.</t>
  </si>
  <si>
    <t>Entanglement evolution of bipartite m ⊗ n-dimensional systems</t>
  </si>
  <si>
    <t>QUANTUM OPTICS III</t>
  </si>
  <si>
    <t>Journal of Physics Conference Series</t>
  </si>
  <si>
    <t>Conference on Quantum Optics III</t>
  </si>
  <si>
    <t>NOV 27-30, 2006</t>
  </si>
  <si>
    <t>Pucon, CHILE</t>
  </si>
  <si>
    <t>Iniciativa Cientifica Milenio,Univ Concepcion,Univ Santiago,Pontificia Univ Catolica,Univ Catolica Norte,Univ New Mexico,Centro Latin American Fisica</t>
  </si>
  <si>
    <t>Entanglement evolution in high dimensional bipartite systems under dissipation is studied through a lower bound of entanglement of formation. Discontinuities for the time derivative of these quantity are found depending on the initial conditions for entangled states. These abrupt changes along the evolution appear as precursors of entanglement sudden death.</t>
  </si>
  <si>
    <t>Retamal, Juan/G-6425-2010; LOPEZ, CARLOS/AAU-7238-2020; F. Santos, Marcelo/A-1301-2008; Romero, Guillermo/C-8245-2009; Romero, Guillermo/C-8245-2009</t>
  </si>
  <si>
    <t>F. Santos, Marcelo/0000-0001-5667-3376; Romero, Guillermo/0000-0003-4366-4950; Romero, Guillermo/0000-0003-2917-7814; Retamal Abarzua, Juan Carlos/0000-0002-7174-7879</t>
  </si>
  <si>
    <t>1742-6588</t>
  </si>
  <si>
    <t>1742-6596</t>
  </si>
  <si>
    <t>10.1088/1742-6596/84/1/012011</t>
  </si>
  <si>
    <t>WOS:000295087600011</t>
  </si>
  <si>
    <t>Modak, B; Torres, R; Lissi, E; Delle Monache, F</t>
  </si>
  <si>
    <t>Antioxidant capacity of flavonoids and a new arylphenol of the resinous exudate from Heliotropium sinuatum</t>
  </si>
  <si>
    <t>NATURAL PRODUCT RESEARCH</t>
  </si>
  <si>
    <t>From the resinous exudate of Heliotropium sinuatum (family Boraginaceae), a new compound: 4-(3',5'-dihydroxynonadecyl)phenol 1, together with eight previously described flavonoids, were isolated and their antioxidant activities were assessed by quenching measurements with ABTS and DPPH cation radicals.</t>
  </si>
  <si>
    <t>1478-6419</t>
  </si>
  <si>
    <t>10.1080/14786410310001617668</t>
  </si>
  <si>
    <t>WOS:000186616500004</t>
  </si>
  <si>
    <t>Morales, B; Rozas, C; Pancetti, F; Kirkwood, A</t>
  </si>
  <si>
    <t>Critical period of cortical plasticity</t>
  </si>
  <si>
    <t>REVISTA DE NEUROLOGIA</t>
  </si>
  <si>
    <t>Introduction and development. Alterations of sensory experience cause large-scale re-arrangements of cortical connectivity only early in life. After a critical period that roughly ends by puberty, comparable modifications requires more invasive manipulations, including deafferentation and cortical lesions. At a cellular level, the elementary mechanisms responsible for synaptic modification appear to be available throughout life. Thus, in adults, experience dependent plasticity might be constrained additional factors, like the maturation of inhibition or changes in the extra cellular matrix. Such view is consistent with a limited, but not absent, modifiability of adult cortical circuits. This view also has interesting therapeutical implications. Conclusion. In this scenario, manipulation of these limiting factors for example reducing synaptic inhibition, might be a useful strategy to enhance plasticity and to restore junction in the adult cortex.</t>
  </si>
  <si>
    <t>Pancetti, Floria/A-2491-2013</t>
  </si>
  <si>
    <t>Pancetti, Floria/0000-0002-6990-9832; Rozas, Carlos/0000-0002-6422-9600</t>
  </si>
  <si>
    <t>0210-0010</t>
  </si>
  <si>
    <t>OCT 16</t>
  </si>
  <si>
    <t>10.33588/rn.3708.2003422</t>
  </si>
  <si>
    <t>WOS:000186348400010</t>
  </si>
  <si>
    <t>Pardo, F; Perich, F; Torres, R; Delle Monache, F</t>
  </si>
  <si>
    <t>Stigmast-4-ene-3,6-dione an unusual phytotoxic sterone from the roots of Echium vulgare L.</t>
  </si>
  <si>
    <t>BIOCHEMICAL SYSTEMATICS AND ECOLOGY</t>
  </si>
  <si>
    <t>0305-1978</t>
  </si>
  <si>
    <t>10.1016/S0305-1978(00)00010-7</t>
  </si>
  <si>
    <t>WOS:000089170000012</t>
  </si>
  <si>
    <t>Cassels, BK; Moya, PR; Acuña-Castillo, C; Huidobro-Toro, JP; Sáez, P</t>
  </si>
  <si>
    <t>Activity of the psychotropic phenethylamine homologues 2C-N and DON at cloned 5-HT2A and 5-HT2C receptors expressed in Xenopus laevis oocytes.</t>
  </si>
  <si>
    <t>ABSTRACTS OF PAPERS OF THE AMERICAN CHEMICAL SOCIETY</t>
  </si>
  <si>
    <t>Cassels, Bruce/H-6937-2013; Acuña-Castillo, Claudio/AAI-7090-2021; Moya, Pablo/HTZ-1393-2023</t>
  </si>
  <si>
    <t>0065-7727</t>
  </si>
  <si>
    <t>AUG 20</t>
  </si>
  <si>
    <t>112-MEDI</t>
  </si>
  <si>
    <t>U556</t>
  </si>
  <si>
    <t>WOS:000166091203020</t>
  </si>
  <si>
    <t>Aliaga, C; Lissi, EA</t>
  </si>
  <si>
    <t>Reactions of the radical cation derived from 2,2′-azinobis(3-ethylbenzothiazoline-6-sulfonic acid) (ABTS.+) with amino acids.: Kinetics and mechanism</t>
  </si>
  <si>
    <t>CANADIAN JOURNAL OF CHEMISTRY-REVUE CANADIENNE DE CHIMIE</t>
  </si>
  <si>
    <t>Stable free radicals derived from 2,2'-azinobis(3-ethylbenzothiazoline-6-sulfonic acid) (ABTS(.+)) have been extensively employed to monitor the antioxidant capacity of biological fluids and beverages. Besides reacting with typical antioxidants (such as phenols or thiols) these radicals react with a variety of hydrogen or electron donors. The present work reports on the kinetics and mechanism of these radical reactions with several amino acids. Reaction rates notably increase when the pH of the media increases and, when measured under similar conditions, follows the order cysteine &gt; &gt; tryptophan &gt; tyrosine &gt; histidine &gt; cystine The kinetics of the process is interpreted in terms of a mechanism comprising an initial pH dependent reversible step, followed by secondary reactions of the substrate derived radical with itself or with another ABTS(.+); this simple three-step mechanism leads to very complex kinetic expressions. The specific rate constants of several of the elementary steps were determined by working under a wide range of substrate, radical, and ABTS concentrations. The values obtained for the initial interaction between the ABTS derived radical and the substrate range from 0.5 M-1 s(-1) to 1.9 + 10(6) M-1 s(-1) for histidine and cysteine, respectively.</t>
  </si>
  <si>
    <t>0008-4042</t>
  </si>
  <si>
    <t>10.1139/cjc-78-8-1052</t>
  </si>
  <si>
    <t>WOS:000088879200002</t>
  </si>
  <si>
    <t>Gumucio, CP</t>
  </si>
  <si>
    <t>Forms of urban popular Catholicism and globalization: Case study in Chile</t>
  </si>
  <si>
    <t>SOCIAL COMPASS</t>
  </si>
  <si>
    <t>Contrary to supposition, globalization is not imposing a homogeneous and secularized culture. A case study of popular beliefs and practices in Santiago (Chile) reveals the great transformations they have undergone, but not the decisive influence of a market-oriented and pragmatic culture. Traditional and orthodox Catholic beliefs are being relativized and diversified, and this is evident in the resurgence of new types of religious syncretisms-even within popular Catholicism-with elements of what have been called new age beliefs. There are numerous types of popular urban Catholicism, ranging from the rationalistic to the magico-religious and even mystico-esoteric. In urban and modern contexts, popular Catholicism provides a context for the reconstruction of community and local identities and for resisting the imposition of a global culture of consumerism, without in impeding access to codes of modernity.</t>
  </si>
  <si>
    <t>Parker, Cristián/J-4947-2017</t>
  </si>
  <si>
    <t>0037-7686</t>
  </si>
  <si>
    <t>10.1177/003776898045004006</t>
  </si>
  <si>
    <t>WOS:000077857800006</t>
  </si>
  <si>
    <t>Celedón, G; Lips, V; Alvarado, C; Cortés, M; Lissi, EA; Gonzalez, G</t>
  </si>
  <si>
    <t>Protein degradation in red cells exposed to 2,2′-azo-bis(2-amidinopropane) derived radicals</t>
  </si>
  <si>
    <t>BIOCHEMISTRY AND MOLECULAR BIOLOGY INTERNATIONAL</t>
  </si>
  <si>
    <t>Extensive proteolysis is observed when red blood cells are exposed to free radicals produced in the thermolysis of 2,2'-azo-bis(2-amidinopropane). It is evaluated that nearly one amino terminal group is produced by each free radical introduced into the system. These groups are considered to arise mainly from band 3 fragmentation due to the action of red cell proteinases. Protein fragmentation takes place prior to significant hemolysis or lipid peroxidation, as evaluated by thiobarbituric acid-reactive substances measurements.</t>
  </si>
  <si>
    <t>1039-9712</t>
  </si>
  <si>
    <t>WOS:000070965400021</t>
  </si>
  <si>
    <t>Costamagna, J; Ferraudi, G; Canales, J; Vargas, J</t>
  </si>
  <si>
    <t>Carbon dioxide activation by aza-macrocyclic complexes</t>
  </si>
  <si>
    <t>COORDINATION CHEMISTRY REVIEWS</t>
  </si>
  <si>
    <t>Symposium on Macrocyclic Chemistry Toward Supramolecular Functions</t>
  </si>
  <si>
    <t>JUL 30-31, 1994</t>
  </si>
  <si>
    <t>OKAYAMA, JAPAN</t>
  </si>
  <si>
    <t>Experimental observations of photocatalysis and electroinduced-activation of CO2 mediated by coordination compounds with aza-macrocyclic ligands are discussed in this review. The production of fuels from the reduction of CO2 catalyzed by coordination complexes of simple tetraaza-macrocycles, porphyrin, phthalocyanine and biphenanthrolinic hexaazacyclophanes are described. The use of this macrocyclic chemistry, i.e. for simple models, in the development of multipurpose supramolecular functions is emphasized.</t>
  </si>
  <si>
    <t>Canales Villalobos, Juan Carlos/0009-0006-3215-4997</t>
  </si>
  <si>
    <t>0010-8545</t>
  </si>
  <si>
    <t>10.1016/0010-8545(95)01231-1</t>
  </si>
  <si>
    <t>WOS:A1996UQ94200014</t>
  </si>
  <si>
    <t>BAZAES, S; SILVA, R; GOLDIE, H; CARDEMIL, E; JABALQUINTO, AM</t>
  </si>
  <si>
    <t>REACTIVITY OF CYSTEINYL, ARGINYL, AND LYSYL RESIDUES OF ESCHERICHIA-COLI PHOSPHOENOLPYRUVATE CARBOXYKINASE AGAINST GROUP-SPECIFIC CHEMICAL REAGENTS</t>
  </si>
  <si>
    <t>JOURNAL OF PROTEIN CHEMISTRY</t>
  </si>
  <si>
    <t>Calcium-activated phosphoenolpyruvate carboxykinase from Escheria coil is not inactivated by a number of sulfhydryl-directed reagents [5,5'-dithiobis(2-nitrobenzoate), iodoacetate, N-ethylmaleimide, N-(1-pyrenyl)maleimide or N-(iodoacetyl)-N'-(5-sulfo-1-naphthylethylene-diamine)], unlike phosphoenolpyruvate carboxykinase from other organisms. On the other hand, the enzyme is rapidly inactivated by the arginyl-directed reagents 2,3-butanedione and 1-pyrenylglyoxal. The substrates, ADP plus PEP in the presence of Mn2+, protect the enzyme against inactivation by the diones. Quantitation of pyrenylglyoxal incorporation indicates that complete inactivation correlates with the binding of one inactivator molecule per mole of enzyme. Chemical modification by pyridoxal 5'-phosphate also produces inactivation of the enzyme, and the labeled protein shows a difference spectrum with a peak at 325 nm, characteristic of a pyridoxyl derivative of lysine. The inactivation by this reagent is also prevented by the substrates. Binding stoichiometries of 1.25 and 0.30 mol of reagent incorporated per mole of enzyme were found in the absence and presence of substrates, respectively. The results suggest the presence of functional arginyl and lysyl residues in or near the active site of the enzyme, and indicate lack of reactive functional sulfhydryl groups.</t>
  </si>
  <si>
    <t>0277-8033</t>
  </si>
  <si>
    <t>10.1007/BF01025121</t>
  </si>
  <si>
    <t>WOS:A1993MM04200007</t>
  </si>
  <si>
    <t>GAUTIER, JL; ORTIZ, J; ZELADA, G; POILLERAT, G</t>
  </si>
  <si>
    <t>THE CATIONS DISTRIBUTION IN SPINELS OF CR-CU-MN-O SYSTEM</t>
  </si>
  <si>
    <t>JOURNAL DE CHIMIE PHYSIQUE ET DE PHYSICO-CHIMIE BIOLOGIQUE</t>
  </si>
  <si>
    <t>0021-7689</t>
  </si>
  <si>
    <t>10.1051/jcp/1989861889</t>
  </si>
  <si>
    <t>WOS:A1989CC15300002</t>
  </si>
  <si>
    <t>Hinojosa, M; Alfaro, M; Fuertes, G; Ternero, R; Santander, P; Vargas, M</t>
  </si>
  <si>
    <t>Hinojosa, Mauricio; Alfaro, Miguel; Fuertes, Guillermo; Ternero, Rodrigo; Santander, Pavlo; Vargas, Manuel</t>
  </si>
  <si>
    <t>Optimizing University Admission Processes for Improved Educational Administration Through Feature Selection Algorithms: A Case Study in Engineering Education</t>
  </si>
  <si>
    <t>EDUCATION SCIENCES</t>
  </si>
  <si>
    <t>This study presents an innovative approach to support educational administration, focusing on the optimization of university admission processes using feature selection algorithms. The research addresses the challenges of concept drift, outlier treatment, and the weighting of key factors in admission criteria. The proposed methodology identifies the optimal set of features and assigns weights to the selection criteria that demonstrate the strongest correlation with academic performance, thereby contributing to improved educational management by optimizing decision-making processes. The approach incorporates concept change management and outlier detection in the preprocessing stage while employing multivariate feature selection techniques in the processing stage. Applied to the admission process of engineering students at a public Chilean university, the methodology considers socioeconomic, academic, and demographic variables, with curricular advancement as the objective. The process generated a subset of attributes and an application score with predictive capabilities of 83% and 84%, respectively. The results show a significantly greater association between the application score and academic performance when the methodology's weights are used, compared to the actual weights. This highlights the increased predictive power by accounting for concept drift, outliers, and shared information between variables.</t>
  </si>
  <si>
    <t>Fuertes, Guillermo/Q-2341-2016; Hinojosa Valenzuela, Mauricio/ABZ-1673-2022</t>
  </si>
  <si>
    <t>2227-7102</t>
  </si>
  <si>
    <t>MAR 6</t>
  </si>
  <si>
    <t>10.3390/educsci15030326</t>
  </si>
  <si>
    <t>WOS:001453849600001</t>
  </si>
  <si>
    <t>Morales-Guevara, R; Páez-Hernández, D; Ancede-Gallardo, E; Carreño, A</t>
  </si>
  <si>
    <t>Morales-Guevara, Rosaly; Paez-Hernandez, Dayan; Ancede-Gallardo, Evys; Carreno, Alexander</t>
  </si>
  <si>
    <t>Influence of Iodine Substitutions on the Photophysical Properties of Rhenium(I) Tricarbonyl Complexes With Pyridine Schiff Base (PSB-IHB)</t>
  </si>
  <si>
    <t>INTERNATIONAL JOURNAL OF QUANTUM CHEMISTRY</t>
  </si>
  <si>
    <t>This theoretical investigation aims to evaluate the influence of iodine substitutions on the phenolic moiety of the pyridine Schiff bases harboring an intramolecular hydrogen bond (PSB-IHB) ancillary ligand within the monocationic. fac-[Re(CO)3(N,N)(PSB-IHB)]+ architecture on photophysical properties, particularly emission range. Optimized structures of two Re(I) tricarbonyl complexes (C1 and C2) were analyzed, revealing a distorted octahedral coordination geometry. Geometric parameters were compared with experimental data from analogous complexes. NBO analysis confirmed the presence of intramolecular hydrogen bonds (IHBs) in both singlet and triplet states, providing significant stabilization. Theoretical calculations predicted three distinct absorption bands for all complexes in dichloromethane, indicating substantial electronic delocalization between the pyridinic and phenolic rings via the azomethine group. These findings underscore the crucial role of delocalization and donor-acceptor interactions in stabilizing Re(I) tricarbonyl complexes and their impact on photophysical properties. Emissions calculated for the C1 and C2 complexes were observed within the range of 632-643 nm. The presence of IHBs was found to be essential for modulating photophysical properties, with emissions attributed to ligand-to-ligand charge transfer transitions.</t>
  </si>
  <si>
    <t>Carreno, Alexander/I-6374-2019; Páez-Hernández, Dayán/AAJ-3317-2020; Morales-Guevara, Rosaly/LJL-1907-2024</t>
  </si>
  <si>
    <t>Carreno, Alexander/0000-0001-9733-8224</t>
  </si>
  <si>
    <t>0020-7608</t>
  </si>
  <si>
    <t>1097-461X</t>
  </si>
  <si>
    <t>JAN 15</t>
  </si>
  <si>
    <t>e70005</t>
  </si>
  <si>
    <t>10.1002/qua.70005</t>
  </si>
  <si>
    <t>WOS:001467245000001</t>
  </si>
  <si>
    <t>Rivera, P; Torres, A; Romero, J; Rodríguez, F; Arrieta, MP; Olea, F; Silva, T; Maldonado, P; Quijada-Maldonado, E; Tapia, A</t>
  </si>
  <si>
    <t>Rivera, Patricia; Torres, Alejandra; Romero, Julio; Rodriguez, Francisco; Arrieta, Marina P.; Olea, Felipe; Silva, Tannia; Maldonado, Paola; Quijada-Maldonado, Esteban; Tapia, Andrea</t>
  </si>
  <si>
    <t>Experimental and theoretical characterization of the release kinetic of carvacrol as inclusion complexes with β-cyclodextrin in poly(lactic acid) and Mater-Bi® ® processed by supercritical impregnation</t>
  </si>
  <si>
    <t>INTERNATIONAL JOURNAL OF BIOLOGICAL MACROMOLECULES</t>
  </si>
  <si>
    <t>The incorporation of active compounds into polymeric matrices using traditional methods has several drawbacks mainly due to the high volatility and thermal sensitivity of these substances. A solution to this problem could be the incorporation of bioactive compounds forming inclusion complexes as a strategy to improve the chemical stability, bioactivity and achieve controlled release. In this work, beta-cyclodextrin/carvacrol inclusion complex was prepared by spray drying to be incorporated into poly(lactic acid) (PLA) and Mater-Bi (R) films by supercritical CO2 impregnation. The impregnation process was carried out at pressures of 10, 15 and 20 MPa and at 40 degrees C. Both polymers showed the highest amount of incorporated inclusion complex at 15 MPa, where the percentage of impregnation varied from 0.6 % to 7.1 % in Mater-Bi (R) and PLA, respectively. Release tests for PLA films impregnated with inclusion complex showed a slow release of the active compound, which did not reach equilibrium after 350 h under the experimental conditions. This prolonged release was not observed in Mater-Bi (R) due to the lower incorporation of the inclusion complex. The release rate was described herein by a comprehensive phenomenological model considering the decomplexation kinetics combined with the equilibrium and mass transfer expressions.</t>
  </si>
  <si>
    <t>Arrieta Dillon, Marina/F-9067-2016; olea, felipe/IAN-5687-2023; Romero, Julio/I-6705-2013; Rodríguez, Francisco/I-5283-2018</t>
  </si>
  <si>
    <t>Rivera Fuentealba, Patricia/0000-0003-0621-7166</t>
  </si>
  <si>
    <t>0141-8130</t>
  </si>
  <si>
    <t>1879-0003</t>
  </si>
  <si>
    <t>10.1016/j.ijbiomac.2024.133946</t>
  </si>
  <si>
    <t>AUG 2024</t>
  </si>
  <si>
    <t>WOS:001301371900001</t>
  </si>
  <si>
    <t>Sotelo, S; Oyarce, E; Roa, K; Boulett, A; Pizarro, G; Sánchez, J</t>
  </si>
  <si>
    <t>Sotelo, Sebastian; Oyarce, Estefania; Roa, Karina; Boulett, Andres; Pizarro, Guadalupe; Sanchez, Julio</t>
  </si>
  <si>
    <t>Sodium lignosulfonate as an extracting agent of methylene blue dye using a polymer-enhanced ultrafiltration technique</t>
  </si>
  <si>
    <t>The purpose of this research was to evaluate the efficacy of sodium lignosulfonate (LS) as a dye adsorbent in the removal of methylene blue (MB) from water by polymer-enhanced ultrafiltration. Various parameters were evaluated, such as membrane molecular weight cut-off, pH, LS dose, MB concentration, applied pressure, and the effect of interfering ions. The results showed that the use of LS generated a significant increase in MB removal, reaching an elimination of up to 98.0 % with 50.0 mg LS and 100 mg L-1 MB. The maximum MB removal capacity was 21 g g-1 using the enrichment method. In addition, LS was reusable for up to four consecutive cycles of dye removal-elution. The removal test in a simulated liquid industrial waste from the textile industry was also effective, with a MB removal of 97.2 %. These findings indicate that LS is highly effective in removing high concentrations of MB dye, suggesting new prospects for its application in water treatment processes.</t>
  </si>
  <si>
    <t>Sanchez, Julio/AEO-4360-2022; PIZARRO, GUADALUPE/V-3353-2017</t>
  </si>
  <si>
    <t>Sanchez, Julio/0000-0003-4245-0096</t>
  </si>
  <si>
    <t>10.1016/j.ijbiomac.2024.133567</t>
  </si>
  <si>
    <t>JUL 2024</t>
  </si>
  <si>
    <t>WOS:001266193000001</t>
  </si>
  <si>
    <t>Veliz, L; Farias, M</t>
  </si>
  <si>
    <t>Veliz, Leonardo; Farias, Miguel</t>
  </si>
  <si>
    <t>Exploring Discursive Positionings and Negotiations of Gender Diversity in English Language Teaching Through the Lens of Critical Pedagogy</t>
  </si>
  <si>
    <t>EDUCATIONAL FORUM</t>
  </si>
  <si>
    <t>This study explores EFL students' perceptions of gender diversity by analyzing their interactions about Chile's same-sex marriage law in 2022. The study focused on fostering linguistic and critical skills through classroom discussions. A safe space for open conversations allowed students to express diverse views on gender diversity. While opinions varied, students' discussions were navigated respectfully and indicated that the pedagogical approach used by the teacher encourages critical awareness of societal inequalities in Chile.</t>
  </si>
  <si>
    <t>Veliz, Leonardo/ABH-9324-2020; Farias, Miguel/JBJ-8602-2023</t>
  </si>
  <si>
    <t>Veliz, Leonardo/0000-0003-2489-7484; Farias, Miguel/0000-0002-9202-7053</t>
  </si>
  <si>
    <t>0013-1725</t>
  </si>
  <si>
    <t>1938-8098</t>
  </si>
  <si>
    <t>JUL 2</t>
  </si>
  <si>
    <t>SI</t>
  </si>
  <si>
    <t>10.1080/00131725.2024.2340693</t>
  </si>
  <si>
    <t>APR 2024</t>
  </si>
  <si>
    <t>WOS:001211464700001</t>
  </si>
  <si>
    <t>Eugenín, J; Beltrán-Castillo, S; Irribarra, E; Pulgar-Sepúlveda, R; Abarca, N; von Bernhardi, R</t>
  </si>
  <si>
    <t>Eugenin, Jaime; Beltran-Castillo, Sebastian; Irribarra, Estefania; Pulgar-Sepulveda, Raul; Abarca, Nicolas; von Bernhardi, Rommy</t>
  </si>
  <si>
    <t>Microglial reactivity in brainstem chemosensory nuclei in response to hypercapnia</t>
  </si>
  <si>
    <t>FRONTIERS IN PHYSIOLOGY</t>
  </si>
  <si>
    <t>Microglia, the resident immune cells of the CNS, surveil, detect, and respond to various extracellular signals. Depending on the nature of these signals, an integrative microglial response can be triggered, resulting in a phenotypic transformation. Here, we evaluate whether hypercapnia modifies microglia phenotype in brainstem respiratory-related nuclei. Adult C57BL/6 inbred mice were exposed to 10% CO2 enriched air (hypercapnia), or pure air (control), for 10 or 30 min and immediately processed for immunohistochemistry to detect the ubiquitous microglia marker, ionized calcium binding adaptor molecule 1 (Iba1). Hypercapnia for thirty, but not 10 min reduced the Iba1 labeling percent coverage in the ventral respiratory column (VRC), raphe nucleus (RN), and nucleus tractus solitarius (NTS) and the number of primary branches in VRC. The morphological changes persisted, at least, for 60 min breathing air after the hypercapnic challenge. No significant changes were observed in Iba1+ cells in the spinal trigeminal nucleus (Sp5) and the hippocampus. In CF-1 outbred mice, 10% CO2 followed by 60 min of breathing air, resulted in the reduction of Iba1 labeling percent coverage and the number and length of primary branches in VRC, RN, and NTS. No morphological change was observed in Iba1+ cells in Sp5 and hippocampus. Double immunofluorescence revealed that prolonged hypercapnia increased the expression of CD86, an inflammatory marker for reactive state microglia, in Iba1+ cells in VRC, RN, and NTS, but not in Sp5 and hippocampus in CF-1 mice. By contrast, the expression of CD206, a marker of regulatory state microglia, persisted unmodified. In brainstem, but not in hippocampal microglia cultures, hypercapnia increased the level of IL1 beta, but not that of TGF beta measured by ELISA. Our results show that microglia from respiratory-related chemosensory nuclei, are reactive to prolonged hypercapnia acquiring an inflammatory-like phenotype.</t>
  </si>
  <si>
    <t>Beltran Castillo, Sebastian/AAT-2028-2021; von Bernhardi, Rommy/IAO-3764-2023</t>
  </si>
  <si>
    <t>Beltran-Castillo, Sebastian/0000-0003-4550-6323</t>
  </si>
  <si>
    <t>1664-042X</t>
  </si>
  <si>
    <t>FEB 27</t>
  </si>
  <si>
    <t>10.3389/fphys.2024.1332355</t>
  </si>
  <si>
    <t>WOS:001181216900001</t>
  </si>
  <si>
    <t>Ternero, R; Sepúlveda, J; Alfaro, M; Fuertes, G; Vargas, M; Sepúlveda-Rojas, JP; Soto-Jancidakis, L</t>
  </si>
  <si>
    <t>Ternero, Rodrigo; Sepulveda, Juan; Alfaro, Miguel; Fuertes, Guillermo; Vargas, Manuel; Sepulveda-Rojas, Juan Pedro; Soto-Jancidakis, Lukas</t>
  </si>
  <si>
    <t>Analysis of Pedestrian Behavior for the Optimization of Evacuation Plans in Tall Buildings: Case Study Santiago, Chile</t>
  </si>
  <si>
    <t>BUILDINGS</t>
  </si>
  <si>
    <t>Countries located in the Pacific Ring of Fire, such as Chile, require robust evacuation plans for tall buildings to manage the ongoing threat of natural disasters. This study presents a methodology for developing evacuation plans by conducting pedestrian movement simulations with agents that have a model of their surroundings. This approach allows us to assess different scenarios and choose the best option based on the specific characteristics of the site. The method combines simulation and data analysis, using the Monte Carlo method to improve emergency evacuations. Initially, Pathfinder software was employed to simulate the evacuation of a tall building. This involved modeling pedestrian movements using a multiagent system. These agents were programmed to behave like real pedestrians and make decisions during evacuation scenarios, providing valuable information. The effectiveness of two evacuation strategies was then evaluated using the simulation data. The proposed methodology was validated using a case study. The simulations showed that the best strategy depends on factors such as the distribution of people, the capacity of the exits, and the time available for evacuation. Finally, the model includes a training process that uses virtual reality technology to improve situational awareness.</t>
  </si>
  <si>
    <t>vargas, manuel/AAG-4780-2020; Fuertes, Guillermo/Q-2341-2016; Sepulveda-Rojas, Juan Pedro/C-1799-2013</t>
  </si>
  <si>
    <t>Fuertes, Guillermo/0000-0003-3044-5919; Sepulveda, Juan M./0000-0003-3755-0981; Ternero Saavedra, Rodrigo/0000-0002-6075-6657; Sepulveda-Rojas, Juan Pedro/0000-0002-6725-7295</t>
  </si>
  <si>
    <t>2075-5309</t>
  </si>
  <si>
    <t>10.3390/buildings13122907</t>
  </si>
  <si>
    <t>WOS:001131334200001</t>
  </si>
  <si>
    <t>Gómez, CF; Villalobos-Vergara, P; Castillo, DM; Pérez, JF</t>
  </si>
  <si>
    <t>Gomez, Catherine Flores; Villalobos-Vergara, Paula; Castillo, Daniela Maturana; Perez, Jose Francisco</t>
  </si>
  <si>
    <t>Feedback in pedagogical practices : interactions between university supervisors and preservice teachers</t>
  </si>
  <si>
    <t>REVISTA DIGITAL DE INVESTIGACION EN DOCENCIA UNIVERSITARIA-RIDU</t>
  </si>
  <si>
    <t>Introduction: This research sought to identify the type of interventions produced between university supervisors and student teachers during feedback phase in practical training, Objective: To analyze how interactions can promote reflection and autonomy of teacher in training. Method: Methodologically framed in a case study, two supervisors and ten student teachers from a public university in Chile participated. They were examined ten transcripts of video recordings were analyzed using Heron's interpersonal relationship analysis framework for the description of feedback given by the supervisor. Results: The main findings account for two interventions areas in which the dialogue is centered: feedback focused on management skills and classroom procedures and predominantly directive feedback with the presence of nondirective interventions focused on giving support.</t>
  </si>
  <si>
    <t>2223-2516</t>
  </si>
  <si>
    <t>JUL-DEC</t>
  </si>
  <si>
    <t>e1576</t>
  </si>
  <si>
    <t>10.19083/ridu.2022.1576</t>
  </si>
  <si>
    <t>WOS:001272960200004</t>
  </si>
  <si>
    <t>Lara, N; Portilla, A; Osorio, F; Ruales, J</t>
  </si>
  <si>
    <t>Lara, Nelly; Portilla, Arnulfo; Osorio, Fernando; Ruales, Jenny</t>
  </si>
  <si>
    <t>Modeling of the microwave heating-toasting time-related variables and characterization of non-isothermal rheological properties of floury and sweet specialty maize kernels</t>
  </si>
  <si>
    <t>APPLIED FOOD RESEARCH</t>
  </si>
  <si>
    <t>The three primary floury and sweet maize types, with specialty kernels to make entire ready-to-eat maize, and packed in sealable paper envelopes, were the experimental units (150 g of raw kernels) to model the effect of the microwave heating-toasting (2450 MHz microwave oven, 492 W, times 0, 78, 156, 234, 312, and 390 s) on time -related variables and characterize the non-isothermal rheological properties. Pauses every 60 s for a rapid manual shaking compensated for non-uniformity of microwave volumetric heating. Surface color difference (Delta E*), inter-nal porosity, milling average particle size, and flour hydration properties displayed curves adequately described by simple and nonlinear regression models. The milling particle size, hydration properties, and rheological pa-rameters illustrated floury and sweet kernel differences ascribed to their proximal composition. Onset and peak temperatures depended on maize types and showed a little variation attributed to microwave heating-toasting times. The elastic/viscous modulus ratio increased in floury maize. It decreased in sweet maize, unveiling rheo-logical differences associated with microwave heating-toasting time effect on the contrasting structure of floury and sweet specialty Andean maize kernels used for toasting.</t>
  </si>
  <si>
    <t>; osorio, fernando/AAY-7304-2021</t>
  </si>
  <si>
    <t>Lara, Nelly/0000-0003-4764-0892; osorio, fernando/0000-0001-7206-0924</t>
  </si>
  <si>
    <t>2772-5022</t>
  </si>
  <si>
    <t>10.1016/j.afres.2022.100119</t>
  </si>
  <si>
    <t>WOS:001136207800022</t>
  </si>
  <si>
    <t>Vergara, PM; Fierro, A; Carvajal, MA; Alaniz, AJ; Quiroz, M</t>
  </si>
  <si>
    <t>Vergara, Pablo M.; Fierro, Andres; Carvajal, Mario A.; Alaniz, Alberto J.; Quiroz, Madelaine</t>
  </si>
  <si>
    <t>Multiple environmental drivers for the Patagonian forest-dwelling beetles: Contrasting functional and taxonomic responses across strata and trophic guilds</t>
  </si>
  <si>
    <t>SCIENCE OF THE TOTAL ENVIRONMENT</t>
  </si>
  <si>
    <t>changes in forest-dwelling beetle communities. However, the effects of multiple environmental factors can be complex to detect in ecosystems that offer a broad variety of microhabitats for a great variety of beetle species. This is the case in Patagonian temperate forests, where the use of remote sensing provides an opportunity to evaluate the sensitivity of beetle species to environmental changes. Here, we identified the environmental drivers of forest-dwelling beetle communities in the ground and canopy of 34 north Patagonian-forest landscapes. We analyzed the associations of the taxonomic and functional diversity of five trophic guilds with 30 remote-sensing variables of landscape structure, composition, and disturbances; vegetation and soil properties; and climate and physical variables. Hierarchical clustering analysis was used to identify trophic guilds responding similarly to predictors. Segmented regression analysis was used to evaluate functional redundancy from taxonomic-functional richness relationships. A total of 583 species (23,848 individuals) of beetles were recorded for both strata. The effects of environmental variables were heterogeneous across strata and guilds. Canopy beetles were especially sensitive to early successional conditions, and canopy attributes, but also benefited from the canopy openness. Forest specialists of the ground and canopy responded differently to environmental variables. Ground-dwelling beetles were mostly affected by fires, human modifications, edge closeness, high temperatures, and soil properties, responding weakly to canopy properties. Functional redundancy</t>
  </si>
  <si>
    <t>Vergara, Pablo/F-2519-2010; Alaniz, Alberto/J-3104-2019; Carvajal, Mario/GYU-2659-2022; Quiroz, Madelaine/ACG-9162-2022</t>
  </si>
  <si>
    <t>0048-9697</t>
  </si>
  <si>
    <t>1879-1026</t>
  </si>
  <si>
    <t>SEP 10</t>
  </si>
  <si>
    <t>10.1016/j.scitotenv.2022.155906</t>
  </si>
  <si>
    <t>MAY 2022</t>
  </si>
  <si>
    <t>WOS:000806604000001</t>
  </si>
  <si>
    <t>López-Ospina, H; Pardo, D; Rojas, A; Barros-Castro, R; Palacio, K; Quezada, L</t>
  </si>
  <si>
    <t>Lopez-Ospina, Hector; Pardo, Daniela; Rojas, Alejandra; Barros-Castro, Ricardo; Palacio, Katherine; Quezada, Luis</t>
  </si>
  <si>
    <t>A revisited fuzzy DEMATEL and optimization method for strategy map design under the BSC framework: selection of objectives and relationships</t>
  </si>
  <si>
    <t>SOFT COMPUTING</t>
  </si>
  <si>
    <t>This paper proposes a quantitative method for the selection of strategic objectives and causal relationships to be included in a strategy map of a Balanced Scorecard. A strategy map usually contains the strategic objectives of an organization, grouped into four perspectives: (a) finances, (b) clients, (c) internal processes, and (d) growth and learning, all of them linked through cause-effect relationships. The use of quantitative tools, such as multicriteria decision making, has been proposed to model a strategy map and to select the causal relationships to be included. However, no work has been found in the literature to select the strategic objectives to be incorporated into the map. This is the gap that is addressed in this paper. To overcome this gap, the proposed method incorporates a fuzzy multicriteria method known as DEMATEL (decision-making trial and evaluation laboratory) with an optimization model to choose the strategic objectives and their causal relationships. DEMATEL is used to set priorities to the components of the strategy map, whereas the optimization model selects those to be included by producing the appropriate balance between conflicting goals that appear in building a strategy map (minimum amount of relationships among strategic objectives, maximizing the weight of the relationships/objectives selected). As an illustrative case, the method is applied to a higher education institution where expert judgment in this field provided validation of the strategy map designed.</t>
  </si>
  <si>
    <t>Quezada, Luis/W-8168-2019; Palacio, Katherine/HNQ-6799-2023</t>
  </si>
  <si>
    <t>Lopez-Ospina, Hector/0000-0001-8144-6394; PALACIO SALGAR, KATHERINE/0000-0001-6134-7700</t>
  </si>
  <si>
    <t>1432-7643</t>
  </si>
  <si>
    <t>1433-7479</t>
  </si>
  <si>
    <t>10.1007/s00500-022-07042-7</t>
  </si>
  <si>
    <t>APR 2022</t>
  </si>
  <si>
    <t>WOS:000782725600004</t>
  </si>
  <si>
    <t>Díaz, HA; Gárate, E; Maureira, F; Flores, E</t>
  </si>
  <si>
    <t>Liu, Y; Shi, Y; Wang, Y; Ergu, D; Berg, D; Tien, J; Li, J; Tian, Y</t>
  </si>
  <si>
    <t>Diaz M, Hernan A.; Garate, Elias; Maureira, Fernando; Flores, Elizabeth</t>
  </si>
  <si>
    <t>Hurst entropy profiles for Beta Low and Beta High EEG sub-bands II: Intergroup comparison</t>
  </si>
  <si>
    <t>8TH INTERNATIONAL CONFERENCE ON INFORMATION TECHNOLOGY AND QUANTITATIVE MANAGEMENT (ITQM 2020 &amp; 2021): DEVELOPING GLOBAL DIGITAL ECONOMY AFTER COVID-19</t>
  </si>
  <si>
    <t>8th International Conference on Information Technology and Quantitative Management (ITQM) - Developing Global Digital Economy after COVID-19</t>
  </si>
  <si>
    <t>JUL 09-11, 2021</t>
  </si>
  <si>
    <t>Chengdu, PEOPLES R CHINA</t>
  </si>
  <si>
    <t>The study of the entropic structure and organization of the brain allows us to visualize brain functioning as a network of hyper-complex processes that exist on the verge of chaos, thanks to the permanent supply of energy that sustains it in this quasi-stable condition. However, this energy supply does not ensure its optimal administration, and it is possible that much of the chronic, acute, severe or mild neuro-psychopathology that we experience in society may have to do with the inappropriate distribution in the brain of the entropic order/chaos balance that every complex organic system must pay. In the present report, we replicated and extended the set of results from using brain entropic profiles to characterize the structure and organization of the order/chaos balance in the brain on the basis of the EEG electrodes array. Through intergroup comparison of two similar samples, we corroborated the nonlinear behavior of the Hurst exponent estimator, as well as confirmed the behavior of the two Hurst derivatives that estimate the order/chaos balance at different time scales. The two samples compared correspond to a random sample (N=7) and a non-random sample (N=13) of subjects from which EEG recordings were obtained in basal resting conditions with eyes closed, using the Emotiv Epoc brain-computer interface (Research Edition), with a sampling rate of 128Hz. The study also compared the behavior of the nonlinear estimators in 4 sub-second time processing windows (125ms, 250ms, 500ms, and 1s). The overall results of all the comparisons made were consistent in the inter-group comparison, but at the same time some differences between the two samples were revealed. The study also revealed some differences at the intra-group level, as well as at the intra- and inter-individual scales. The use of entropic brain profiles proved to be a powerful tool to conduct an investigation of the non-linear phenomenology of EEG and its implications on the order/chaos balance of the brain. (C) 2021 The Authors. Published by Elsevier B.V.</t>
  </si>
  <si>
    <t>Flores, Elizabeth/JLM-7033-2023; Arciniegas, Hugo Armando/GSN-3657-2022</t>
  </si>
  <si>
    <t>10.1016/j.procs.2022.01.180</t>
  </si>
  <si>
    <t>FEB 2022</t>
  </si>
  <si>
    <t>WOS:000765802100183</t>
  </si>
  <si>
    <t>Chaná-Cuevas, P; Salles-Gándara, P; Rojas-Fernandez, A; Salinas-Rebolledo, C; Milán-Solé, A</t>
  </si>
  <si>
    <t>Chana-Cuevas, Pedro; Salles-Gandara, Philippe; Rojas-Fernandez, Alejandro; Salinas-Rebolledo, Constanza; Milan-Sole, Anna</t>
  </si>
  <si>
    <t>The Potential Role of SARS-COV-2 in the Pathogenesis of Parkinson's Disease</t>
  </si>
  <si>
    <t>FRONTIERS IN NEUROLOGY</t>
  </si>
  <si>
    <t>Considering their current burden and epidemiological projections, nowadays Parkinson's disease and the COVID-19 pandemic are two key health problems. There is evidence of the pathogenic role of neurotropic viruses in neurodegenerative diseases and coronaviruses are neurotropic, with some of them selectively targeting the basal ganglia. Moreover, some authors demonstrated the longevity of these viruses in the affected cells of the nervous system for long periods. Coronavirus was detected in brain autopsies and SARS-CoV-2 has been isolated from the CSF of affected patients. The marked inflammatory response in some particular patients with COVID-19 with a consequent increase of pro-inflammatory cytokines is considered a prognostic factor. Immunologic changes are observed in patients with Parkinson's disease, possibly having a role in its pathogenesis. A dynamic pro-inflammatory state accompanies alpha-synuclein accumulation and the development and progression of neurodegeneration. Also, some viral infectious diseases might have a role as triggers, generating a cross autoimmune reaction against alpha-synuclein. In the past Coronaviruses have been related to Parkinson's disease, however, until now the causal role of these viruses is unknown. In this paper, our focus is to assess the potential relationship between SARS-CoV-2 infection and Parkinson's disease.</t>
  </si>
  <si>
    <t>Salles, Philippe/AAD-6070-2022; Chana-Cuevas, Pedro/AAM-8215-2020; SALINAS, CITLALTEPETL/AAG-4810-2020; Rojas Fernandez, Alejandro/K-3291-2014</t>
  </si>
  <si>
    <t>Milan, Anna/0000-0003-4845-352X; Rojas Fernandez, Alejandro/0000-0002-6004-5425; Salinas-Rebolledo, Constanza/0000-0002-6220-504X</t>
  </si>
  <si>
    <t>1664-2295</t>
  </si>
  <si>
    <t>SEP 17</t>
  </si>
  <si>
    <t>10.3389/fneur.2020.01044</t>
  </si>
  <si>
    <t>WOS:000576373100001</t>
  </si>
  <si>
    <t>Barrientos, RE; Ahmed, S; Cortés, C; Fernández-Galleguillos, C; Romero-Parra, J; Simirgiotis, MJ; Echeverría, J</t>
  </si>
  <si>
    <t>Barrientos, Ruth E.; Ahmed, Shakeel; Cortes, Carmen; Fernandez-Galleguillos, Carlos; Romero-Parra, Javier; Simirgiotis, Mario J.; Echeverria, Javier</t>
  </si>
  <si>
    <t>Chemical Fingerprinting and Biological Evaluation of the Endemic Chilean FruitGreigia sphacelata(Ruiz and Pav.) Regel (Bromeliaceae) by UHPLC-PDA-Orbitrap-Mass Spectrometry</t>
  </si>
  <si>
    <t>MOLECULES</t>
  </si>
  <si>
    <t>Greigia sphacelata(Ruiz and Pav.) Regel (Bromeliaceae) is a Chilean endemic plant popularly known as quiscal and produces an edible fruit consumed by the local Mapuche communities named as chupon. In this study, several metabolites including phenolic acids, organic acids, sugar derivatives, catechins, proanthocyanidins, fatty acids, iridoids, coumarins, benzophenone, flavonoids, and terpenes were identified inG. sphacelatafruits using ultrahigh performance liquid chromatography-photodiode array detection coupled with a Orbitrap mass spectrometry (UHPLC-PDA-Orbitrap-MS) analysis for the first time. The fruits showed moderate antioxidant capacities (i.e., 487.11 +/- 26.22 mu mol TE/g dry weight) in the stable radical DPPH assay, 169.08 +/- 9.81 TE/g dry weight in the ferric reducing power assay, 190.32 +/- 6.23 TE/g dry weight in the ABTS assay, and 76.46 +/- 3.18% inhibition in the superoxide anion scavenging assay. The cholinesterase inhibitory potential was evaluated against acetylcholinesterase (AChE) and butyrylcholinesterase (BChE). From the findings, promising results were observed for pulp and seeds. Our findings suggest thatG. sphacelatafruits are a rich source of diverse secondary metabolites with antioxidant capacities. In addition, the inhibitory effects against AChE and BChE suggest that natural products or food supplements derived fromG. sphacelatafruits are of interest for their neuroprotective potential.</t>
  </si>
  <si>
    <t>Echeverría, Javier/AAK-3323-2020; Galleguillos, Carlos/ABA-5721-2020; Barrientos-Vásquez, Ruth/AAH-9067-2019; Awan, Shakeel/AAG-2097-2019; Simirgiotis Aguero, Mario Juan/P-3871-2017; Muafa, Hussein Mussa Ahmed/IWE-4818-2023</t>
  </si>
  <si>
    <t>AHMED, SHAKEEL/0000-0003-0086-2279; Simirgiotis Aguero, Mario Juan/0000-0003-4552-3123; Barrientos Vasquez, Ruth Ester/0000-0002-7162-9290; Echeverria, Javier/0000-0002-1688-968X; Fernandez-Galleguillos, Carlos/0000-0003-4282-8853; Muafa, Hussein Mussa Ahmed/0000-0002-5290-025X</t>
  </si>
  <si>
    <t>1420-3049</t>
  </si>
  <si>
    <t>10.3390/molecules25163750</t>
  </si>
  <si>
    <t>WOS:000577869400001</t>
  </si>
  <si>
    <t>Espinoza, LC; Sepulveda, P; García, A; de Godoi, DM; Salazar, R</t>
  </si>
  <si>
    <t>Espinoza, L. Carolina; Sepulveda, Pamela; Garcia, Alejandra; Martins de Godoi, Denis; Salazar, Ricardo</t>
  </si>
  <si>
    <t>Degradation of oxamic acid using dimensionally stable anodes (DSA) based on a mixture of RuO2 and IrO2 nanoparticles</t>
  </si>
  <si>
    <t>CHEMOSPHERE</t>
  </si>
  <si>
    <t>Dimensionally stable anodes (DSA) have been widely used to degrade organic compounds because these surfaces promote the electrogeneration of active chlorine species in the bulk of the solution, as well as in the vicinity of the anode when NaCl is used as supporting electrolyte. In this work, the nanoparticles synthesis of IrO2 and RuO2 was performed to obtain two types of DSA electrodes named Class I and II to degrade oxamic acid. For Class I and II DSA, the nanoparticles used were synthesized separately and in the same reaction medium, respectively. Electrolysis were carried out in an open cylindrical cell without division at 25 degrees C, DSAs were used as anodes and a stainless-steel electrode as cathode, both elements have a geometric area of 2.8 cm(2) immersed in 0.05 mol L-1 of NaCl or Na2SO4 and a current density of 3 mA cm(-2) was applied for 6 h. Active chlorine species generated in the absence of oxamic acid in NaCl were also detected and quantified through ion chromatography. In Na(2)SO(4 )there was no degradation of the compound, but in NaCl the oxamic acid concentration reaching 85% with Class I DSA. The same tendency is observed in mineralization, in which Class I DSA allowed reaching a CO2 transformation close to 73%. The difference in the results occurs because with Class I DSA, more hypochlorite is generated than with Class II and therefore there is a larger amount of oxidizing species in the solution that enables the degradation and mineralization of oxamic acid. (C) 2020 Elsevier Ltd. All rights reserved.</t>
  </si>
  <si>
    <t>Godoi, Denis/B-2590-2013; Garcia, Alejandra/IQT-2699-2023; Espinoza, Carolina/HSH-9507-2023; Sepulvedaor, Pamela/GRO-3516-2022; Salazar, Ricardo/L-7870-2013; Garcia-Garcia, A./B-1478-2012</t>
  </si>
  <si>
    <t>Salazar-Gonzalez, Ricardo/0000-0003-2180-6022; Garcia-Garcia, A./0000-0001-7794-135X; Espinoza, L. Carolina/0000-0002-6021-0742</t>
  </si>
  <si>
    <t>0045-6535</t>
  </si>
  <si>
    <t>1879-1298</t>
  </si>
  <si>
    <t>10.1016/j.chemosphere.2020.126674</t>
  </si>
  <si>
    <t>WOS:000533642900031</t>
  </si>
  <si>
    <t>Elettro, H; Melo, F</t>
  </si>
  <si>
    <t>Elettro, Herve; Melo, Francisco</t>
  </si>
  <si>
    <t>Adsorption-induced spontaneous curvature and superflexibility in monolayer graphene</t>
  </si>
  <si>
    <t>PHYSICAL REVIEW MATERIALS</t>
  </si>
  <si>
    <t>Graphene is considered an enabling material for next generation sensors, due to the remarkable properties derived from its atomic thickness. However, these promises come with acute sensitivity to parasite adsorbates, that may hinder reaching the full potential of commercial devices. Herein we report a detailed study of the dramatic effect of adsorbed carbon chains on the effective mechanical properties of graphene monolayers supported by different liquids. We first extract the equivalent bending stiffness of graphene/alcohol bilayers by observing the spontaneous wrinkling of graphene sheets floating on solutions of increasing alcohol contents. We find gains in flexibilities of more than three orders of magnitude compared to expected and previously reported values. We then implement the role of frustrated adsorption in classical membrane models and predict quantitatively the wrinkling transition with no fitting parameters. We also predict a simultaneous transition in alcohol adsorbed on the wrinkled graphene monolayer. We finally characterize this dual transition by detailed combined optical analysis and confocal Raman spectroscopy, and confirm the predictions of the presented model as well as the claims of superflexibility.</t>
  </si>
  <si>
    <t>Elettro, Hervé/X-2780-2019; Melo, Francisco/M-3923-2014; Elettro, Herve/M-3837-2015</t>
  </si>
  <si>
    <t>Melo, Francisco Esteban/0000-0001-6818-5476; Elettro, Herve/0000-0002-4765-4656</t>
  </si>
  <si>
    <t>2475-9953</t>
  </si>
  <si>
    <t>JUN 30</t>
  </si>
  <si>
    <t>10.1103/PhysRevMaterials.4.066004</t>
  </si>
  <si>
    <t>WOS:000548354100002</t>
  </si>
  <si>
    <t>Olate-Gallegos, C; Barriga, A; Vergara, C; Fredes, C; García, P; Giménez, B; Robert, P</t>
  </si>
  <si>
    <t>Olate-Gallegos, Carla; Barriga, Andres; Vergara, Cristina; Fredes, Carolina; Garcia, Paula; Gimenez, Begona; Robert, Paz</t>
  </si>
  <si>
    <t>Identification of Polyphenols from Chilean Brown Seaweeds Extracts by LC-DAD-ESI-MS/MS</t>
  </si>
  <si>
    <t>JOURNAL OF AQUATIC FOOD PRODUCT TECHNOLOGY</t>
  </si>
  <si>
    <t>Polyphenol profiles were characterized in extracts of three Chilean brown seaweeds, Durvillaea antarctica (Chamisso) Hariot, Lessonia spicata (Suhr) Santelices, and Macrocystis integrifolia (Bory) by liquid chromatography with mass spectrometry detection (LC-MS/MS). Phlorotannins with different degrees of polymerization were identified in D. antarctica (trimers to octamers) and L. spicata (trimers to tetramers). No signals related to phlorotannins compounds were detected in M. integrifolia. L. spicata and M. integrifolia showed a great variety of flavonoid compounds in comparison with D. antarctica, mainly identified as glycoside forms in all the extracts. The antioxidant activity of brown seaweed extracts measured by ferric reducing power (FRAP) and oxygen radical absorbance capacity (ORAC) was significantly higher in D. antarctica, followed by M. integrifolia and L. spicata, in line with the total phenolic (TP) content. However, D. antarctica and M. integrifolia showed similar activity for free radical 2,2-diphenyl-1-picrylhydrazyl (DPPH) in spite of the differences found in TP content. D. antarctica as well as L. spicata would represent a potential source of phlorotannins, whereas M. integrifolia could be considered as an alternative source of flavonoids. The identification of polyphenols in extracts of Chilean brown seaweeds opens innovative opportunities for their use in the food and pharmaceutical industries.</t>
  </si>
  <si>
    <t>Robert, Paz/G-8198-2014; GARCIA, PAULA/H-3149-2018; Vergara, Cristina/AAT-9575-2021</t>
  </si>
  <si>
    <t>Fredes, Carolina/0000-0002-2786-9078; Barriga, Andres/0000-0003-4375-4155</t>
  </si>
  <si>
    <t>1049-8850</t>
  </si>
  <si>
    <t>1547-0636</t>
  </si>
  <si>
    <t>APR 21</t>
  </si>
  <si>
    <t>10.1080/10498850.2019.1594483</t>
  </si>
  <si>
    <t>MAR 2019</t>
  </si>
  <si>
    <t>WOS:000465838000001</t>
  </si>
  <si>
    <t>Akyildiz, FT; Siginer, DA</t>
  </si>
  <si>
    <t>Akyildiz, F. Talay; Siginer, Dennis A.</t>
  </si>
  <si>
    <t>Laminar Forced Convection in Transversely Corrugated Microtubes</t>
  </si>
  <si>
    <t>JOURNAL OF HEAT TRANSFER-TRANSACTIONS OF THE ASME</t>
  </si>
  <si>
    <t>Forced convection heat transfer in fully developed laminar flow in transversely corrugated tubes is investigated for nonuniform but constant wall heat flux as well as for constant wall temperature. Epitrochoid conformal mapping is used to map the flow domain onto the unit circle in the computational domain. The governing equations are solved in the computational domain analytically. An exact analytical solution for the temperature field is derived together with closed form expressions for bulk temperature and Nusselt number for the case of the constant heat flux at the wall. A variable coefficient Helmholtz eigenvalue problem governs the case of the constant wall temperature. A novel semi-analytical solution based on the spectral Galerkin method is introduced to solve the Helmholtz equation. The solution in both constant wall heat flux and constant wall temperature case is shown to collapse onto the well-known results for the circular straight tube for zero waviness.</t>
  </si>
  <si>
    <t>Akyildiz, Fahir/JWG-1446-2024</t>
  </si>
  <si>
    <t>0022-1481</t>
  </si>
  <si>
    <t>1528-8943</t>
  </si>
  <si>
    <t>10.1115/1.4042331</t>
  </si>
  <si>
    <t>WOS:000474734300005</t>
  </si>
  <si>
    <t>Lillo, J; Rojas, F; Verdugo, D; Díaz, M; Pereda, J; Gatica, G; Espinoza, M</t>
  </si>
  <si>
    <t>Lillo, Jonathan; Rojas, Felix; Verdugo, Diego; Diaz, Matias; Pereda, Javier; Gatica, Gustavo; Espinoza, Mauricio</t>
  </si>
  <si>
    <t>Dynamic DC-Link Voltage Control of Back to Back Modular Multilevel Converter for Drive Applications</t>
  </si>
  <si>
    <t>45TH ANNUAL CONFERENCE OF THE IEEE INDUSTRIAL ELECTRONICS SOCIETY (IECON 2019)</t>
  </si>
  <si>
    <t>IEEE Industrial Electronics Society</t>
  </si>
  <si>
    <t>45th Annual Conference of the IEEE Industrial Electronics Society (IECON)</t>
  </si>
  <si>
    <t>OCT 14-17, 2019</t>
  </si>
  <si>
    <t>Lisbon, PORTUGAL</t>
  </si>
  <si>
    <t>IEEE,Univ Nova Lisboa,IEEE Ind Elect Soc</t>
  </si>
  <si>
    <t>In this work a dynamic control of the dc-link voltage in a hybrid Back-to-Back (BtB) Modular Multilevel Converter for medium-voltage drive applications is presented. The proposed control scheme relates the speed of the machine with the dc-link voltage magnitude to reduce the large circulating currents and common-mode voltage of the converter when the machine operates at low speed. Simulation results, performed in the software PLECS, validate the model of the BtB converter and the proposed control scheme, reducing circulating currents and common mode voltage in almost 70% and 60% respectively, when the machine operates at very low speed.</t>
  </si>
  <si>
    <t>Rojas, Felix/U-3305-2019; gatica, gustavo/KXR-7308-2024; Espinoza, Mauricio/AAH-8647-2019; Pereda Torres, Javier/F-8244-2013; Diaz, Matias/R-7570-2018</t>
  </si>
  <si>
    <t>Pereda Torres, Javier/0000-0002-3407-5233; Diaz, Matias/0000-0003-4489-9532; Rojas, Felix/0000-0001-6145-2826</t>
  </si>
  <si>
    <t>1553-572X</t>
  </si>
  <si>
    <t>978-1-7281-4878-6</t>
  </si>
  <si>
    <t>10.1109/iecon.2019.8927583</t>
  </si>
  <si>
    <t>WOS:000522050606019</t>
  </si>
  <si>
    <t>Cerda, P; Iturriaga, L; Lorca, S; Ubilla, P</t>
  </si>
  <si>
    <t>Cerda, Patricio; Iturriaga, Leonelo; Lorca, Sebastian; Ubilla, Pedro</t>
  </si>
  <si>
    <t>POSITIVE RADIAL SOLUTIONS OF A NONLINEAR BOUNDARY VALUE PROBLEM</t>
  </si>
  <si>
    <t>COMMUNICATIONS ON PURE AND APPLIED ANALYSIS</t>
  </si>
  <si>
    <t>In this work we study the following quasilinear elliptic equation: { -div ( vertical bar x vertical bar(alpha) del u/(a(vertical bar x vertical bar) + g(u))gamma = vertical bar x vertical bar(beta) u(p) in Omega u = 0 on partial derivative Omega where a is a positive continuous function, g is a nonnegative and nondecreasing continuous function, Omega = B-R, is the ball of radius R &gt; 0 centered at the origin in R-N, N &gt;= 3 and, the constants alpha, beta is an element of R, gamma is an element of(0,1) and p &gt; 1. We derive a new Liouville type result for a kind of broken equation. This result together with blow-up techniques, a priori estimates and a fixed-point result of Krasnosel'skii, allow us to ensure the existence of a positive radial solution. In this paper we also obtain a non-existence result, proven through a variation of the Pohozaev identity.</t>
  </si>
  <si>
    <t>Iturriaga, Leonelo/0000-0001-7621-7976; Cerda, Patricio/0000-0002-0823-8174</t>
  </si>
  <si>
    <t>1534-0392</t>
  </si>
  <si>
    <t>1553-5258</t>
  </si>
  <si>
    <t>10.3934/cpaa.2018084</t>
  </si>
  <si>
    <t>WOS:000446340200003</t>
  </si>
  <si>
    <t>A LOOP TYPE COMPONENT IN THE NON-NEGATIVE SOLUTIONS SET OF AN INDEFINITE ELLIPTIC PROBLEM</t>
  </si>
  <si>
    <t>We prove the existence of a loop type component of non-negative solutions for an indefinite elliptic equation with a homogeneous Neumann boundary condition. This result complements our previous results obtained in [12], where the existence of another loop type component was established in a different situation. Our proof combines local and global bifurcation theory, rescaling and regularizing arguments, a priori bounds, and Whyburn's topological method. A further investigation of the loop type component established in [12] is also provided.</t>
  </si>
  <si>
    <t>MAY</t>
  </si>
  <si>
    <t>10.3934/cpaa.2018060</t>
  </si>
  <si>
    <t>WOS:000439236400023</t>
  </si>
  <si>
    <t>B</t>
  </si>
  <si>
    <t>Valenzuela, P; López, MA</t>
  </si>
  <si>
    <t>Vera, HV; Carrizo, JPA</t>
  </si>
  <si>
    <t>Valenzuela, Pablo; Angel Lopez, Miguel</t>
  </si>
  <si>
    <t>Use and coverage of election polls in communication medias. An exploration to the presidential campaign of Chile in 2017</t>
  </si>
  <si>
    <t>DEMOCRACIA, INFORMACION Y CIBERSOCIEDAD: UNA MIRADA DESDE CHILE</t>
  </si>
  <si>
    <t>978-956-8416-70-6</t>
  </si>
  <si>
    <t>WOS:000462868900006</t>
  </si>
  <si>
    <t>Muñoz, PA; Márquez, SL; González-Nilo, FD; Márquez-Miranda, V; Blamey, JM</t>
  </si>
  <si>
    <t>Munoz, Patricio A.; Marquez, Sebastian L.; Gonzalez-Nilo, Fernando D.; Marquez-Miranda, Valeria; Blamey, Jenny M.</t>
  </si>
  <si>
    <t>Structure and application of antifreeze proteins from Antarctic bacteria</t>
  </si>
  <si>
    <t>MICROBIAL CELL FACTORIES</t>
  </si>
  <si>
    <t>Background: Antifreeze proteins (AFPs) production is a survival strategy of psychrophiles in ice. These proteins have potential in frozen food industry avoiding the damage in the structure of animal or vegetal foods. Moreover, there is not much information regarding the interaction of Antarctic bacterial AFPs with ice, and new determinations are needed to understand the behaviour of these proteins at the water/ice interface. Results: Different Antarctic places were screened for antifreeze activity and microorganisms were selected for the presence of thermal hysteresis in their crude extracts. Isolates GU1.7.1, GU3.1.1, and AFP5.1 showed higher thermal hysteresis and were characterized using a polyphasic approach. Studies using cucumber and zucchini samples showed cellular protection when samples were treated with partially purified AFPs or a commercial AFP as was determined using toluidine blue O and neutral red staining. Additionally, genome analysis of these isolates revealed the presence of genes that encode for putative AFPs. Deduced amino acids sequences from GU3.1.1 (gu3A and gu3B) and AFP5.1 (afp5A) showed high similarity to reported AFPs which crystal structures are solved, allowing then generating homology models. Modelled proteins showed a triangular prism form similar to beta-helix AFPs with a linear distribution of threonine residues at one side of the prism that could correspond to the putative ice binding side. The statistically best models were used to build a protein-water system. Molecular dynamics simulations were then performed to compare the antifreezing behaviour of these AFPs at the ice/water interface. Docking and molecular dynamics simulations revealed that gu3B could have the most efficient antifreezing behavior, but gu3A could have a higher affinity for ice. Conclusions: AFPs from Antarctic microorganisms GU1.7.1, GU3.1.1 and AFP5.1 protect cellular structures of frozen food showing a potential for frozen food industry. Modeled proteins possess a beta-helix structure, and molecular docking analysis revealed the AFP gu3B could be the most efficient AFPs in order to avoid the formation of ice crystals, even when gu3A has a higher affinity for ice. By determining the interaction of AFPs at the ice/water interface, it will be possible to understand the process of adaptation of psychrophilic bacteria to Antarctic ice.</t>
  </si>
  <si>
    <t>Blamey, Jenny/M-2637-2014; Marquez, Valeria/AAH-5041-2019; Gonzalez Nilo, Fernando Danilo/M-5671-2016</t>
  </si>
  <si>
    <t>MARQUEZ-MIRANDA, VALERIA/0000-0002-1231-6163; Gonzalez Nilo, Fernando Danilo/0000-0001-6857-3575</t>
  </si>
  <si>
    <t>1475-2859</t>
  </si>
  <si>
    <t>AUG 7</t>
  </si>
  <si>
    <t>10.1186/s12934-017-0737-2</t>
  </si>
  <si>
    <t>WOS:000407062400001</t>
  </si>
  <si>
    <t>Berrios, R; Totterdell, P; Kellett, S</t>
  </si>
  <si>
    <t>Berrios, Raul; Totterdell, Peter; Kellett, Stephen</t>
  </si>
  <si>
    <t>Individual differences in mixed emotions moderate the negative consequences of goal conflict on life purpose</t>
  </si>
  <si>
    <t>PERSONALITY AND INDIVIDUAL DIFFERENCES</t>
  </si>
  <si>
    <t>Pursuing two incompatible goals (goal conflict) is commonly viewed as pernicious for individual well-being. Recent research has also shown that sometimes goal conflict instigates the experience of mixed emotions (co-activation of positive and negative emotions), and in turn, mixed emotions has been linked to some beneficial outcomes, including self-control and eudaimonic well-being. In the present study we formulated mixed emotions as an individual difference, and hypothesized that individual differences in mixed emotions can moderate the relationship between goal conflict and life purpose, a dimension of eudaimonic well-being. A sample of 73 individuals participated in an experience sampling study, producing over 2500 observations. Moderation analysis using multilevel modeling showed that goal conflict was negatively related to life-purpose, but more importantly this effect was qualified by a significant cross-level interaction, such that the negative effect of goal conflict on life purpose was weaker for individuals who commonly experienced greater mixed emotions. Given that conflicting goals are commonplace, experiencing mixed emotions may be beneficial for individuals. (C) 2017 Elsevier Ltd. All rights reserved.</t>
  </si>
  <si>
    <t>Berrios, Raul/G-5167-2019</t>
  </si>
  <si>
    <t>Berrios, Raul/0000-0003-1826-7822; Totterdell, Peter/0000-0002-5335-2611</t>
  </si>
  <si>
    <t>0191-8869</t>
  </si>
  <si>
    <t>MAY 1</t>
  </si>
  <si>
    <t>10.1016/j.paid.2017.01.013</t>
  </si>
  <si>
    <t>WOS:000397361700004</t>
  </si>
  <si>
    <t>Manquián-Cerda, K; Escudey, M; Zúñiga, G; Arancibia-Miranda, N; Molina, M; Cruces, E</t>
  </si>
  <si>
    <t>Manquian-Cerda, K.; Escudey, M.; Zuniga, G.; Arancibia-Miranda, N.; Molina, M.; Cruces, E.</t>
  </si>
  <si>
    <t>Effect of cadmium on phenolic compounds, antioxidant enzyme activity and oxidative stress in blueberry (Vaccinium corymbosum L.) plantlets grown in vitro</t>
  </si>
  <si>
    <t>ECOTOXICOLOGY AND ENVIRONMENTAL SAFETY</t>
  </si>
  <si>
    <t>Cadmium (Cd2+) can affect plant growth due to its mobility and toxicity. We evaluated the effects of Cd2+ on the production of phenolic compounds and antioxidant response of Vaccinium anymbosum L Plantlets were exposed to Cd2+ at 50 and 100 mu M for 7, 14 and 21 days. Accumulation of malondialdehyde (MDA), hydrogen peroxide (H2O2) and the antioxidant enzyme SOD was determined. The profile of phenolic compounds was evaluated using LC-MS. The antioxidant activity was measured using 1,1-diphenyl-2-picrylhydrazyl (DPPH) and the ferric reducing antioxidant power test (FRAP). Cd2+ increased the content of MDA, with the highest increase at 14 days. The presence of Cd2+ resulted in changes in phenolic compounds. The main phenolic compound found in blueberry plantlets was chlorogenic acid, whose abundance increased with the addition of Cd2+ to the medium. The changes in the composition of phenolic compounds showed a positive correlation with the antioxidant activity measured using FRAP. Our results suggest that blueberry plantlets produced phenolic compounds with reducing capacity as a selective mechanism triggered by the highest activity of Cd2+. (C) 2016 Elsevier Inc. All rights reserved.</t>
  </si>
  <si>
    <t>Arancibia-Miranda, Nicolás/I-6743-2013; Zuñiga, Gustavo/P-8306-2015</t>
  </si>
  <si>
    <t>Cruces, Edgardo/0000-0003-4537-552X; Zuniga, Gustavo/0000-0002-8286-9468</t>
  </si>
  <si>
    <t>0147-6513</t>
  </si>
  <si>
    <t>1090-2414</t>
  </si>
  <si>
    <t>10.1016/j.ecoenv.2016.07.029</t>
  </si>
  <si>
    <t>WOS:000384398800036</t>
  </si>
  <si>
    <t>Cubillos, FA; García, V; Abarca, V; Araos, S; Moulinet, J; Brice, C; Tisné, S; Liti, G; Martínez, C</t>
  </si>
  <si>
    <t>Cubillos, Francisco A.; Garcia, Veronica; Abarca, Valentina; Araos, Sebastian; Moulinet, Jennifer; Brice, Claire; Tisne, Sebastien; Liti, Gianni; Martinez, Claudio</t>
  </si>
  <si>
    <t>Identification of natural allelic variants underlying nitrogen assimilation differences in a multiparent intercross yeast population</t>
  </si>
  <si>
    <t>YEAST</t>
  </si>
  <si>
    <t>27th International Conference on Yeast Genetics and Molecular Biology (ICYGMB)</t>
  </si>
  <si>
    <t>SEP 06-12, 2015</t>
  </si>
  <si>
    <t>Fondazione Edmund Mach, Levico Terme, ITALY</t>
  </si>
  <si>
    <t>Inst Cell Biol Nas Ukraine,Roche,Singer Instruments,Tema Ric,EMBO,Wiley Blackwell,Federat European Microbiol Soc,Assoc Genetica Italiana,Stanford Univ,DSB,Athesina Studiorum Univ,Soc Italiana Microbiologia Generale &amp; Biotecnologie Microbiche,Saccharomyces Genome Database,Fondazione Bruno Kessler,Prov Autonoma Trento</t>
  </si>
  <si>
    <t>Fondazione Edmund Mach</t>
  </si>
  <si>
    <t>Martinez, Claudio/MGS-9961-2025; García, Verónica/AAM-1175-2021; Cubillos, Francisco/MIT-2389-2025; Liti, Gianni/I-9929-2014</t>
  </si>
  <si>
    <t>0749-503X</t>
  </si>
  <si>
    <t>1097-0061</t>
  </si>
  <si>
    <t>PS6-12</t>
  </si>
  <si>
    <t>S150</t>
  </si>
  <si>
    <t>WOS:000361466200234</t>
  </si>
  <si>
    <t>von Bernhardi, R; Eugenn-von Bernhardi, L; Eugenin, J</t>
  </si>
  <si>
    <t>von Bernhardi, Rommy; Eugenn-von Bernhardi, Laura; Eugenin, Jaime</t>
  </si>
  <si>
    <t>Microglial cell dysregulation in brain aging and neurodegeneration</t>
  </si>
  <si>
    <t>FRONTIERS IN AGING NEUROSCIENCE</t>
  </si>
  <si>
    <t>Aging is the main risk factor for neurodegenerative diseases. In aging, microglia undergoes phenotypic changes compatible with their activation. Glial activation can lead to neuroinflammation, which is increasingly accepted as part of the pathogenesis of neurodegenerative diseases, including Alzheimer's disease (AD). We hypothesize that in aging, aberrant microglia activation leads to a deleterious environment and neurodegeneration. In aged mice, microglia exhibit an increased expression of cytokines and an exacerbated inflammatory response to pathological changes. Whereas LPS increases nitric oxide (NO) secretion in microglia from young mice, induction of reactive oxygen species (ROS) predominates in older mice. Furthermore, there is accumulation of DNA oxidative damage in mitochondria of microglia during aging, and also an increased intracellular ROS production. Increased ROS activates the redox-sensitive nuclear factor kappa B, which promotes more neuroinflammation, and can be translated in functional deficits, such as cognitive impairment. Mitochondria-derived ROS and cathepsin B, are also necessary for the microglial cell production of interleukin-1 beta, a key inflammatory cytokine. Interestingly, whereas the regulatory cytokine TGF beta 1 is also increased in the aged brain, neuroinflammation persists. Assessing this apparent contradiction, we have reported that TGF beta 1 induction and activation of Smad3 signaling after inflammatory stimulation are reduced in adult mice. Other protective functions, such as phagocytosis, although observed in aged animals, become not inducible by inflammatory stimuli and TGF beta 1. Here, we discuss data suggesting that mitochondrial and endolysosomal dysfunction could at least partially mediate age-associated microglial cell changes, and, together with the impairment of the TGF beta 1-Smad3 pathway, could result in the reduction of protective activation and the facilitation of cytotoxic activation of microglia, resulting in the promotion of neurodegenerative diseases.</t>
  </si>
  <si>
    <t>von Bernhardi, Rommy/0000-0002-9022-7676</t>
  </si>
  <si>
    <t>1663-4365</t>
  </si>
  <si>
    <t>JUL 20</t>
  </si>
  <si>
    <t>10.3389/fnagi.2015.00124</t>
  </si>
  <si>
    <t>WOS:000360162600001</t>
  </si>
  <si>
    <t>Díaz-Robles, L; Cortés, S; Vergara-Fernández, A; Ortega, JC</t>
  </si>
  <si>
    <t>Diaz-Robles, Luis; Cortes, Samuel; Vergara-Fernandez, Alberto; Carlos Ortega, Juan</t>
  </si>
  <si>
    <t>Short Term Health Effects of Particulate Matter: A Comparison between Wood Smoke and Multi-Source Polluted Urban Areas in Chile</t>
  </si>
  <si>
    <t>AEROSOL AND AIR QUALITY RESEARCH</t>
  </si>
  <si>
    <t>Temuco and Pudahuel are two urban areas in Chile that are among the highest in particulate matter (PM10) air pollution in Chile. In fact, Temuco is also classified as one of the most polluted cities in Latin America by the World Health Organization Both cities show important differences in the sources of this PK pollution. For Temuco, a southern city, the main source is the residential wood combustion (RWC), and for Pudahuel, located in the central zone, the main sources are mobile and point sources. The relationship between PK air pollution and health effects measured as the daily number of deaths and hospital admissions for cardiovascular and respiratory causes was determined. The Air Pollution Health Effects European Approach (APHEA-2) protocol was followed, and a multivariate Poisson regression model with gam.exact algorithm was fitted for these cities during 2001-2006. The results show that PMio had a significant association with daily mortality, where the relative risks (RR) for cardio respiratory mortality of the elderly age group was 1.0126 [95% (CI: 1.0004-1.0250)] at Temuco and 1.0086 [95% (CI: 1.0007-1.0165)] for Pudahuel when PK increased by 10 mu g/m(3). For the hospital admissions due to chronic obstructive pulmonary disease (COPD), the RR were 1.0198 [95% (CI: 1.0030-1.0369)] at Temuco and 1.0097 [95% (CI: 1.0000-1.0204)] at Pudahuel. There is evidence in these cities of positive relationships between ambient particulate levels and the rates of mortality and morbidity for cardiovascular and respiratory causes; being the excess risk 47% and 104.1% higher in Temuco than Pudahuel for cardiorespiratory mortality of the elderly population and COPD hospital admissions, respectively. These results demonstrate that there is greater risk when people are exposed to air polluted with wood smoke.</t>
  </si>
  <si>
    <t>Vergara-Fernández, Alberto/D-1770-2011; Ortega, Jean/Q-6671-2017; Diaz-Robles, Luis/D-3450-2013</t>
  </si>
  <si>
    <t>Vergara-Fernandez, Alberto/0000-0002-6075-9137; Diaz-Robles, Luis/0000-0002-6098-7746</t>
  </si>
  <si>
    <t>1680-8584</t>
  </si>
  <si>
    <t>2071-1409</t>
  </si>
  <si>
    <t>10.4209/aaqr.2013.01.0316</t>
  </si>
  <si>
    <t>WOS:000351351000026</t>
  </si>
  <si>
    <t>Serey, J; Soto, I; Quezada, L; Carrasco, R; Sun, L</t>
  </si>
  <si>
    <t>Zhang, R; Zhang, Z; Liu, K; Zhang, J</t>
  </si>
  <si>
    <t>Serey, Joel; Soto, Ismael; Quezada, Luis; Carrasco, R.; Sun, Lily</t>
  </si>
  <si>
    <t>Development of a Competition Model for Selecting Information Security Methods</t>
  </si>
  <si>
    <t>LISS 2013</t>
  </si>
  <si>
    <t>3rd International Conference on Logistics, Informatics and Service Science (LISS)</t>
  </si>
  <si>
    <t>AUG 21-24, 2013</t>
  </si>
  <si>
    <t>Beijing Jiaotong Univ, Sch Econ &amp; Management, Reading, ENGLAND</t>
  </si>
  <si>
    <t>Beijing Jiaotong Univ, Int Ctr Informat Res,Univ Reading, Henley Business Sch, Informat Res Ctr,China Ctr Ind Secur Res,Natl Nat Sci Fdn China,K C Wong Educ Fdn,Springer Publisher</t>
  </si>
  <si>
    <t>Beijing Jiaotong Univ, Sch Econ &amp; Management</t>
  </si>
  <si>
    <t>This paper presents a dynamic stochastic model to support decision-making in investment on information security. This is caused by the fact that some of the key aspects in a company is information security. One of the issues highlighted in this model is the classification of information. It uses a set of digital signal methods to handle the complexity and uncertainty. Finally, a case study applied to a bank is presented, where the alternatives proposed by the model are being implemented.</t>
  </si>
  <si>
    <t>Serey, Joel/Q-7279-2019; Quezada, Luis/W-8168-2019</t>
  </si>
  <si>
    <t>Soto, Ismael/0000-0002-5501-5651</t>
  </si>
  <si>
    <t>978-3-642-40660-7; 978-3-642-40659-1</t>
  </si>
  <si>
    <t>10.1007/978-3-642-40660-7_193</t>
  </si>
  <si>
    <t>WOS:000358441900193</t>
  </si>
  <si>
    <t>Fernandez, AM; Muñoz-Reyes, JA; Dufey, M</t>
  </si>
  <si>
    <t>Maria Fernandez, Ana; Antonio Munoz-Reyes, Jose; Dufey, Michele</t>
  </si>
  <si>
    <t>BMI, age, Mate Value, and Intrasexual Competition in Chilean Women</t>
  </si>
  <si>
    <t>CURRENT PSYCHOLOGY</t>
  </si>
  <si>
    <t>Attractiveness is the most important component of women intrasexual competition and it certainly has an impact in female's perceived mate value (i.e., the value of an individual to the opposite sex as a potential mate). In the realm of intrasexual competition women are eager to emphasize their attractiveness and compete with rivals displaying these cues. Accordingly, age is an important feature of women's appeal to the opposite sex; youth is highly valued by men, and is perceived by women as an important component of their attractiveness. Another trait that is a reliable cue of health and fertility is Body Mass Index (BMI). A large body of literature has associated BMI to female attractiveness. However, more information is necessary about the associations of BMI and age with mate value, and female intrasexual competition. In the present research we report two studies that examined the associations of BMI and age with estimates of self-perceived mate value and intrasexual competition in Chilean women (18-39 years). More specifically, we hypothesized inverse relationships of BMI and age with mate value (N = 234), and intrasexual competition (N = 308). We found partial support to our propositions. The results revealed inverse associations between BMI, mate value and mating success, but BMI with intrasexual competition were not related. In contrast, age had a strong and negative effect on intrasexual competition. We discuss our results within the framework of Evolutionary Psychology and consider the central role of attractiveness (estimated from BMI and age) in the mating strategies of women.</t>
  </si>
  <si>
    <t>Dufey, Michele/E-1358-2011; Munoz Reyes, Jose Antonio/D-2822-2012; Fernandez, Ana Maria/E-6429-2011</t>
  </si>
  <si>
    <t>Munoz Reyes, Jose Antonio/0000-0001-6275-8456; Fernandez, Ana Maria/0000-0003-4132-5891</t>
  </si>
  <si>
    <t>1046-1310</t>
  </si>
  <si>
    <t>1936-4733</t>
  </si>
  <si>
    <t>10.1007/s12144-014-9221-x</t>
  </si>
  <si>
    <t>WOS:000344735600001</t>
  </si>
  <si>
    <t>Tarride, MI; Osorio-Vega, P</t>
  </si>
  <si>
    <t>Ivan Tarride, Mario; Osorio-Vega, Patricio</t>
  </si>
  <si>
    <t>Complexity and intellectual capital in organisations</t>
  </si>
  <si>
    <t>KYBERNETES</t>
  </si>
  <si>
    <t>Purpose - This paper offers a framework based on the key principles of the complexity paradigm proposed by Edgar Morin to review what can be considered the dominant approach towards knowledge management, i.e. the intellectual capital construct. The purpose of this paper is to identify epistemological weaknesses to offer insights for the improvement of the theory and practice on knowledge management. Design/methodology/approach - Based on the complexity paradigm and its dialogic and recursive principles, a framework to understand knowledge is offered comprising three interrelated requirements, each of which is based on a pair of opposites, arguably critical for the conceptualisation of a complex knowledge: order and disorder, whole and parts, and non-logical and logical modes of thinking. This tool is applied to reviewing the epistemological assumptions under the intellectual capital approach, in order to find insights for further research on knowledge management. The task has an interpretative character and is carried out highlighting central aspects of the intellectual capital construct. Findings - As a result it is possible to point out that the intellectual capital approach does not fulfill the complexity requirements, since it only recognises at the level of human beings their objective and functional aspects of knowledge, given by qualifications and other features that can be measured on the one hand, and driven a priori by a functional strategy, on the other. It ignores, in consequence, the more unstructured and disordered aspect of knowledge which, from a complexity perspective, is constitutive for the creation of innovative ideas. Research limitations/implications - The study is fully centered on intellectual capital literature. A complementary review of other less used expressions of knowledge management such as the construct of communities of practice, applying the same diagnostic tool, could enrich the conclusions and theoretical proposals. Practical implications - A framework for the detection of epistemological biases is offered and used in this paper to study the intellectual capital construct, which could be also applied for other knowledge-based settings. For business managers and consultants dealing with knowledge management, this paper can also give some insights for the improvement of their organisational interventions. Originality/value - A novel approach, the complexity paradigm, is proposed as the epistemological standpoint to improve theory and practice on knowledge management.</t>
  </si>
  <si>
    <t>0368-492X</t>
  </si>
  <si>
    <t>1758-7883</t>
  </si>
  <si>
    <t>10.1108/K-08-2012-0015</t>
  </si>
  <si>
    <t>WOS:000321084900003</t>
  </si>
  <si>
    <t>Mercado, L; Sturm, ME; Rojo, MC; Ciklic, I; Martínez, C; Combina, M</t>
  </si>
  <si>
    <t>Mercado, Laura; Elena Sturm, Maria; Cecilia Rojo, Maria; Ciklic, Ivan; Martinez, Claudio; Combina, Mariana</t>
  </si>
  <si>
    <t>Biodiversity of Saccharomyces cerevisiae populations in Malbec vineyards from the Zona Alta del Rio Mendoza region in Argentina</t>
  </si>
  <si>
    <t>INTERNATIONAL JOURNAL OF FOOD MICROBIOLOGY</t>
  </si>
  <si>
    <t>The Zona Alta del Rio Mendoza (ZARM) is the major Malbec grape viticulture region of Argentina. The aim of the present study was to explore Saccharomyces cerevisiae biodiversity in ZARM vineyards. Interdelta PCR and RFLP mtDNA molecular markers were applied to differentiate S. cerevisiae strains. The presence of commercial strains on ZARM vineyards was also assessed. Our results reveal a highly diverse, but genetically closely related. S. cerevisiae population (containing more than 190 molecular patterns among 590 S. cerevisiae isolates). According to the S. cerevisiae strain diversity found in vineyards, they were classified as vineyards with high and low polymorphic S. cerevisiae populations. Six vineyards showed a high polymorphic population, with more than 20 different S. cerevisiae molecular patterns. S. cerevisiae populations in these vineyards were diverse and irregularly distributed, with different strains in each vineyard site. Low polymorphic S. cerevisiae population vineyards displayed very low yeast diversity, with only 9 to 10 different S. cerevisiae strains and presence of two commercial strains widely distributed. Population diversity estimators were calculated to determine the population structure of S. cerevisiae in the ZARM vineyards. The obtained values support the hypothesis that the eight sampled subpopulations come indeed from a larger population. (C) 2011 Elsevier B.V. All rights reserved.</t>
  </si>
  <si>
    <t>Martinez, Claudio/MGS-9961-2025</t>
  </si>
  <si>
    <t>Rojo, Maria Cecilia/0000-0002-2834-8549; Combina, Mariana/0000-0002-0798-1564; Martinez, Claudio/0000-0001-8564-9287</t>
  </si>
  <si>
    <t>0168-1605</t>
  </si>
  <si>
    <t>1879-3460</t>
  </si>
  <si>
    <t>DEC 15</t>
  </si>
  <si>
    <t>10.1016/j.ijfoodmicro.2011.09.026</t>
  </si>
  <si>
    <t>WOS:000297964300009</t>
  </si>
  <si>
    <t>Valle, A; López-Castilla, A; Pedrera, L; Martínez, D; Tejuca, M; Campos, J; Fando, R; Lissi, E; Alvarez, C; Lanio, ME; Pazos, F; Schreier, S</t>
  </si>
  <si>
    <t>Valle, A.; Lopez-Castilla, A.; Pedrera, L.; Martinez, D.; Tejuca, M.; Campos, J.; Fando, R.; Lissi, E.; Alvarez, C.; Lanio, M. E.; Pazos, F.; Schreier, S.</t>
  </si>
  <si>
    <t>Cys mutants in functional regions of Sticholysin I clarify the participation of these residues in pore formation</t>
  </si>
  <si>
    <t>TOXICON</t>
  </si>
  <si>
    <t>Experimental evidence shows that the mechanism of pore formation by actinoporins is a multistep process, involving binding of the water-soluble monomer to the membrane and subsequent oligomerization on the membrane surface, leading to the formation of a functional pore. However, as for other eukaryotic pore-forming toxins, the molecular details of the mechanism of membrane insertion and oligomerization are not clear. In order to obtain further insight with regard to the structure-function relationship in sticholysins, we designed and produced three cysteine mutants of recombinant sticholysin I (rStI) in relevant functional regions for membrane interaction: StI E2C and StI F15C (in the N-terminal region) and StI R52C (in the membrane binding site). The conformational characterization derived from fluorescence and CD spectroscopic studies of StI E2C, StI F15C and StI R52C suggests that replacement of these residues by Cys in rStI did not noticeably change the conformation of the protein. The substitution by Cys of Arg(52) in the phosphocholine-binding site, provoked noticeable changes in rStI permeabilizing activity; however, the substitutions in the N-terminal region (Glu(2), Phe(15)) did not modify the toxin's permeabilizing ability. The presence of a dimerized population stabilized by a disulfide bond in the StI E2C mutant showed higher pore-forming activity than when the protein is in the monomeric state, suggesting that sticholysins pre-ensembled at the N-terminal region could facilitate pore formation. (C) 2011 Elsevier Ltd. All rights reserved.</t>
  </si>
  <si>
    <t>Garay, Aisel/O-7528-2019; Campos, Javier/JXY-2807-2024; Schreier, Shirley/F-7001-2014</t>
  </si>
  <si>
    <t>Campos-Gomez, Javier/0000-0002-2693-0885; Fabiola, Isabel/0000-0002-9502-2186</t>
  </si>
  <si>
    <t>0041-0101</t>
  </si>
  <si>
    <t>10.1016/j.toxicon.2011.04.005</t>
  </si>
  <si>
    <t>WOS:000294031000002</t>
  </si>
  <si>
    <t>Dufey, M; Fernández, AM; Mayol, R</t>
  </si>
  <si>
    <t>Dufey, Michele; Maria Fernandez, Ana; Mayol, Rocio</t>
  </si>
  <si>
    <t>Adding support to cross-cultural emotional assessment: Validation of the International Affective Picture System in a Chilean sample</t>
  </si>
  <si>
    <t>UNIVERSITAS PSYCHOLOGICA</t>
  </si>
  <si>
    <t>The present study aimed to obtain a valid set of images of the International Affective Picture System (Lang, Bradley &amp; Cuthbert, 2005) -a widely used instrumentation in emotion research- in a Chilean sample, as well as comparing these results with those obtained from the US study in order to con tribute to its cross-cultural validation. A sample of 135 college students assessed 188 pictures according to standard instructions in valence and arousal dimensions. The results showed the expected organization of affectivity, with variations between sex in valence judgments, and differences between countries in the arousal dimension. It is concluded that the Chilean adaptation of the IAPS is consistent with the previous evidence, adding support to it cross-cultural validity.</t>
  </si>
  <si>
    <t>Dufey, Michele/E-1358-2011; Fernandez, Ana Maria/E-6429-2011</t>
  </si>
  <si>
    <t>Fernandez, Ana Maria/0000-0003-4132-5891; Dufey, Michele/0000-0003-0399-6053</t>
  </si>
  <si>
    <t>1657-9267</t>
  </si>
  <si>
    <t>MAY-AUG</t>
  </si>
  <si>
    <t>10.11144/Javeriana.upsy10-2.asce</t>
  </si>
  <si>
    <t>WOS:000299709000016</t>
  </si>
  <si>
    <t>Bonacic, C; Garcia, C; Marin, M; Prieto, M; Tirado, F</t>
  </si>
  <si>
    <t>Palma, JML; Dayde, M; Marques, O; Lopez, JC</t>
  </si>
  <si>
    <t>Bonacic, Carolina; Garcia, Carlos; Marin, Mauricio; Prieto, Manuel; Tirado, Francisco</t>
  </si>
  <si>
    <t>On-Line Multi-Threaded Processing of Web User-Clicks on Multi-Core Processors</t>
  </si>
  <si>
    <t>HIGH PERFORMANCE COMPUTING FOR COMPUTATIONAL SCIENCE - VECPAR 2010</t>
  </si>
  <si>
    <t>9th International Conference on High Performance Computing for Computational Science</t>
  </si>
  <si>
    <t>JUN 22-25, 2010</t>
  </si>
  <si>
    <t>Berkeley, CA</t>
  </si>
  <si>
    <t>Real time search - a setting in which Web search engines are able to include among their query results documents published on the Web in the very recent past - is a clear evidence that many of the off-line computations performed so far on conventional search engines need to be moved to the on-line arena. This is a demanding case for parallel computing since it is necessary to cope efficiently with thousands of concurrent read and write operations per unit time, all requiring latency times within a fraction of a second. To our knowledge, computations related to capturing user preferences through their clicks on the query result webpages and include this feature in the document ranking process are currently performed in an off-line manner. This is effected by pre-processing very large logs containing millions of queries submitted by actual users in a time scale of days, weeks or even months. The outcome is score data for the set of documents indexed by the search engine which were selected by users in the past. This paper studies the efficiency of this process in the on-line setting by evaluating a set of strategies for concurrent read/write operations executed on a multi-threaded multi-core architecture. The benefit of efficient on-line processing of user clicks is making it feasible to include user preference in document ranking also in a real-time fashion.</t>
  </si>
  <si>
    <t>Prieto, Manuel/K-8822-2014; Marin, Mauricio/GLR-7700-2022; TIRADO, FRANCISCO/P-8201-2014; Prieto-Matias, Manuel/K-8325-2012; Garcia Sanchez, Carlos/R-5056-2018</t>
  </si>
  <si>
    <t>TIRADO, FRANCISCO/0000-0003-0974-2687; Marin, Mauricio/0000-0003-0662-7149; Prieto-Matias, Manuel/0000-0003-0687-3737; Garcia Sanchez, Carlos/0000-0002-3470-1097</t>
  </si>
  <si>
    <t>978-3-642-19327-9</t>
  </si>
  <si>
    <t>+</t>
  </si>
  <si>
    <t>WOS:000290652300022</t>
  </si>
  <si>
    <t>Brache, V; Cochon, L; Jesam, C; Maldonado, R; Salvatierra, AM; Levy, DP; Gainer, E; Croxatto, HB</t>
  </si>
  <si>
    <t>Brache, V.; Cochon, L.; Jesam, C.; Maldonado, R.; Salvatierra, A. M.; Levy, D. P.; Gainer, E.; Croxatto, H. B.</t>
  </si>
  <si>
    <t>Immediate pre-ovulatory administration of 30 mg ulipristal acetate significantly delays follicular rupture</t>
  </si>
  <si>
    <t>HUMAN REPRODUCTION</t>
  </si>
  <si>
    <t>Current methods of hormonal emergency contraception (EC) are ineffective in preventing follicular rupture when administered in the advanced pre-ovulatory phase. This study was designed to determine the capacity of ulipristal acetate (UPA), a selective progesterone receptor modulator developed for EC, to block follicular rupture when administered with a follicle of &gt;= 18 mm. This was a double-blind, crossover, randomized, placebo-controlled study. Thirty-five women contributed with UPA (30 mg. oral) and a placebo cycle. Serial blood sampling for luteinizing hormone (LH), estradiol and progesterone measurements and follicular monitoring by ultrasound were performed before and for 5 days following treatment. Follicular rupture inhibition was assessed in the overall study population and in subgroups of women stratified by when treatment was administered in relation to LH levels (before the onset of the LH surge, after the onset of the surge but before the LH peak or after the LH peak). Follicular rupture failed to occur for at least 5 days following UPA administration in 20/34 cycles [59%; 95% confidence interval (CI) (40.7-75.4%)], whereas rupture took place in all cycles within 5 days of placebo intake. When UPA was administered before the onset of the LH surge, or after the onset but before the LH peak, follicle rupture had not occurred within 5 days in 8/8 (100%) and 11/14 [78.6%; 95% CI (49.2-95.3)] cycles, respectively. In contrast, when UPA was given after the LH peak, follicle rupture inhibition was only observed in 1/12 [8.3%; 95% CI (0.2-38.5)] cycles. This study demonstrates that UPA can significantly delay follicular rupture when given immediately before ovulation. This new generation EC compound could possibly prevent pregnancy when administered in the advanced follicular phase, even if LH levels have already begun to rise, a time when levonorgestrel EC is no longer effective in inhibiting ovulation. NCT01107093: Comparison of CDB-2914 versus placebo in the prevention of follicular rupture post-LH surge.</t>
  </si>
  <si>
    <t>0268-1161</t>
  </si>
  <si>
    <t>1460-2350</t>
  </si>
  <si>
    <t>10.1093/humrep/deq157</t>
  </si>
  <si>
    <t>WOS:000281343700013</t>
  </si>
  <si>
    <t>Horváthy, PA; Plyushchay, MS; Valenzuela, M</t>
  </si>
  <si>
    <t>Horvathy, Peter A.; Plyushchay, Mikhail S.; Valenzuela, Mauricio</t>
  </si>
  <si>
    <t>Supersymmetry of the planar Dirac-Deser-Jackiw-Templeton system and of its nonrelativistic limit</t>
  </si>
  <si>
    <t>JOURNAL OF MATHEMATICAL PHYSICS</t>
  </si>
  <si>
    <t>The planar Dirac and the topologically massive vector gauge fields are unified into a supermultiplet involving no auxiliary fields. The super-Poincare symmetry emerges from the osp(1/2) supersymmetry realized in terms of the deformed Heisenberg algebra underlying the construction. The nonrelativistic limit yields spin 1/2 as well as new, spin 1 Levy-Leblond-type equations which, together, carry an N=2 super-Schrodinger symmetry. Part of the latter has its origin in the universal enveloping algebra of the super-Poincare algebra. (C) 2010 American Institute of Physics. [doi:10.1063/1.3478558]</t>
  </si>
  <si>
    <t>Valenzuela, Mauricio/0000-0002-5478-5718</t>
  </si>
  <si>
    <t>0022-2488</t>
  </si>
  <si>
    <t>1089-7658</t>
  </si>
  <si>
    <t>10.1063/1.3478558</t>
  </si>
  <si>
    <t>WOS:000282433200008</t>
  </si>
  <si>
    <t>Vidal, R; Peñaloza, C; Urzúa, R; Toro, JE</t>
  </si>
  <si>
    <t>Vidal, R.; Penaloza, C.; Urzua, R.; Toro, J. E.</t>
  </si>
  <si>
    <t>Screening of ESTs from Mytilus for the detection of SSR markers in Mytilus californianus</t>
  </si>
  <si>
    <t>MOLECULAR ECOLOGY RESOURCES</t>
  </si>
  <si>
    <t>A set of expressed sequence tag-simple sequence repeat (EST-SSR) markers for the genus Mytilus was developed through bioinformatic mining of the GenBank public database. A total of 33 782 EST sequences from GenBank were downloaded and screened for di-, tri- and tetranucleotide, with 1274 EST containing SSR markers. Nine microsatellite markers were characterized in Mytilus californianus with a number of alleles per locus ranging from two to six, and total observed and expected heterozygosities ranging from 0.490 to 0.730 and from 0.510 to 0.860 respectively. Cross-species amplification was achieved in several other species, confirming the usefulness of these markers in Mytilus genetics.</t>
  </si>
  <si>
    <t>Toro, Jorge/B-8829-2008; Urzua-Leiva, Rodrigo/Y-9809-2018</t>
  </si>
  <si>
    <t>Urzua-Leiva, Rodrigo/0000-0002-6953-2721</t>
  </si>
  <si>
    <t>1755-098X</t>
  </si>
  <si>
    <t>10.1111/j.1755-0998.2009.02682.x</t>
  </si>
  <si>
    <t>WOS:000268855000023</t>
  </si>
  <si>
    <t>Amat, S; Bermúdez, C; Busquier, S; Leauthier, P; Plaza, S</t>
  </si>
  <si>
    <t>Amat, S.; Bermudez, C.; Busquier, S.; Leauthier, P.; Plaza, S.</t>
  </si>
  <si>
    <t>On the dynamics of some Newton's type iterative functions</t>
  </si>
  <si>
    <t>INTERNATIONAL JOURNAL OF COMPUTER MATHEMATICS</t>
  </si>
  <si>
    <t>The dynamics of a family of Newton's type iterative methods for second- and third-degree complex polynomials is studied. The conjugacy classes of these methods are presented. Classical properties of rational maps are used.</t>
  </si>
  <si>
    <t>Plata, Sergio/AAA-6144-2019; Sáez, Sonia/AAA-6148-2019</t>
  </si>
  <si>
    <t>0020-7160</t>
  </si>
  <si>
    <t>1029-0265</t>
  </si>
  <si>
    <t>PII 794793642</t>
  </si>
  <si>
    <t>10.1080/00207160701671854</t>
  </si>
  <si>
    <t>WOS:000264528700008</t>
  </si>
  <si>
    <t>Bassi, DF; Fink, W</t>
  </si>
  <si>
    <t>Bassi, Danilo F.; Fink, Wolfgang</t>
  </si>
  <si>
    <t>Optimal Attitude Control Parameters via Stochastic Optimization Framework for Autonomous Aircraft</t>
  </si>
  <si>
    <t>2009 IEEE AEROSPACE CONFERENCE, VOLS 1-7</t>
  </si>
  <si>
    <t>IEEE Aerospace Conference Proceedings</t>
  </si>
  <si>
    <t>2009 IEEE Aerospace Conference</t>
  </si>
  <si>
    <t>MAR 07-14, 2009</t>
  </si>
  <si>
    <t>Big Sky, MT</t>
  </si>
  <si>
    <t>An attitude control system based on a traditional feedback control with optimized parameters is presented. This system is part of a much larger global control structure designed for autonomous robotic aircraft. The global control structure consists of a high level structure for mission and supervision control, an intermediate structure for navigation and obstacle management, and a low level structure control, which deals with stability and attitude control. Thus is of paramount importance to have a highly efficient low level control since it affects directly the upper levels and ultimately the full aircraft operation. The solution for finding the best control parameters is found by applying a Stochastic Optimization Framework (SOF; Fink, SPIE 2008) to optimize aircraft response for low level commands, which are for the airplane the attitude angles (roll, pitch, and yaw) and the engine throttle. The basic controllers for the attitude are conventional PID controllers for each controlled variable. The SOF optimization procedure tries to find global parameters for these controllers to optimize the global performance index, i.e., to minimize the sum of the squared integration errors of all the controllers. In consequence the optimized parameters significantly improve low level control (attitude regulation and changing).(1) (2)</t>
  </si>
  <si>
    <t>Fink, Wolfgang/0000-0002-5953-6665</t>
  </si>
  <si>
    <t>1095-323X</t>
  </si>
  <si>
    <t>978-1-4244-2621-8</t>
  </si>
  <si>
    <t>WOS:000271964001052</t>
  </si>
  <si>
    <t>Rodríguez, J; Fernández, AM; Valdés, M; Hernández, E; Ramírez, S; Román, A</t>
  </si>
  <si>
    <t>Rodriguez, Jorge; Fernandez, Ana Maria; Valdes, Macarena; Hernandez, Enrique; Ramirez, Sergio; Roman, America</t>
  </si>
  <si>
    <t>A Comparison of the Peers Method and Traditional Methodologies, and Risk Behaviors in Studies of the Prevalence of Drug Consumption in a Population of Female, Chilean Students</t>
  </si>
  <si>
    <t>The present study investigates drug consumption and fisk behaviors among female Students between 8th and 12th grade in two communities in the city of Santiago. Chile. Based on studies of university populations, we hypothesize that the Students' reports of their consumption of licit drugs will tend to be consistent with their actual use of said drugs using two methods to investigate consumption, while their consumption of illicit drugs will be susceptible. and will tend to be under-reported when evaluated through traditional self-report measures. In order to compare the two methods. a cross-sectional Study was designed that would compare reported drug, consumption. first using the peers method, and then by means of traditional self-report in a group of 350 students. The results show that women's reports of licit drug Consumption converge using the two methods, while as earlier suggested. women's illicit drug consumption was found to be Under-reported when traditional methodologies were used,</t>
  </si>
  <si>
    <t>Fernandez, Ana Maria/E-6429-2011</t>
  </si>
  <si>
    <t>Fernandez, Ana Maria/0000-0003-4132-5891</t>
  </si>
  <si>
    <t>WOS:000260549200020</t>
  </si>
  <si>
    <t>Diagana, T; Henriquez, HR; Hernández, EM</t>
  </si>
  <si>
    <t>Diagana, Toka; Henriquez, Hernan R.; Hernandez, Eduardo M.</t>
  </si>
  <si>
    <t>Almost automorphic mild solutions to some partial neutral functional-differential equations and applications</t>
  </si>
  <si>
    <t>NONLINEAR ANALYSIS-THEORY METHODS &amp; APPLICATIONS</t>
  </si>
  <si>
    <t>The paper considers the existence and uniqueness of almost automorphic mild solutions to some classes of first-order partial neutral functional-differential equations. Sufficient conditions for the existence and uniqueness of almost automorphic mild solutions to the above-mentioned equations are obtained. As an application, a first-order boundary value problem arising in control systems is considered. (C) 2007 Elsevier Ltd. All fights reserved.</t>
  </si>
  <si>
    <t>Hernández, Eduardo/N-4531-2013</t>
  </si>
  <si>
    <t>Diagana, Toka/0000-0003-2589-2810; Hernandez, Eduardo/0000-0002-4279-8570</t>
  </si>
  <si>
    <t>0362-546X</t>
  </si>
  <si>
    <t>1873-5215</t>
  </si>
  <si>
    <t>SEP 1</t>
  </si>
  <si>
    <t>5-6</t>
  </si>
  <si>
    <t>10.1016/j.na.2007.06.048</t>
  </si>
  <si>
    <t>WOS:000257595600001</t>
  </si>
  <si>
    <t>Chaná, P; Kunstman, C; Benavides, O; Muñoz, D; Tapia-Nuñez, J</t>
  </si>
  <si>
    <t>Chana, Pedro; Kunstman, Carolina; Benavides, Olga; Munoz S, Daniel; Tapia-Nunez, John</t>
  </si>
  <si>
    <t>Blepharospasm and Meige's Syndrome treatment with Botulinum Toxin. Experience and follow-up in 18 cases</t>
  </si>
  <si>
    <t>REVISTA ECUATORIANA DE NEUROLOGIA</t>
  </si>
  <si>
    <t>Treatment with botulinum toxin (BT) is a good therapeutic alternative for patients with blepharospasm and Meige's syndrome. We report follow up results of 18 patients with blepharospasm and Meige's syndrome treated with botulinum toxin, to asses therapy response. 67 injection sessions were performed with a mean dose of 40.2 +/- 26.5 UI. The duration of effect was 120 50 days and the global assessment of the results on a scale from 0 to 4 (0 no results to 4 very good results) was an average of 3.1 +/- 0.72. We can say that botulinum toxin therapy was good or very good in 14 (77.7%) patients with blepharospasm and Meige's Syndrome. Only 3 cases (16.6%) had significative complications, reversible in all cases.</t>
  </si>
  <si>
    <t>Munoz, Daniel/IXD-6516-2023; Chana, Pedro/ABG-9944-2020</t>
  </si>
  <si>
    <t>1019-8113</t>
  </si>
  <si>
    <t>1-3</t>
  </si>
  <si>
    <t>WOS:000263338900002</t>
  </si>
  <si>
    <t>Kennedy, BF; Bondarczuk, K; Barry, LP</t>
  </si>
  <si>
    <t>Kennedy, B. F.; Bondarczuk, K.; Barry, L. P.</t>
  </si>
  <si>
    <t>Detuning dependence of four-wave mixing between picosecond pulses in a multi-quantum well semiconductor optical amplifier</t>
  </si>
  <si>
    <t>2007 SBMO/IEEE MTT-S INTERNATIONAL MICROWAVE AND OPTOELECTRONICS CONFERENCE, VOLS 1 AND 2</t>
  </si>
  <si>
    <t>SBMO/IEEE MTT-S International Microwave and Optoelectronics Conference</t>
  </si>
  <si>
    <t>OCT 29-NOV 01, 2007</t>
  </si>
  <si>
    <t>Salvador, BRAZIL</t>
  </si>
  <si>
    <t>SBMO,IEEE MTT S</t>
  </si>
  <si>
    <t>Four-wave mixing is investigated experimentally using frequency resolved optical gating in a multi-quantum well semiconductor optical amplifier. Demultiplexing is carried out from 80 GHz to 10 GHz using two picosecond pulses. The pump-probe detuning is varied and it is found that the probe phase is preserved in the four-wave mixing signal across the central portion of the pulse. Also, the pedestals present in the four-wave mixing waveform are measured and it is found that the impact of these pedestals increases as a function of the detuning due to the earlier dynamics in the device.</t>
  </si>
  <si>
    <t>Barry, Liam/G-7041-2011; Kennedy, Brendan/C-2455-2013</t>
  </si>
  <si>
    <t>Barry, Liam/0000-0001-8366-4790; Kennedy, Brendan/0000-0003-4782-0498</t>
  </si>
  <si>
    <t>978-1-4244-0660-9</t>
  </si>
  <si>
    <t>10.1109/IMOC.2007.4404245</t>
  </si>
  <si>
    <t>WOS:000256075300045</t>
  </si>
  <si>
    <t>Valencia, AA; Guzmán, AM; Finol, EA; Amon, CH</t>
  </si>
  <si>
    <t>Valencia, Alvaro A.; Guzman, Amador M.; Finol, Ender A.; Amon, Cristina H.</t>
  </si>
  <si>
    <t>Blood flow dynamics in saccular aneurysm models of the basilar artery</t>
  </si>
  <si>
    <t>JOURNAL OF BIOMECHANICAL ENGINEERING-TRANSACTIONS OF THE ASME</t>
  </si>
  <si>
    <t>Blood flow dynamics under physiologically realistic pulsatile conditions plays an important role in the growth, rupture, and surgical treatment of intracranial aneurysms. The temporal and spatial variations of wall pressure and wall shear stress in the aneurysm are hypothesized to be correlated with its continuous expansion and eventual rupture. In addition, the assessment of the velocity field in the aneurysm dome and neck is important for the correct placement of endovascular coils. This paper describes the flow dynamics representative models of a terminal aneurysm of the basilar artery under Newtonian two, and non-Newtonian fluid assumptions, and compares their hemodynamics with that of a healthy basilar artery. Virtual aneurysm models are investigated numerically, with geometric features defined by beta=0 deg and beta=23.2 deg, where beta is the tilt angle of the aneurysm dome with respect to the basilar artery. The intra-aneurysmal pulsatile flow shows complex ring vortex structures for beta=0 deg and single recirculation regions for beta=23.2 deg during both systole and diastole. The pressure and shear stress on the aneurysm wall exhibit large temporal and spatial variations for both models. When compared to a non-Newtonian fluid, the symmetric aneurysm model (beta=0 deg) exhibits a more unstable Newtonian flow dynamics, although with a lower peak wall shear stress than the asymmetric model (beta=23.2 deg). The non-Newtonian fluid assumption yields more stable flows than a Newtonian fluid, for the same inlet flow rate. Both fluid modeling assumptions, however lead to asymmetric oscillatory flows inside the aneurysm dome.</t>
  </si>
  <si>
    <t>Guzman, Amador/F-9260-2013; Valencia, Alvaro/H-3754-2013; Finol, Ender/C-4585-2016</t>
  </si>
  <si>
    <t>Finol, Ender/0000-0002-0811-9482; valencia, alvaro/0000-0002-3644-3167</t>
  </si>
  <si>
    <t>0148-0731</t>
  </si>
  <si>
    <t>1528-8951</t>
  </si>
  <si>
    <t>10.1115/1.2205377</t>
  </si>
  <si>
    <t>WOS:000239233600006</t>
  </si>
  <si>
    <t>Gil, F; De la Iglesia, R; Mendoza, L; González, B; Wilkens, M</t>
  </si>
  <si>
    <t>Gil, F.; De la Iglesia, R.; Mendoza, L.; Gonzalez, B.; Wilkens, M.</t>
  </si>
  <si>
    <t>Soil bacteria are differentially affected by the resin of the medicinal plant Pseudognaphalium vira vira and its main component kaurenoic acid</t>
  </si>
  <si>
    <t>MICROBIAL ECOLOGY</t>
  </si>
  <si>
    <t>The diterpenoid kaurenoic acid is the main component of the resin from the medicinal plant Pseudognaphalium vira vira. As some diterpenoids have antimicrobial properties, the effect of this resin and the kaurenoic acid on soil bacteria was studied. The resin of P. vira vira and purified kaurenoic acid were two to four times more effective as antibacterial agents with Gram-positive than with Gram-negative soil isolates. The chemical stability of kaurenoic acid and the antibacterial activity of both the resin and the diterpenoid were studied in microcosms containing plant-associated soil. After 15 days of incubation, the diterpenoid was stable, as determined by H-1 nuclear magnetic resonance and thin-layer chromatography, and soil extracts still exhibited antibacterial activity. However, after 30 days of incubation, loss of antibacterial activity of soil extracts correlated with removal or chemical modification of kaurenoic acid. The effect of the resin or this diterpenoid on the soil bacteria community was analyzed by the terminal restriction fragment length polymorphisms technique. After 15 days of incubation, the resin and the pure compound caused significant changes in the soil bacterial community. The relative abundance of specific bacterial groups was differentially affected by the resin components, being the effects with the resin stronger than with the kaurenoic acid. After 30 days of incubation, these changes mostly reverted. These results indicate that a plant resin containing diterpenoid compounds plays a significant role controlling specific groups of microorganisms in the soil associated with the plant.</t>
  </si>
  <si>
    <t>Wilkens, Marcela/G-5928-2019; González, Bernardo/AAW-9578-2021</t>
  </si>
  <si>
    <t>Gil, Fernando/0000-0001-6691-5340; Gonzalez, Bernardo/0000-0003-1711-1471</t>
  </si>
  <si>
    <t>0095-3628</t>
  </si>
  <si>
    <t>10.1007/s00248-006-9107-z</t>
  </si>
  <si>
    <t>WOS:000239818700002</t>
  </si>
  <si>
    <t>López, NJ; Da Silva, I; Ipinza, J; Gutiérrez, J</t>
  </si>
  <si>
    <t>Periodontal therapy reduces the rate of preterm low birth weight in women with pregnancy-associated gingivitis</t>
  </si>
  <si>
    <t>JOURNAL OF PERIODONTOLOGY</t>
  </si>
  <si>
    <t>Symposium on Host-Pathogen Relationships in Health and Disease</t>
  </si>
  <si>
    <t>SEP 10-12, 2004</t>
  </si>
  <si>
    <t>Buffalo, NY</t>
  </si>
  <si>
    <t>Background: One hypothesis to explain the association between periodontal disease (PD) preterm/low birth weight (PT/LBW) is that PT/LBW may be indirectly mediated through translocation of bacteria or bacterial products in the systemic circulation. Transient bacteremias occur in subjects with marginal periodontitis or with gingivitis, and it is possible that bacteria and their products may reach the placental membranes hernatogenously and provide the inflammatory effect to induce preterm labor. The effect of gingivitis as a potential risk factor for PT/LBW has still not been studied. A randomized controlled trial was undertaken to determine the effect of routine plaque control and scaling on the pregnancy outcomes in women with gingivitis. Methods: Eight hundred seventy (870) pregnant women with gingivitis, aged 18 to 42, were enrolled while receiving prenatal care in Santiago, Chile. Women were randomly assigned in a two-to-one fashion to either a treatment group (N = 580), receiving periodontal treatment before 28 weeks of gestation or to a control group (N = 290), receiving periodontal treatment after delivery. Periodontal therapy consisted of plaque control, scaling, and daily rinsing with 0.12% clorhexidine. Maintenance therapy was provided every 2 to 3 weeks until delivery, and consisted of oral hygiene instruction and supragingival plaque removal by instrumentation, as needed. The primary outcomes assessed were delivery at less than 37 weeks of gestation or an infant weighing less than 2,500 g. Results: Of the 870 women enrolled, 36 women (27 in the treatment group and nine in the control group) were excluded from the analyses for different reasons. The incidence of PT/LBW in the treatment group was 2.14% (12/560) and in the control group, 6.71% (19/283) (odds ratio [OR] 3.26; 95% confidence interval [CI] 1.56 to 6.83; P= 0.0009). Multivariate logistic regression analysis showed that, after adjusting for several known risk factors for PT/LBW, women with gingivitis were at a higher risk of PT/LBW than women who received periodontal treatment (OR 2.76; 95%Cl 1.29 to 5.88; P= 0.008). Conclusions: Periodontal treatment significantly reduced the PT/LBW rate in this population of women with pregnancy-associated gingivitis. Within the limitions of this study, we conclude that gingivitis appears to be an independent risk factor for PT/LBW for this population.</t>
  </si>
  <si>
    <t>0022-3492</t>
  </si>
  <si>
    <t>1943-3670</t>
  </si>
  <si>
    <t>10.1902/jop.2005.76.11-S.2144</t>
  </si>
  <si>
    <t>WOS:000233439800017</t>
  </si>
  <si>
    <t>Berthet, R; Fauve, S; Labbé, R</t>
  </si>
  <si>
    <t>Study of the sound-vortex interaction:: direct numerical simulations and experimental results</t>
  </si>
  <si>
    <t>EUROPEAN PHYSICAL JOURNAL B</t>
  </si>
  <si>
    <t>We present a study of sound propagation through a single vortex by direct numerical simulations (DNS) compared to experimental measurements. We analyse the amplitude and the phase shift of the sound wave when it interacts with the vortical flow and we display the focusing effects produced by the vortex. We show that the turbulent fluctuations have a little effect on the sound phase shift whereas they induce a strong defocusing effect on the sound amplitude.</t>
  </si>
  <si>
    <t>Labbe, Raul/C-4581-2008</t>
  </si>
  <si>
    <t>Labbe, Raul/0000-0003-4233-8387</t>
  </si>
  <si>
    <t>1434-6028</t>
  </si>
  <si>
    <t>10.1140/epjb/e2003-00093-7</t>
  </si>
  <si>
    <t>WOS:000182732100012</t>
  </si>
  <si>
    <t>Soto, MA; González, C; Lissi, E; Vergara, C; Latorre, R</t>
  </si>
  <si>
    <t>Ca2+-activated K+ channel inhibition by reactive oxygen species</t>
  </si>
  <si>
    <t>AMERICAN JOURNAL OF PHYSIOLOGY-CELL PHYSIOLOGY</t>
  </si>
  <si>
    <t>We studied the effect of H2O2 on the gating behavior of large-conductance Ca2+-sensitive voltage-dependent K+ (K-V,K-Ca) channels. We recorded potassium currents from single skeletal muscle channels incorporated into bilayers or using macropatches of Xenopus laevis oocytes membranes expressing the human Slowpoke (hSlo) alpha-subunit. Exposure of the intracellular side of K-V,K-Ca channels to H2O2 (4-23 mM) leads to a time-dependent decrease of the open probability (P-o) without affecting the unitary conductance. H2O2 did not affect channel activity when added to the extracellular side. These results provide evidence for an intracellular site(s) of H2O2 action. Desferrioxamine (60 muM) and cysteine (1 mM) completely inhibited the effect of H2O2, indicating that the decrease in P-o was mediated by hydroxyl radicals. The reducing agent dithiothreitol (DTT) could not fully reverse the effect of H2O2. However, DTT did completely reverse the decrease in P-o induced by the oxidizing agent 5,5'-dithio-bis-(2-nitrobenzoic acid). The incomplete recovery of K-V,K-Ca channel activity promoted by DTT suggests that H2O2 treatment must be modifying other amino acid residues, e. g., as methionine or tryptophan, besides cysteine. Noise analysis of macroscopic currents in Xenopus oocytes expressing hSlo channels showed that H2O2 induced a decrease in current mediated by a decrease both in the number of active channels and P-o.</t>
  </si>
  <si>
    <t>Vergara, Cecilia/H-6964-2014</t>
  </si>
  <si>
    <t>Latorre, Ramon/0000-0002-6044-5795</t>
  </si>
  <si>
    <t>0363-6143</t>
  </si>
  <si>
    <t>1522-1563</t>
  </si>
  <si>
    <t>C461</t>
  </si>
  <si>
    <t>C471</t>
  </si>
  <si>
    <t>10.1152/ajpcell.00167.2001</t>
  </si>
  <si>
    <t>WOS:000173806200005</t>
  </si>
  <si>
    <t>Prieto, CR; Cardenas, H; Croxatto, HB</t>
  </si>
  <si>
    <t>Variability of breast sucking, associated milk transfer and the duration of lactational amenorrhoea</t>
  </si>
  <si>
    <t>JOURNAL OF REPRODUCTION AND FERTILITY</t>
  </si>
  <si>
    <t>Quantitative relationships between physical parameters of sucking, milk transfer and the duration of amenorrhoea were examined in normal mother-baby pairs under exclusive breastfeeding. Sucking pressures were recorded twice on the second and once on the fifth month after birth, during complete breastfeeding episodes, by means of a catheter attached to the nipple and connected to a pressure transducer, the signals of which were analysed by computer. Babies were weighed before and after each sucking episode to estimate milk transfer. In the first nursing episode after noon, 2-month-old babies sucked from 140 to &gt; 800 times during 4-15 min from the first breast, obtaining from 20 to &gt; 100 g milk. The physical parameters of sucking and milk transfer exhibited high inter-individual but low intra-individual variabilities. There were significant differences in the physical parameters of sucking and-milk transfer efficiency between first and second breast and between the second and fifth months after birth. Milk transfer efficiency was inversely correlated with time occupied by non-sucking pauses greater than or equal to 1.5 s, and was directly correlated with mean intersuck intervals in the first breast and with duration of the sucking episode, number of sucks, mean pressure and area under the pressure curve in the second bl:east. There was no correlation between the physical parameters of sucking and duration of lactational amenorrhoea (n = 62). However, significantly more mothers had amenorrhoea lasting &gt; 180 days among those whose babies spent a longer proportion of the nursing episode in non-sucking pauses greater than or equal to 1.5 s. This finding indicates that sensory stimulation of the nipple produced during a nursing episode by stimuli other than sucking itself may have an important role in sustaining lactational amenorrhoea. It is concluded that nursing episodes have a complex structure that allows the development of a breastfeeding phenotype in each mother-baby pair, exhibiting important inter-individual variability The present analysis does not support the contention that this source of variability accounts for the variability in the duration of lactational amenorrhoea.</t>
  </si>
  <si>
    <t>0022-4251</t>
  </si>
  <si>
    <t>WOS:000079625000001</t>
  </si>
  <si>
    <t>Nkeng, P; Marlier, S; Koenig, JF; Chartier, P; Poillerat, G; Gautier, JL</t>
  </si>
  <si>
    <t>Real surface determination of Co3O4 by Zn2+ adsorption.: A comparison between X-ray diffraction, cyclic voltammetry and adsorption methods</t>
  </si>
  <si>
    <t>ELECTROCHIMICA ACTA</t>
  </si>
  <si>
    <t>The real surface areas of Co3O4 films have been measured by Zn2+ adsorption. Co3O4 films have been prepared by spray pyrolysis. The results are compared with crystallite sizes obtained by X-ray diffraction measurements and roughness factors calculated from cyclic voltammograms. Discrepancies between the three methods are discussed and examined. (C) 1997 Elsevier Science Ltd. All rights reserved.</t>
  </si>
  <si>
    <t>König, Julia/GVS-7641-2022</t>
  </si>
  <si>
    <t>0013-4686</t>
  </si>
  <si>
    <t>10.1016/S0013-4686(97)00219-3</t>
  </si>
  <si>
    <t>WOS:000071927400008</t>
  </si>
  <si>
    <t>Moya, SA; Pastene, R; Sariego, R; Sartori, R; Aguirre, P; LeBozec, H</t>
  </si>
  <si>
    <t>Complexes with heterocyclic nitrogen ligands .3. Cationic rhodium(I) derivatives and applications in catalysis</t>
  </si>
  <si>
    <t>POLYHEDRON</t>
  </si>
  <si>
    <t>The preparation and spectroscopic properties of mononuclear cationic complexes of rhodium(I) coordinated to the diolefin 2,5-norbornadiene (NBD) and to the heterocyclic nitrogen ligands 6,7-dihydrodipyrido-[2,3-b:3',2'-j]-1,10-phenanthroline (2-4N), 7,8-dihydro-6H-cyclohepta-[2,1-b:3,4-b]-di-1,8-naphthyridine (3-4N) and 2,2'-bi-(3-methyl)-1,8-naphthyridine (Me-4N) are described. The complexes show the characteristic intraligand bands of the ligands and an electronic low energy band insensitive to solvent changes and of low intensity, which may be assigned to a ligand field band. The NMR properties agreed with the IR results showing the equivalence of the two naphthyridine fragments in the complexes. Electrochemically all the complexes display two reductions and one oxidation waves, in the potential region from +1.5 to -2.4 V vs Fc(+)/Fc. The water gas shift reaction (WGSR) and the selective reduction of nitrobenzene to aniline under WGSR conditions are effectively catalysed by these complexes.</t>
  </si>
  <si>
    <t>PASTENE OLIVARES, RUBEN/0000-0002-7137-0303</t>
  </si>
  <si>
    <t>0277-5387</t>
  </si>
  <si>
    <t>10.1016/0277-5387(95)00428-9</t>
  </si>
  <si>
    <t>WOS:A1996UA24400010</t>
  </si>
  <si>
    <t>LAMBA, D; SEGRE, AL; FABRIZI, G; MATSUHIRO, B</t>
  </si>
  <si>
    <t>STRUCTURAL-ANALYSIS OF METHYL ALPHA-L-FUCOPYRANOSIDE BY X-RAY CRYSTALLOGRAPHY, NMR-SPECTROSCOPY, AND MOLECULAR MECHANICS CALCULATIONS</t>
  </si>
  <si>
    <t>CARBOHYDRATE RESEARCH</t>
  </si>
  <si>
    <t>The crystal and molecular structures of methyl alpha-L-fucopyranoside are reported. The sugar ring has the expected C-1(4) conformation. The H-1 NMR spectrum at 600 MHz was fully analysed. The conformation of the pyranose ring in solution, derived from 3J(HH) values, was very similar to that in the crystal. All these features have been rationalised through molecular mechanics calculations.</t>
  </si>
  <si>
    <t>Lamba, Doriano/B-2961-2011</t>
  </si>
  <si>
    <t>Lamba, Doriano/0000-0001-6859-7868</t>
  </si>
  <si>
    <t>0008-6215</t>
  </si>
  <si>
    <t>MAY 7</t>
  </si>
  <si>
    <t>10.1016/0008-6215(93)87030-V</t>
  </si>
  <si>
    <t>WOS:A1993LF71200001</t>
  </si>
  <si>
    <t>RESTOVIC, A; POILLERAT, G; KOENIG, JF; CHARTIER, P; GAUTIER, JL</t>
  </si>
  <si>
    <t>OXYGEN EVOLUTION ELECTROCATALYSIS AT THIN CU1.4MN1.6O4 SPINEL FILMS ON CDO AND NICKEL SUBSTRATES</t>
  </si>
  <si>
    <t>THIN SOLID FILMS</t>
  </si>
  <si>
    <t>Electrocatalytic oxygen evolution on Cu1.4Mn1.6O4 thin films in KOH solutions was studied. The oxide films were prepared on non-conducting glasses, glass-CdO films and nickel foils at 530-degrees-C by spray pyrolysis. The oxide films were characterized by X-ray diffraction analysis, scanning electron microscopy, electrochemical stability and roughness factor measurements. The electrocatalytic studies were carried out in the stationary state by potentiostatic polarization techniques (potentials corrected for ohmic drop). The influence of deposited oxide weight and the substrate effect on the electrochemical reactivities is shown. On the nickel substrate oxygen evolution was observed to occur at a lower potential than on the CdO substrate. The reaction order partial-log i/partial-log C(OH)- was found to be between 1.2 and 1.4 and was related to applied potential. Tafel slopes decreased with increased film thickness. Electrokinetic parameters suggest similar mechanisms for oxygen evolution on both substrates.</t>
  </si>
  <si>
    <t>0040-6090</t>
  </si>
  <si>
    <t>APR 1</t>
  </si>
  <si>
    <t>10.1016/0040-6090(91)90060-B</t>
  </si>
  <si>
    <t>WOS:A1991FG71500016</t>
  </si>
  <si>
    <t>Abbaszadeh, F; Fakhri, S; Varnamkhasti, BS; Moradi, SZ; Khirehgesh, MR; Echeverría, J</t>
  </si>
  <si>
    <t>Abbaszadeh, Fatemeh; Fakhri, Sajad; Varnamkhasti, Behrang Shiri; Moradi, Seyed Zachariah; Khirehgesh, Mohammad Reza; Echeverria, Javier</t>
  </si>
  <si>
    <t>Phytochemicals from edible flowers prevent neurodegenerative diseases via the gut-brain axis</t>
  </si>
  <si>
    <t>FOOD BIOSCIENCE</t>
  </si>
  <si>
    <t>The gut-brain axis is a complex bidirectional communication network between the gastrointestinal tract and the central nervous system (CNS). The axis is crucial in maintaining overall health and well-being which influences various physiological processes, including digestion, metabolism, immune system, and cognitive/emotional functions. Dysregulation of the gut-brain axis has been implicated in the development of neurodegenerative diseases (NDDs). While there are limited conventional treatments for these conditions, an increasing interest in exploring natural and dietary interventions may offer neuroprotective benefits. The present study explores the neuroprotective effects of edible flower phytochemicals on the gut-brain axis, shedding light on their therapeutic applications and highlighting the need for further research. This study helps to fully understand the role of edible flower phytochemicals in promoting neuroprotection through the gut-brain axis. Studies were identified through a systematic and comprehensive search of ScienceDirect, PubMed, and Scopus databases. Eligibility checks were conducted based on predefined selection criteria. Directly 25 articles were included in this study and based on the authors' expertise and reference list of included studies several other related articles were used. Edible flowers are rich sources of bioactive compounds such as phenolic compounds, carotenoids, alkaloids, and terpene/terpenoids. Edible flower bioactive compounds have been valued in traditional medicine for centuries considering their potential health benefits including anti-inflammatory, antioxidant, and neuroprotective effects. Edible flowers have the potential to combat NDDs by modulating the gut-brain axis and harnessing the neuroprotective properties of their bioactive compounds.</t>
  </si>
  <si>
    <t>Echeverría, Javier/AAK-3323-2020; Abbaszadeh, Fatemeh/AHB-2484-2022; Khirehgesh, Mohammad Reza/CAH-8455-2022; Varnamkhasti, Behrang/R-3152-2018; Moradi, Seyed Zachariah/ABA-9171-2020</t>
  </si>
  <si>
    <t>Khirehgesh, Mohammad Reza/0000-0002-6275-8007; Echeverria, Javier/0000-0002-1688-968X; Moradi, Seyed Zachariah/0000-0003-0579-3495</t>
  </si>
  <si>
    <t>2212-4292</t>
  </si>
  <si>
    <t>2212-4306</t>
  </si>
  <si>
    <t>JAN</t>
  </si>
  <si>
    <t>10.1016/j.fbio.2024.105681</t>
  </si>
  <si>
    <t>DEC 2024</t>
  </si>
  <si>
    <t>WOS:001388611100001</t>
  </si>
  <si>
    <t>Morales, S; Vidal, M; Martínez-Gómez, F; Mera-Adasme, R; Aliaga, C; Domínguez, M</t>
  </si>
  <si>
    <t>Morales, Simone; Vidal, Matias; Martinez-Gomez, Fabian; Mera-Adasme, Raul; Aliaga, Carolina; Dominguez, Moises</t>
  </si>
  <si>
    <t>Aminocarbonyl Fluorophores with a Strong Emissive Inverted Solvatochromism</t>
  </si>
  <si>
    <t>JOURNAL OF PHYSICAL CHEMISTRY LETTERS</t>
  </si>
  <si>
    <t>Three aminocarbonyls were synthesized, and their emissive spectral behavior recorded at various solvent polarities showed marked inverted solvatofluorochromism. The emission energy inversion occurs at moderate solvent polarities and was found to be triggered by a change in the solute-solvent interaction responsible for the stabilization of the highly zwitterionic excited state of the dyes, from dipolarity to acidity.</t>
  </si>
  <si>
    <t>Domínguez, Moisés/P-2227-2019</t>
  </si>
  <si>
    <t>Dominguez, Moises/0000-0002-8444-3065; Vidal, Matias/0000-0003-4888-7926</t>
  </si>
  <si>
    <t>1948-7185</t>
  </si>
  <si>
    <t>NOV 14</t>
  </si>
  <si>
    <t>10.1021/acs.jpclett.4c02457</t>
  </si>
  <si>
    <t>NOV 2024</t>
  </si>
  <si>
    <t>WOS:001354971600001</t>
  </si>
  <si>
    <t>Zamora, D; Díaz-Quezada, S; González, C; Quilaqueo, M; Romero, J; Santoro, S; Curcio, E; Estay, H</t>
  </si>
  <si>
    <t>Zamora, Daniel; Diaz-Quezada, Simon; Gonzalez, Carol; Quilaqueo, Michelle; Romero, Julio; Santoro, Sergio; Curcio, Efrem; Estay, Humberto</t>
  </si>
  <si>
    <t>Modeling the membrane distillation-crystallization process: Validation through the water and crystals recovery from hypersaline and multi-ion lithium brines</t>
  </si>
  <si>
    <t>SEPARATION AND PURIFICATION TECHNOLOGY</t>
  </si>
  <si>
    <t>Membrane Distillation and Crystallization (MDCr) processes are notable in membrane engineering for their capacity to recover valuable resources from hypersaline brines while water recovery, positioning itself as a sustainable alternative to conventional evaporative techniques. This study introduces a phenomenological model for the MDCr process that addresses challenges such as modeling multicomponent hypersaline brines, integrating mass and heat transfer phenomena, salt crystallization, a semi-empirical representation of membrane fouling, and crystal nucleation and growth kinetic. The methodology encompasses developing and validating the model against experimental data through a meticulous calibration process. The results demonstrate the predictive capability to dynamically simulate this process and accurately estimate the main variables, such as trans- membrane flux, temperatures, and crystallization kinetics. The model validation demonstrates good precision in the prediction of transmembrane flux, with an average root mean square deviation (RMSE) and mean absolute percentage error (MAPE) of 0.29 kg/m2h 2 h and 8.9 %, respectively. The outlet temperatures of the membrane module for brine and distillate exhibit an average RMSE of 1.24 and 0.97 degrees C and an average MAPE of 2.5 and 3.2 %, respectively. Although the crystal size distribution (CSD) displays a higher level of variability in prediction, the estimation remains satisfactory in terms of order of magnitude and trends. These findings underscore the model's capability as a robust tool for designing, optimizing, and scaling MDCr processes in various industrial settings.</t>
  </si>
  <si>
    <t>Diaz, Simon/LBH-6744-2024; Romero, Julio/I-6705-2013; Santoro, Sergio/AAL-9668-2020; Estay, Humberto/I-3499-2017</t>
  </si>
  <si>
    <t>Estay, Humberto/0000-0001-8518-7131; Santoro, Sergio/0000-0001-7687-0780; Zamora Camilla, Daniel Ivan/0009-0000-3927-9027; Romero, Julio/0000-0002-1229-1592</t>
  </si>
  <si>
    <t>1383-5866</t>
  </si>
  <si>
    <t>1873-3794</t>
  </si>
  <si>
    <t>MAR 1</t>
  </si>
  <si>
    <t>10.1016/j.seppur.2024.129613</t>
  </si>
  <si>
    <t>SEP 2024</t>
  </si>
  <si>
    <t>WOS:001321115000001</t>
  </si>
  <si>
    <t>Schuh, CMAP; Ezquer, F; Mamani, S; Campodónico, PR; Cárcamo, C; Martinez-Gómez, F; Aburto, I; Ezquer, M; Morales, B; Olivares, B</t>
  </si>
  <si>
    <t>Schuh, Christina M. A. P.; Ezquer, Fernando; Mamani, Sigde; Campodonico, Paola R.; Carcamo, Constanza; Martinez-Gomez, Fabian; Aburto, Isabel; Ezquer, Marcelo; Morales, Bernardo; Olivares, Belen</t>
  </si>
  <si>
    <t>A Natural deep eutectic solvent as an effective material for dual debridement and antibiofilm effects in chronic wound treatment</t>
  </si>
  <si>
    <t>INTERNATIONAL JOURNAL OF PHARMACEUTICS</t>
  </si>
  <si>
    <t>In chronic wound treatment, the debridement of devitalized tissue and the eradication of the biofilm must balance aggressiveness with care to protect regenerating tissues. In this study, urea, a potent chaotropic molecule, was modulated through the formation of a Natural Deep Eutectic Solvent (NADES) with betaine to develop a new debriding material (BU) suitable for application into injured dermal tissues. To evaluate BU's debriding capacity, along with its antibiofilm effect and biocompatibility, pre-clinical to clinical methods were employed. In vitro determinations using artificial and clinical slough samples indicate that BU has a high debriding capacity. Additionally, BU's de-structuring effects lead to a strong antibiofilm capability, demonstrated by a reduced bacterial load compared to the antiseptic PHMB-Betaine or medical honey, evaluated in artificial slough and ex vivo human skin. Furthermore, BU's efficacy was evaluated in a murine model of diabetic wound, demonstrating significant effects on debriding and antibiofilm capacity, similar to those observed in PHMB-Betaine and medical honey-treated animals. Finally, BU was clinically evaluated in leg ulcers, showing superiority in reduction of bacterial load and wound area compared to honey, with no adverse effects. Thus, BU represents a simple and non-biocidal option that could contributes to chronic wound care.</t>
  </si>
  <si>
    <t>Schuh, Christina/AAG-2768-2019; Morales Castañeda, Bernardo/GPP-1642-2022; Campodónico, Paola/L-9664-2014; Ezquer, Fernando/AHC-7601-2022</t>
  </si>
  <si>
    <t>Schuh, Christina M.A.P./0000-0001-9475-4513; Ezquer, Marcelo/0000-0002-2064-3041; Martinez, Fabian/0000-0001-5802-9816; Ezquer, Fernando/0000-0002-7696-4215</t>
  </si>
  <si>
    <t>0378-5173</t>
  </si>
  <si>
    <t>1873-3476</t>
  </si>
  <si>
    <t>SEP 30</t>
  </si>
  <si>
    <t>10.1016/j.ijpharm.2024.124553</t>
  </si>
  <si>
    <t>WOS:001292237600001</t>
  </si>
  <si>
    <t>Melica, FN; Saavedra, E; Escrig, J; Bajales, N; Pérez, OEL; Jaimes, DMA</t>
  </si>
  <si>
    <t>Melica, Franco N.; Saavedra, Eduardo; Escrig, Juan; Bajales, Noelia; Perez, Omar E. Linarez; Jaimes, Diana M. Arciniegas</t>
  </si>
  <si>
    <t>Static and dynamic magnetic properties of circular and square cobalt nanodots in hexagonal cells</t>
  </si>
  <si>
    <t>PHYSICAL CHEMISTRY CHEMICAL PHYSICS</t>
  </si>
  <si>
    <t>In this work we performed a detailed numerical analysis to investigate the static and dynamic magnetic properties of hexagonal cells of square and circular cobalt nanodots as a function of the distance between them and the external magnetic field to which they are subjected. By simulating hysteresis curves with the external magnetic field applied parallel and perpendicular to the plane of these nanostructures, we can conclude that the cobalt nanodots presented a significant perpendicular magnetic anisotropy. We also obtained that the coercivity increases with decreasing volume, which implies that the circular dots have a higher coercivity than the square dots. Furthermore, we studied the dynamic susceptibility of these systems and found that it is possible to control both the position and the number of resonance peaks by controlling the geometry and the distance between the magnetic nanodots. This work provides useful information on the behaviour of cobalt nanodot arrays, opening paths for the design and improvement of two-dimensional technological devices. In this work we performed a detailed numerical analysis to investigate the static and dynamic magnetic properties of hexagonal cells of square and circular cobalt nanodots as a function of the distance between them and the external magnetic field to which they are subjected.</t>
  </si>
  <si>
    <t>Pérez, Omar/J-3417-2019; Saavedra, Eduardo/IQS-4264-2023; Bajales, Noelia/AGE-1802-2022; Escrig, Juan/N-4304-2015</t>
  </si>
  <si>
    <t>Escrig, Juan/0000-0002-3958-8185; Linarez Perez, Omar Ezequiel/0000-0002-4034-6175; Saavedra Diaz, Eduardo Andres/0000-0002-2842-2526; Bajales, Noelia/0000-0002-2507-9224; Arciniegas Jaimes, Diana Marcela/0000-0002-1487-5858</t>
  </si>
  <si>
    <t>1463-9076</t>
  </si>
  <si>
    <t>1463-9084</t>
  </si>
  <si>
    <t>FEB 7</t>
  </si>
  <si>
    <t>10.1039/d3cp05432b</t>
  </si>
  <si>
    <t>JAN 2024</t>
  </si>
  <si>
    <t>WOS:001152235900001</t>
  </si>
  <si>
    <t>Espoz-Lazo, S; Hinojosa-Torres, C; Farías-Valenzuela, C; Martín, PD</t>
  </si>
  <si>
    <t>Espoz-Lazo, Sebastian; Hinojosa-Torres, Claudio; Farias-Valenzuela, Claudio; Martin, Pablo del Val</t>
  </si>
  <si>
    <t>Communication in Handball Training and Performance, A Lost Variable: Systematic Review (2013-2023)</t>
  </si>
  <si>
    <t>SPORTIS-SCIENTIFIC TECHNICAL JOURNAL OF SCHOOL SPORT PHYSICAL EDUCATION AND PSYCHOMOTRICITY</t>
  </si>
  <si>
    <t>Handball, a highly dynamic and competitive sport, involves a complex interplay of variables influencing player and team performance, with communication being one of them. This article focuses on examining the relationship between communication and coaching in handball during the period 2013-2023. The objective of this systematic review is to unveil the current state of research in this field. Twelve studies were thoroughly reviewed, addressing communication, performance, and coaching in the context of handball through a systematic review following PRISMA guidelines, gathering evidence from an extensive literature search in the Web of Science, covering articles published between 2013 and 2023. The results highlight a growing interest in coach-player communication, particularly aimed at enhancing player performance. The literature underscores the importance of effective communication in training and performance but identifies a lack of a comprehensive approach to communication as a critical variable. Despite ample evidence of its significance, the exploration of communication in the context of handball is still in its early stages compared to other sports. It is concluded that there is a rising interest in the relationship between coach communication and player performance in handball, but a more comprehensive approach is needed. Coaches can use this information to enhance training and performance.</t>
  </si>
  <si>
    <t>Espoz-Lazo, Sebastian/AAV-2358-2020</t>
  </si>
  <si>
    <t>2386-8333</t>
  </si>
  <si>
    <t>10.17979/sportis.2024.10.1.9890</t>
  </si>
  <si>
    <t>WOS:001134666300006</t>
  </si>
  <si>
    <t>Hidalgo-Corrotea, C; Alaniz, AJ; Vergara, PM; Moreira-Arce, D; Carvajal, MA; Pacheco-Cancino, P; Espinosa, A</t>
  </si>
  <si>
    <t>Hidalgo-Corrotea, Claudia; Alaniz, Alberto J.; Vergara, Pablo M.; Moreira-Arce, Dario; Carvajal, Mario A.; Pacheco-Cancino, Patricio; Espinosa, Alejandro</t>
  </si>
  <si>
    <t>High vulnerability of coastal wetlands in Chile at multiple scales derived from climate change, urbanization, and exotic forest plantations</t>
  </si>
  <si>
    <t>Coastal wetlands are considered one of the most vulnerable ecosystems worldwide; the ecosystem services they provide and the conservation of their biodiversity are threatened. Despite the high ecological and socioenvironmental value of coastal wetlands, regional and national vulnerability assessments are scarce. In this study we aimed to assess the vulnerability of coastal wetlands in Chile from 18 degrees S to 42 degrees S (n = 757) under a multiscale approach that included drivers associated with climate change and land cover change. We assessed multiple drivers of vulnerability at three spatial scales (10 m, 100 m, and 500 m) by analyzing multiple remote sensing data (16 variables) on land cover change, wildfires, climatic variables, vegetation functional properties, water surface and importance for biodiversity. We constructed a multifactorial vulnerability index based on the variables analyzed, which provided a map of coastal wetland vulnerability. Then we explored the main drivers associated with the vulnerability of each coastal wetland by performing a Principal Components Analysis with Agglomerative Hierarchical Clustering, which allowed us to group coastal wetlands according to the drivers analyzed. We found that 42.6 &amp; PLUSMN; 9.2 % of the coastal wetlands evaluated have high or very high vulnerability, with higher vulnerability at the 500 m scale (51.4 %). We identified four groups of coastal wetlands: two located in central Chile, mainly affected by climate change-associated drivers (41.9 &amp; PLUSMN; 2.1 %), and one in central Chile which is affected by land cover change (52.8 &amp; PLUSMN; 6.2 %); the latter has a lower vulnerability level. The most vulnerable coastal wetlands were located in central Chile. Our results present novel findings about the current vulnerability of coastal wetlands, which could be validated by governmental institutions in field campaigns. Finally, we believe that our methodological approach could be useful to generate similar assessments in other world zones. which is affected by land cover change (52.8 &amp; PLUSMN; 6.2 %); the latter has a lower vulnerability level. The most vulnerable coastal wetlands were located in central Chile. Our results present novel findings about the current vulnerability of coastal wetlands, which could be validated by governmental institutions in field campaigns. Finally, we believe that our methodological approach could be useful to generate similar assessments in other world zones.</t>
  </si>
  <si>
    <t>Alaniz, Alberto/J-3104-2019; Moreira-Arce, Dario/ABG-2898-2021; Carvajal, Mario/GYU-2659-2022</t>
  </si>
  <si>
    <t>Pacheco-Cancino, Patricio Andres/0000-0001-5048-8508</t>
  </si>
  <si>
    <t>DEC 10</t>
  </si>
  <si>
    <t>10.1016/j.scitotenv.2023.166130</t>
  </si>
  <si>
    <t>AUG 2023</t>
  </si>
  <si>
    <t>WOS:001063389100001</t>
  </si>
  <si>
    <t>Caceres-Mendoza, C; Santander-Tapia, P; Sanchez, FAC; Troussier, N; Camargo, M; Boudaoud, H</t>
  </si>
  <si>
    <t>Caceres-Mendoza, Cristian; Santander-Tapia, Pavlo; Sanchez, Fabio A. Cruz; Troussier, Nadege; Camargo, Mauricio; Boudaoud, Hakim</t>
  </si>
  <si>
    <t>Life cycle assessment of filament production in distributed plastic recycling via additive manufacturing</t>
  </si>
  <si>
    <t>CLEANER WASTE SYSTEMS</t>
  </si>
  <si>
    <t>Distributed recycling via additive manufacturing (DRAM) emphasizes an emerging approach to locally recycle waste plastic by 3D-printing it into valuable products. Although major progress has been reported in the last decade to validate the technical feasibility, and economic viability of the DRAM as an unitary operation, the environmental evaluation of this approach is still at its early stage as a distributed recycling network. The purpose of this study is to evaluate the environmental impact of a DRAM unit as a baseline scenario, compared to two scenarios of the virgin supply chain plastic filament used in the printing process. To achieve this goal, a comparative environmental performance using a life cycle assessment (LCA) is performed to estimate the multidimensional potential impacts of virgin and recycled polylactic acid (PLA). The study takes place using a physical recycling demonstrator developed at a university in Nancy, France. Four impact categories were considered: climate change, potential eutrophication (Freshwater and Marine), resource depletion (Fossil and Water), and ion radiation. For the first three impact categories, the results demonstrate a minimum 97% reduction in environmental impact compared to a virgin supply chain. However, in terms of ion radiation, the amount of emissions is approximately 2.8 times higher than that of the virgin plastic scenario. This increase is mainly due to the specific situation in France, where most of the energy is generated using nuclear means. This study aims to expand on the environmental assessment of the plastic recycling network system to better understand the implementation of these systems for waste plastic management, which can help extend the lifetime of plastic material. The findings provide an environmental overview of the benefits and disadvantages of developing a DRAM system in a particular context.</t>
  </si>
  <si>
    <t>Sanchez, Fabio/AAW-8943-2020; CAMARGO, Mauricio/HJP-7111-2023</t>
  </si>
  <si>
    <t>Santander Tapia, Pavlo/0009-0000-2076-5586</t>
  </si>
  <si>
    <t>2772-9125</t>
  </si>
  <si>
    <t>10.1016/j.clwas.2023.100100</t>
  </si>
  <si>
    <t>WOS:001350210600005</t>
  </si>
  <si>
    <t>Bachelet, VC; Calabrán, J; Krögh, E; Leon, J; Villanueva, J</t>
  </si>
  <si>
    <t>Bachelet, Vivienne C.; Calabran, Jonathan; Krogh, Emma; Leon, Javiera; Villanueva, Julio</t>
  </si>
  <si>
    <t>An exploratory study of citations in systematic reviews of randomized trials published in Latin American journals</t>
  </si>
  <si>
    <t>MEDWAVE</t>
  </si>
  <si>
    <t>Introduction The prevalence of inclusion of randomized controlled trials published in Latin American journals has not been evaluated yet. This study explores the extent to which randomized trials published in Latin American medical journals are cited and used in systematic reviews. Methods We did a descriptive observational study on randomized trials published in MEDLINE--indexed Latin American journals from 2010 to 2015. The primary outcome was the inclusion of these trials in systematic reviews. The secondary outcome was the total number of citations each trial received, as reported by Google Scholar. Results Twenty-nine journals were selected. After searching these journals, we found 135 trials that fulfilled the inclusion criteria accounting for 2% of all research articles published in these journals. Of these, 55 (41%) were included in 202 systematic reviews. Of the nine most-cited randomized trials by systematic reviews and meta-analyses, only two were published in Spanish. Nine received zero citations by any article type. Most had small sample sizes. Conclusions The overall impact of randomized controlled trials published in Latin American journals is low. Little funding, language bias and small sample sizes may explain the low inclusion in systematic reviews and meta-analyses.</t>
  </si>
  <si>
    <t>Bachelet, Vivienne/JAN-7158-2023; leon, javiera/KYQ-4449-2024; Villanueva, Julio/F-8704-2010</t>
  </si>
  <si>
    <t>Villanueva, Julio/0000-0002-5807-442X; Bachelet, Vivienne C./0000-0002-5715-9755</t>
  </si>
  <si>
    <t>0717-6384</t>
  </si>
  <si>
    <t>10.5867/medwave.2022.10.2654</t>
  </si>
  <si>
    <t>WOS:000916051200001</t>
  </si>
  <si>
    <t>Gramsch, E; Oyola, P; Reyes, F; Vasquez, Y; Rubio, MA; Soto, C; Perez, P; Moreno, F; Gutierrez, N</t>
  </si>
  <si>
    <t>Gramsch, E.; Oyola, P.; Reyes, F.; Vasquez, Y.; Rubio, M. A.; Soto, C.; Perez, P.; Moreno, F.; Gutierrez, N.</t>
  </si>
  <si>
    <t>Influence of Particle Composition and Size on the Accuracy of Low Cost PM Sensors: Findings From Field Campaigns</t>
  </si>
  <si>
    <t>FRONTIERS IN ENVIRONMENTAL SCIENCE</t>
  </si>
  <si>
    <t>In the last decade, many low-cost monitoring sensors and sensor-networks have been used as an alternative air quality assessment method. It is also well known that these low cost monitors have calibration, accuracy and long term variation problems which require various calibration techniques. In this work PM2.5 and PM10 low cost sensors (Plantower and Nova Fitness) have been tested in five cities under different environmental conditions and compared with collocated standard instruments. Simultaneously, particle composition (organic and black carbon, sulfate, nitrate, chloride, ammonium, and chemical elements) has been measured in the same places to study its influence on the accuracy. The results show a very large variability in the correlation between the low cost sensors and collocated standard instruments depending on the composition and size of particles present in the site. The PM10 correlation coefficient (R-2) between the low cost sensor and a collocated regulatory instrument varied from to 0.95 in Temuco to 0.04 in Los Caleos. PM2.5 correlation varied from 0.97 to 0.68 in the same places. It was found that sites that had higher proportion of large particles had lower correlation between the low cost sensor and the regulatory instrument. Sites that had higher relative concentration of organic and black carbon had better correlation because these species are mostly below the 1 mu m size range. Sites that had higher sulfate, nitrate or SiO2 concentrations in PM2.5 or PM10 had low correlation most likely because these particles have a scattering coefficients that depends on its size or composition, thus they can be classified incorrectly.</t>
  </si>
  <si>
    <t>Munoz, Camila/MCJ-4945-2025; Gutiérrez-Méndez, Nestor/E-7319-2017; Bajo, Maria/ABF-6991-2020</t>
  </si>
  <si>
    <t>Moreno, Francisco/0000-0001-9637-0919</t>
  </si>
  <si>
    <t>2296-665X</t>
  </si>
  <si>
    <t>NOV 12</t>
  </si>
  <si>
    <t>10.3389/fenvs.2021.751267</t>
  </si>
  <si>
    <t>WOS:000726053500001</t>
  </si>
  <si>
    <t>Parra-Melipán, S; López, V; Moya, SA; Valdebenito, G; Aranda, B; Aguirre, P</t>
  </si>
  <si>
    <t>Parra-Melipan, Sebastian; Lopez, Vicente; Moya, Sergio A.; Valdebenito, Gonzalo; Aranda, Braulio; Aguirre, Pedro</t>
  </si>
  <si>
    <t>Valorization of furfural using ruthenium (II) complexes containing phosphorus-nitrogen ligands under homogeneous transfer hydrogen condition</t>
  </si>
  <si>
    <t>MOLECULAR CATALYSIS</t>
  </si>
  <si>
    <t>In this paper, we report the catalytic activity of a series of ruthenium (II) complexes containing phosphorus nitrogen bidentated (P-N) ligands in the hydrogenation of furfural via hydrogen transfer reaction using two hydrogen donor sources: 2-propanol in basic medium and formic acid under mild conditions. The results showed that all the ruthenium complexes studied are catalytically active in the hydrogenation of furfural by hydrogen transfer reaction; they showed 100% conversion with both hydrogen sources. However, selectivities towards the formation of furfuryl alcohol were better when formic acid was used. It was also found that the reaction studied in a basic medium competes with the Cannizzaro reaction, obtaining furfuryl alcohol and furoic acid in a 70/30 ratio; on the other hand, using formic acid as the hydrogen source yields furfuryl alcohol with 100% selectivity. Although formic acid can be used as a hydrogen source successfully. The optimal substrate/acid ratio was found to be 1:1, as a higher concentration of formic acid can cause catalyst decomposition. The yielded products, furfuryl alcohol and furoic acid, obtained from renewable sources, have multiple applications in the organic chemical industry, replacing or complementing similar fossil-derived products.</t>
  </si>
  <si>
    <t>Parra-Melipan, Sebastian/0000-0003-2026-3935; Aranda, Braulio/0000-0001-6260-3374; Valdebenito, Gonzalo/0000-0003-2931-9288</t>
  </si>
  <si>
    <t>2468-8231</t>
  </si>
  <si>
    <t>10.1016/j.mcat.2021.111729</t>
  </si>
  <si>
    <t>AUG 2021</t>
  </si>
  <si>
    <t>WOS:000693563300010</t>
  </si>
  <si>
    <t>Avalos, N; Grego, K</t>
  </si>
  <si>
    <t>Avalos, Nicolas; Grego, Kristian</t>
  </si>
  <si>
    <t>Protocol for percutaneous tracheostomy and prevention of COVID-19 transmission</t>
  </si>
  <si>
    <t>AMERICAN JOURNAL OF OTOLARYNGOLOGY</t>
  </si>
  <si>
    <t>Introduction: Currently we are faced with countless patients with prolonged invasive mechanical ventilation as a result of the COVID-19 pandemic, with the consequent increase in the need for tracheostomies and the risks that this includes for both patients and staff. Objective: It is necessary to establish a safety protocol for the performance of percutaneous tracheostomies in order to reduce the associated infections. Material and methods: 77 patients underwent tracheostomies between March 2020 and March 2021, evaluating the safety of the protocol and the rate of contagion among the staff. Results: Percutaneous tracheostomy was performed according to the protocol in 72 patients, 5 were excluded due to unfavorable anatomy or other reasons. There were no cases of SARS COVID-19 contagion among health personnel attributable to the procedure during the three-week follow-up period. There were no surgical complications in this series. Conclusion: The authors recommend implementing security protocols such as the one discussed in this work, given its low contagion rate and ease of implementation.</t>
  </si>
  <si>
    <t>0196-0709</t>
  </si>
  <si>
    <t>1532-818X</t>
  </si>
  <si>
    <t>NOV-DEC</t>
  </si>
  <si>
    <t>10.1016/j.amjoto.2021.103090</t>
  </si>
  <si>
    <t>JUN 2021</t>
  </si>
  <si>
    <t>WOS:000705830300037</t>
  </si>
  <si>
    <t>Maselli-Schoueri, JH; de Carvalho, LEW; Rezende, LFM; Fonseca, FLA; Ferrari, G; Adami, F</t>
  </si>
  <si>
    <t>Maselli-Schoueri, Jean Henri; de Carvalho, Luis Eduardo Werneck; Rezende, Leandro F. M.; Fonseca, Fernando Luiz Affonso; Ferrari, Gerson; Adami, Fernando</t>
  </si>
  <si>
    <t>Hospital Admissions Associated With Noncommunicable Diseases During the COVID-19 Outbreak in Brazil</t>
  </si>
  <si>
    <t>JAMA NETWORK OPEN</t>
  </si>
  <si>
    <t>Schoueri, Jean/X-7806-2018; Ferrari, Gerson/ABG-6635-2021; Rezende, Leandro/C-1724-2012; Ferrari, Gerson/P-1152-2014</t>
  </si>
  <si>
    <t>Rezende, Leandro/0000-0002-7469-1399; Ferrari, Gerson/0000-0003-3177-6576</t>
  </si>
  <si>
    <t>2574-3805</t>
  </si>
  <si>
    <t>MAR 8</t>
  </si>
  <si>
    <t>e210799</t>
  </si>
  <si>
    <t>10.1001/jamanetworkopen.2021.0799</t>
  </si>
  <si>
    <t>WOS:000627897000001</t>
  </si>
  <si>
    <t>Arévalo, SAT; Doña, AM</t>
  </si>
  <si>
    <t>Toro Arevalo, Sergio Alejandro; Moreno Dona, Alberto</t>
  </si>
  <si>
    <t>Physical Education as a colonial and neoliberal category: transiting towards the thinking of human motricity in and from Abya Yala</t>
  </si>
  <si>
    <t>AGORA PARA LA EDUCACION FISICA Y EL DEPORTE</t>
  </si>
  <si>
    <t>In this article we present a critique of the Chilean and Latin American educational system from the concepts of neoliberalism and modernity as a civilizing project focused on the denial of otherness. From there we justify the impossibility of a Physical Education that, as physical, separates, excludes and denies the various ways of living. We end up proposing human motricity as an ontological and epistemological alternative, understood as the capacity-condition of making-the world, from which it is possible to think about the educational.</t>
  </si>
  <si>
    <t>Moreno-Doña, Alberto/ABG-2494-2020</t>
  </si>
  <si>
    <t>1578-2174</t>
  </si>
  <si>
    <t>1989-7200</t>
  </si>
  <si>
    <t>10.24197/aefd.0.2021.199-217</t>
  </si>
  <si>
    <t>WOS:000733242800011</t>
  </si>
  <si>
    <t>dos Santos, SBF; Pereira, SA; Rodrigues, FAM; da Silva, ACC; de Almeida, RR; Sousa, ACC; Fechine, LMUD; Denardin, JC; Araneda, F; Sa, LGAV; da Silva, CR; Nobre, HV; Ricardo, NMPS</t>
  </si>
  <si>
    <t>dos Santos, Sarah B. F.; Pereira, Stefano A.; Rodrigues, Francisco A. M.; da Silva, Aierta C. C.; de Almeida, Raimundo R.; Sousa, Alexandre C. C.; Fechine, Lillian M. U. D.; Denardin, Juliano C.; Araneda, Fabian; Sa, Livia G. A., V; da Silva, Cecilia R.; Nobre Junior, Helio, V; Ricardo, Nagila M. P. S.</t>
  </si>
  <si>
    <t>Antibacterial activity of fluoxetine-loaded starch nanocapsules</t>
  </si>
  <si>
    <t>Thiswork proposes the development of a starch-based drug carrier for fluoxetine (FLX) delivery and evaluate the improvement of the drug antibacterial activity. The starch nanocapsules were prepared via interfacial polyaddition reaction presenting a core-shell morphology, based on polyurethane linkage, with a particle size in the range 250-300 nm. Furthermore, FLX-loaded nanocapsules were evaluated regarding antibacterial potential against Staphylococcus aureus (ATCC (R) 6538P T) and its clinical strains of methicillin-resistant. As expected, the FLX-loaded presented lower minimum inhibitory concentration (MIC) values, in the range of 190-95 mu g mL(-1), against all isolated microorganisms in comparison to FLX, 255 mu g mL(-1). According to results, the FLX-loaded starch nanocapsules have successfully improved drug antibacterial activity, generating promising perspectives on the field of the hydrophilic drug delivery systems. (C) 2020 Elsevier B.V. All rights reserved.</t>
  </si>
  <si>
    <t>Vitoriano, Hélio/HTR-3871-2023; Carreira da Cruz Sousa, Alexandre/HLQ-1316-2023; Denardin, Juliano/S-6407-2019; valente, Livia/ABG-5909-2020; Ricardo, Nágila/C-3630-2015; Dutra, Lillian/AAD-7774-2022; valente sa, Livia/AIC-9551-2022; Silva, Cecilia/HTQ-8687-2023</t>
  </si>
  <si>
    <t>Carreira da Cruz Sousa, Alexandre/0000-0002-5455-7256; pereira, stefano/0000-0002-2206-6380; valente sa, Livia/0000-0002-0619-2782; Silva, Cecilia/0000-0003-4964-351X</t>
  </si>
  <si>
    <t>DEC 1</t>
  </si>
  <si>
    <t>10.1016/j.ijbiomac.2020.08.184</t>
  </si>
  <si>
    <t>WOS:000588093700264</t>
  </si>
  <si>
    <t>Freire, TM; Fechine, LMUD; Queiroz, DC; Freire, RM; Denardin, JC; Ricardo, NMPS; Rodrigues, TNB; Gondim, DR; Junior, IJS; Fechine, PBA</t>
  </si>
  <si>
    <t>Freire, Tiago M.; Fechine, Lillian M. U. D.; Queiroz, Danilo C.; Freire, Rafael M.; Denardin, Juliano C.; Ricardo, Nagila M. P. S.; Rodrigues, Thaina N. B.; Gondim, Diego R.; Junior, Ivanildo J. S.; Fechine, Pierre B. A.</t>
  </si>
  <si>
    <t>Magnetic Porous Controlled Fe3O4-Chitosan Nanostructure: An Ecofriendly Adsorbent for Efficient Removal of Azo Dyes</t>
  </si>
  <si>
    <t>NANOMATERIALS</t>
  </si>
  <si>
    <t>In this work, chitosan/magnetite nanoparticles (ChM) were quickly synthesized according to our previous report based on co-precipitation reaction under ultrasound (US) irradiation. Besides ChM was in-depth structurally characterized, showing a crystalline phase corresponding to magnetite and presenting a spheric morphology, a nanorod-type morphology was also obtained after increasing reaction time for eight minutes. Successfully, both morphologies presented a nanoscale range with an average particle size of approximately 5-30 nm, providing a superparamagnetic behavior with saturation magnetization ranging from 44 to 57 emu center dot g(-1). As ChM nanocomposites have shown great versatility considering their properties, we proposed a comparative study using three different amine-based nanoparticles, non-surface-modified and surface-modified, for removal of azo dyes from aqueous solutions. From nitrogen adsorption-desorption isotherm results, the surface-modified ChMs increased the specific surface area and pore size. Additionally, the adsorption of anionic azo dyes (reactive black 5 (RB5) and methyl orange (MO)) on nanocomposites surface was pH-dependent, where surface-modified samples presented a better response under pH 4 and non-modified one under pH 8. Indeed, adsorption capacity results also showed different adsorption mechanisms, molecular size effect and electrostatic attraction, for unmodified and modified ChMs, respectively. Herein, considering all results and nanocomposite-type structure, ChM nanoparticles seem to be a suitable potential alternative for conventional anionic dyes adsorbents, as well as both primary materials source, chitosan and magnetite, are costless and easily supplied.</t>
  </si>
  <si>
    <t>Denardin, Juliano/S-6407-2019; GONDIM, DIEGO/MGB-4991-2025; Dutra, Lillian/AAD-7774-2022; Ricardo, Nágila/C-3630-2015; Melo Freire, Tiago/AED-7512-2022; Fechine, Pierre/B-7937-2013</t>
  </si>
  <si>
    <t>Fechine, Lillian/0000-0002-4207-349X; Ricardo, Nagila/0000-0003-1849-5403; Melo Freire, Tiago/0000-0001-5389-1087; Fechine, Pierre/0000-0002-7822-2354</t>
  </si>
  <si>
    <t>2079-4991</t>
  </si>
  <si>
    <t>10.3390/nano10061194</t>
  </si>
  <si>
    <t>WOS:000551676400001</t>
  </si>
  <si>
    <t>Lorenzo-Llanes, J; Pagés-Díaz, J; Kalogirou, E; Contino, F</t>
  </si>
  <si>
    <t>Lorenzo-Llanes, Junior; Pages-Diaz, Jhosane; Kalogirou, Efstratios; Contino, Francesco</t>
  </si>
  <si>
    <t>Development and application in Aspen Plus of a process simulation model for the anaerobic digestion of vinasses in UASB reactors: Hydrodynamics and biochemical reactions</t>
  </si>
  <si>
    <t>JOURNAL OF ENVIRONMENTAL CHEMICAL ENGINEERING</t>
  </si>
  <si>
    <t>UASB reactors are accepted as a suitable technology for biogas production from the anaerobic digestion of vinasse. To describe correctly the behavior of this type of reactors the hydrodynamics as well as the biochemical processes inside the reactor should be considered simultaneously. This represents a complex task during experiments or in full-scale operation. Yet, the better understanding and description of UASB reactors operation would be greatly improved thanks to process simulation tools, saving time and money. In this regard, the aim of this study was to develop a novel simulation model in Aspen Plus (R) for UASB reactors treating vinasses. The model integrated ADM1- Flow pattern - Biofilms characteristics and the sulfate reduction process. Simulation results from laboratory, pilot and industrial scales showed differences lower than +/- 15% respect to the real data. Based on the sulfate reduction process an increment in biogas production of 14% for a SO42-/COD ratio of 0.05 was obtained. In agreement with experimental data, the model predicted a reduction of 5% in methane yield and the reactor failure for SO42-/COD ratio from 0.07 to 0.1 and higher than 0.1 respectively. Sensitivity analysis based on granule size showed an increment of 16% in biogas generation when the granule diameter was reduced from 4 mm to 1 mm. The hydrodynamic parameters (i.e. Peclet number, dispersion coefficient) evaluated by the model, demonstrated the existence of a non-ideal flow in the reactor.</t>
  </si>
  <si>
    <t>Pagés-Díaz, Jhosané/AAD-5648-2020; Contino, Francesco/G-1292-2010; Llanes, Lorenzo/ABA-7389-2020</t>
  </si>
  <si>
    <t>Lorenzo Llanes, Junior/0000-0001-5177-2009; Pages Diaz, Jhosane/0000-0002-2956-5705</t>
  </si>
  <si>
    <t>2213-3437</t>
  </si>
  <si>
    <t>APR</t>
  </si>
  <si>
    <t>10.1016/j.jece.2019.103540</t>
  </si>
  <si>
    <t>WOS:000524743700029</t>
  </si>
  <si>
    <t>Dintrans, PV</t>
  </si>
  <si>
    <t>Villalobos Dintrans, Pablo</t>
  </si>
  <si>
    <t>Designing Long-Term Care Systems: Elements to Consider</t>
  </si>
  <si>
    <t>JOURNAL OF AGING &amp; SOCIAL POLICY</t>
  </si>
  <si>
    <t>Population aging presents huge challenges for most countries around the world. In this context, long-term care systems appear as a feasible solution to the multidimensional issues arising from demographic change. However, designing a long-term care system is complex. This article presents a structure to analyze long-term care systems based on four components: beneficiaries, benefits, providers, and financing. It uses the experience of three countries to illustrate the many choices available when designing the system, emphasizing the need to understand each component and their interactions. The analysis highlights the existence of several alternatives when designing and implementing long-term care systems.</t>
  </si>
  <si>
    <t>Dintrans, Pablo/AAM-6248-2020</t>
  </si>
  <si>
    <t>Villalobos Dintrans, Pablo/0000-0002-2236-6447</t>
  </si>
  <si>
    <t>0895-9420</t>
  </si>
  <si>
    <t>1545-0821</t>
  </si>
  <si>
    <t>JAN 2</t>
  </si>
  <si>
    <t>10.1080/08959420.2019.1685356</t>
  </si>
  <si>
    <t>WOS:000505218300005</t>
  </si>
  <si>
    <t>Thorn, A; Rojas-Nunez, J; Hajinazar, S; Baltazar, SE; Kolmogorov, AN</t>
  </si>
  <si>
    <t>Thorn, Aidan; Rojas-Nunez, Javier; Hajinazar, Samad; Baltazar, Samuel E.; Kolmogorov, Aleksey N.</t>
  </si>
  <si>
    <t>Toward ab Initio Ground States of Gold Clusters via Neural Network Modeling</t>
  </si>
  <si>
    <t>JOURNAL OF PHYSICAL CHEMISTRY C</t>
  </si>
  <si>
    <t>Prescreening candidate structures with reliable classical potentials is an effective way to accelerate ab initio ground state searches. Given the growing popularity of machine learning force fields, surprisingly little work has been dedicated to quantifying their advantages over traditional potentials in global structure optimizations. In this study, we have developed a neural network (NN) model and systematically benchmarked it against a commonly used Gupta potential and an embedded atom model in the search for stable Au-N clusters (30 &lt;= N &lt;= 80). An efficient simultaneous optimization of clusters in the full size range was achieved with our recently introduced multitribe evolutionary algorithm. Density functional theory (DFT) evaluations of candidate configurations identified with the three classical models revealed that the NN structures were lower in energy by at least 10 meV/atom for 30 of the 51 sizes. We also demonstrated that DFT evaluation of all NN-relaxed structures during evolutionary searches resulted in finding even more stable configurations, which highlights the need for further improvement of the NN accuracy to avoid excessive DFT calculations. Overall, the global searches produced putative ground states with matching or lower DFT energies compared to all previously reported Au clusters with 30-80 atoms.</t>
  </si>
  <si>
    <t>Kolmogorov, Aleksey/C-5127-2012; Baltazar, Samuel/E-1814-2011; Hajinazar, Samad/JXX-7200-2024; Rojas, Javier/JYP-5531-2024</t>
  </si>
  <si>
    <t>Rojas-Nunez, Javier/0000-0002-2343-3533; Hajinazar, Samad/0000-0002-7255-5932; Baltazar, Samuel/0000-0001-9826-9400; Thorn, Aidan/0000-0001-8949-4673</t>
  </si>
  <si>
    <t>1932-7447</t>
  </si>
  <si>
    <t>1932-7455</t>
  </si>
  <si>
    <t>DEC 19</t>
  </si>
  <si>
    <t>10.1021/acs.jpcc.9b08517</t>
  </si>
  <si>
    <t>WOS:000503919500007</t>
  </si>
  <si>
    <t>Pino-Rios, R; Cárdenas-Jirón, G; Ruiz, L; Tiznado, W</t>
  </si>
  <si>
    <t>Pino-Rios, Ricardo; Cardenas-Jiron, Gloria; Ruiz, Lina; Tiznado, William</t>
  </si>
  <si>
    <t>Interpreting Aromaticity and Antiaromaticity through Bifurcation Analysis of the Induced Magnetic Field</t>
  </si>
  <si>
    <t>CHEMISTRYOPEN</t>
  </si>
  <si>
    <t>In all molecules, a current density is induced when the molecule is subjected to an external magnetic field. In turn, this current density creates a particular magnetic field. In this work, the bifurcation value of the induced magnetic field is analyzed in a representative set of aromatic, non-aromatic and antiaromatic monocycles, as well as a set of polycyclic hydrocarbons. The results show that the bifurcation value of the ring-shaped domain adequately classifies the studied molecules according to their aromatic character. For aromatic and nonaromatic molecules, it is possible to analyze two ring-shaped domains, one diatropic (inside the molecular ring) and one paratropic (outside the molecular ring). Meanwhile, for antiaromatic rings, only a diatropic ring-shaped domain (outside the molecular ring) is possible to analyze, since the paratropic domain (inside the molecular ring) is irreducible with the maximum value (attractor) at the center of the molecular ring. In some of the studied cases, i. e., in heteroatomic species, bifurcation values do not follow aromaticity trends and present some inconsistencies in comparison to ring currents strengths, showing that this approximation provides only a qualitative estimation about (anti)aromaticity.</t>
  </si>
  <si>
    <t>Ruiz Hincapié, Lina María/H-9593-2019; Cardenas-Jiron, Gloria/H-9508-2012; Tiznado, William/G-7479-2014</t>
  </si>
  <si>
    <t>Cardenas-Jiron, Gloria/0000-0003-4305-8088; Ruiz Hincapie, Lina Maria/0000-0002-9363-2730; Pino Rios, Ricardo/0000-0003-4756-1115; Tiznado, William/0000-0002-6061-8879</t>
  </si>
  <si>
    <t>2191-1363</t>
  </si>
  <si>
    <t>10.1002/open.201800238</t>
  </si>
  <si>
    <t>WOS:000462770300009</t>
  </si>
  <si>
    <t>Firoozabadi, AD; Irarrazaval, P; Adasme, P; Durney, H; Olave, MS</t>
  </si>
  <si>
    <t>Firoozabadi, Ali Dehghan; Irarrazaval, Pablo; Adasme, Pablo; Durney, Hugo; Olave, Miguel Sanhueza</t>
  </si>
  <si>
    <t>A Novel Quasi-Spherical Nested Microphone Array and Multiresolution Modified SRP by GammaTone Filterbank for Multiple Speakers Localization</t>
  </si>
  <si>
    <t>2019 SIGNAL PROCESSING ALGORITHMS, ARCHITECTURES, ARRANGEMENTS, AND APPLICATIONS (SPA 2019)</t>
  </si>
  <si>
    <t>Signal Processing Algorithms Architectures Arrangements and Applications</t>
  </si>
  <si>
    <t>23rd IEEE Conference on Signal Processing Algorithms, Architectures, Arrangements, and Applications (SPA)</t>
  </si>
  <si>
    <t>SEP 18-20, 2019</t>
  </si>
  <si>
    <t>Poznan Univ Technol, Piotrowo Campus, Ctr Mechatron, Biomechan, &amp; Nanoengi, Poznan, POLAND</t>
  </si>
  <si>
    <t>Inst Elect &amp; Elect Engineers Inc,Inst Elect &amp; Elect Engineers Inc, Reg 8 Europe, Middle E and Africa, Poland Sect,Inst Elect &amp; Elect Engineers Inc, Circuits &amp; Syst Chapter,Poznan Univ Technol, Fac Comp, Inst Automat &amp; Robot, Div Signal Proc &amp; Elect Syst</t>
  </si>
  <si>
    <t>Poznan Univ Technol, Piotrowo Campus, Ctr Mechatron, Biomechan, &amp; Nanoengi</t>
  </si>
  <si>
    <t>Multiple sound source localization is one of the most important applications in speech processing. The challenge in localization and tracking algorithms is to have better accuracy in noisy and reverberant environments. In the proposed method in this paper, a Quasi-Spherical Nested Microphone Array (QS-NMA) is suggested to eliminate the spatial aliasing and to be applicable for 3D sound source localization. In addition, the microphone signals related to QS-NMA are divided to different subbands by GammaTone filter bank based on the speech spectrum components. The subband processing is considered due to the W-Disjoint Orthogonality (W-DO) of speech signal specially in low frequencies. Then, the modified steered response power (SRP) is implemented based on the specific microphones of QS-NMA and subband signals. The modified SRP method is combined by ML and PHAT weighted functions adaptively and the peak positions of the modified SRP are extracted based on the number of speakers. This process is implemented on all subbands and the final histogram is calculated by combination of histograms for each subband. The 3D positions of all speakers are estimated by peak selections of the final histogram based on the number of speakers. The Proposed system is evaluated on different noisy and reverberant conditions and the superiority of the method is presented in comparison with other previous works. This system by using of QS-NMA localizes speakers in different directions with the same probability for speaker's positions in indoor conditions.</t>
  </si>
  <si>
    <t>Irarrazaval, Pablo/F-8232-2013; Adasme, Pablo/U-1735-2019; Dehghan Firoozabadi, Ali/AAD-4858-2019; Sanhueza Olave, Miguel/JFS-4364-2023</t>
  </si>
  <si>
    <t>Dehghan Firoozabadi, Ali/0000-0002-6391-6863; Irarrazaval, Pablo/0000-0002-5186-2642</t>
  </si>
  <si>
    <t>2326-0262</t>
  </si>
  <si>
    <t>978-83-62065-36-3</t>
  </si>
  <si>
    <t>10.23919/spa.2019.8936771</t>
  </si>
  <si>
    <t>WOS:000527393900040</t>
  </si>
  <si>
    <t>Bruneau, V; Miranda, P; Popoff, N</t>
  </si>
  <si>
    <t>Bruneau, Vincent; Miranda, Pablo; Popoff, Nicolas</t>
  </si>
  <si>
    <t>RESONANCES NEAR THRESHOLDS IN SLIGHTLY TWISTED WAVEGUIDES</t>
  </si>
  <si>
    <t>PROCEEDINGS OF THE AMERICAN MATHEMATICAL SOCIETY</t>
  </si>
  <si>
    <t>We consider the Dirichlet Laplacian in a straight three dimensional waveguide with non-rotationally invariant cross section, perturbed by a twisting of small amplitude. It is well known that such a perturbation does not create eigenvalues below the essential spectrum. However, around the bottom of the spectrum, we provide a meromorphic extension of the weighted resolvent of the perturbed operator and show the existence of exactly one pole near this point. Moreover, we obtain the asymptotic behavior of this resonance as the size of the twisting goes to 0. We also extend the analysis to the upper eigenvalues of the transversal problem, showing that the number of resonances is bounded by the multiplicity of the eigenvalue and obtaining the corresponding asymptotic behavior.</t>
  </si>
  <si>
    <t>Miranda, Pablo/AAD-3559-2019</t>
  </si>
  <si>
    <t>Miranda, Pablo/0000-0003-0370-9288</t>
  </si>
  <si>
    <t>0002-9939</t>
  </si>
  <si>
    <t>1088-6826</t>
  </si>
  <si>
    <t>10.1090/proc/14141</t>
  </si>
  <si>
    <t>WOS:000445106600021</t>
  </si>
  <si>
    <t>Pizarro, GD; Marambio, OG; Jeria-Orell, M; Sánchez, J; Oyarzún, DP</t>
  </si>
  <si>
    <t>Pizarro, Guadalupe del C.; Marambio, Oscar G.; Jeria-Orell, Manuel; Sanchez, Julio; Oyarzun, Diego P.</t>
  </si>
  <si>
    <t>Nanocomposites based on self-assembly poly(hydroxypropyl methacrylate)-block-poly(N-phenylmaleimide) and Fe3O4-NPs. Thermal stability, morphological characterization and optical properties</t>
  </si>
  <si>
    <t>CHEMICAL PHYSICS LETTERS</t>
  </si>
  <si>
    <t>The current work presents the synthesis, characterization and preparation of organic-inorganic hybrid polymer films that contain inorganic magnetic nanoparticles (NPs). The block copolymer, prepared by Atom-Transfer Radical Polymerization (ATRP), was used as a nanoreactor for iron oxide NPs. The NPs were embedded in poly(hydroxypropyl methacrylate)-block-poly(N-phenylmaleimide) matrix. The following topographical modifications of the surface of the film were specially analyzed: control of pore features and changes in surface roughness. Finally, the NPs functionality inside the polymer matrix and how it may affect the thermal and optical properties of the films were assessed. (C) 2018 Elsevier B.V. All rights reserved.</t>
  </si>
  <si>
    <t>PIZARRO, GUADALUPE/V-3353-2017; Oyarzun, Diego/MTF-4062-2025; Sanchez, Julio/AEO-4360-2022</t>
  </si>
  <si>
    <t>0009-2614</t>
  </si>
  <si>
    <t>1873-4448</t>
  </si>
  <si>
    <t>10.1016/j.cplett.2018.01.030</t>
  </si>
  <si>
    <t>WOS:000424631900029</t>
  </si>
  <si>
    <t>Baltazar, SE; Romero, AH; Salgado, M</t>
  </si>
  <si>
    <t>Baltazar, Samuel E.; Romero, Aldo H.; Salgado, Marcelo</t>
  </si>
  <si>
    <t>Adsorption of As(III) and As(V) compounds on Fe3O4(001) surfaces: A first principle study</t>
  </si>
  <si>
    <t>COMPUTATIONAL MATERIALS SCIENCE</t>
  </si>
  <si>
    <t>The adsorption of arsenic species on magnetite has been studied by first principles calculations. From the considered anionic species, a higher adsorption energy was found for the complexation of Fe3O4(001) with As(III) being 1.3 eV higher than the adsorption energy for As(V). In the case of As(III), a large partial band charge density was found, which was associated to the O-Fe bond formation, while more delocalized electron density was found in the adsorption of As(V) subspecies, with the formation of two Fe-O bonds. A comparison with sorption of neutral arsenic atoms and O-2 molecule was also considered. As (V) is mainly adsorbed on the surface with a double O-Fe bond formation, similar to the case of O-2 in the most stable configuration. (C) 2016 Elsevier B.V. All rights reserved.</t>
  </si>
  <si>
    <t>Baltazar, Samuel/E-1814-2011; romero, aldo/B-2344-2016</t>
  </si>
  <si>
    <t>Baltazar, Samuel/0000-0001-9826-9400; romero, aldo/0000-0001-5968-0571</t>
  </si>
  <si>
    <t>0927-0256</t>
  </si>
  <si>
    <t>1879-0801</t>
  </si>
  <si>
    <t>FEB 1</t>
  </si>
  <si>
    <t>10.1016/j.commatsci.2016.10.029</t>
  </si>
  <si>
    <t>WOS:000390499700014</t>
  </si>
  <si>
    <t>Seguel, F; Soto, I; Adasme, P; Krommenacker, N; Charpentier, P</t>
  </si>
  <si>
    <t>Seguel, Fabian; Soto, Ismael; Adasme, Pablo; Krommenacker, Nicolas; Charpentier, Patrick</t>
  </si>
  <si>
    <t>Potential and Challenges of VLC based IPS in Underground Mines</t>
  </si>
  <si>
    <t>2017 FIRST SOUTH AMERICAN COLLOQUIUM ON VISIBLE LIGHT COMMUNICATIONS (SACVLC)</t>
  </si>
  <si>
    <t>1st South American Colloquium on Visible Light Communications (IEEE SACVLC)</t>
  </si>
  <si>
    <t>NOV 13, 2017</t>
  </si>
  <si>
    <t>Santiago, CHILE</t>
  </si>
  <si>
    <t>IEEE Chile Sect,Univ Santiago Chile,Telefonica Fundac,Movistar</t>
  </si>
  <si>
    <t>Chile is the largest copper producer in the world. In the world, almost 40% of copper is produced underground and it is expected that the activity will reach the 60% of the total mining activity. Because of this, there will be new challenges in terms of safety and productivity. Visible Light Communications (VLC) is a new technology capable to provide illumination and communication at the same time. This technology has shown high accuracy in localization and tacking for indoor scenarios. Nevertheless, most of the applications that can be found in literature assumes square rooms, no tilt receivers, and Line of Sight (LOS) link. In this paper we will address the problem of enabling Visible Light Communications (VLC) based Indoor Positioning System (IPS) in underground mines. Feasible link configurations and positioning topologies are studied throughout this paper. In addition to this, different localization methods are classified in two groups, i.e., range based and range free methods. Their performance in terms of accuracy and robustness as well as the constraints of each method will be analyzed for its usage in underground mines.</t>
  </si>
  <si>
    <t>Krommenacker, Nicolas/IAR-4851-2023; Seguel, Fabian/ABC-4765-2020; Adasme, Pablo/U-1735-2019</t>
  </si>
  <si>
    <t>978-1-5386-1782-3</t>
  </si>
  <si>
    <t>WOS:000428142700010</t>
  </si>
  <si>
    <t>Oscari, F; Oboe, R; Albasini, OAD; Masiero, S; Rosati, G</t>
  </si>
  <si>
    <t>Oscari, Fabio; Oboe, Roberto; Daud Albasini, Omar Andres; Masiero, Stefano; Rosati, Giulio</t>
  </si>
  <si>
    <t>Design and Construction of a Bilateral Haptic System for the Remote Assessment of the Stiffness and Range of Motion of the Hand</t>
  </si>
  <si>
    <t>SENSORS</t>
  </si>
  <si>
    <t>The use of haptic devices in the rehabilitation of impaired limbs has become rather popular, given the proven effectiveness in promoting recovery. In a standard framework, such devices are used in rehabilitation centers, where patients interact with virtual tasks, presented on a screen. To track their sessions, kinematic/dynamic parameters or performance scores are recorded. However, as Internet access is now available at almost every home and in order to reduce the hospitalization time of the patient, the idea of doing rehabilitation at home is gaining wide consent. Medical care programs can be synchronized with the home rehabilitation device; patient data can be sent to the central server that could redirect to the therapist laptop (tele-healthcare). The controversial issue is that the recorded data do not actually represent the clinical conditions of the patients according to the medical assessment scales, forcing them to frequently undergo clinical tests at the hospital. To respond to this demand, we propose the use of a bilateral master/slave haptic system that could allow the clinician, who interacts with the master, to assess remotely and in real time the clinical conditions of the patient that uses the home rehabilitation device as the slave. In this paper, we describe a proof of concept to highlight the main issues of such an application, limited to one degree of freedom, and to the measure of the stiffness and range of motion of the hand.</t>
  </si>
  <si>
    <t>Masiero, Stefano/K-6473-2016; Rosati, Giulio/A-8873-2010; Oboe, Roberto/K-2705-2017</t>
  </si>
  <si>
    <t>Rosati, Giulio/0000-0002-5150-9486; Masiero, Stefano/0000-0002-0361-4898; Oboe, Roberto/0000-0003-3078-2915</t>
  </si>
  <si>
    <t>1424-8220</t>
  </si>
  <si>
    <t>10.3390/s16101633</t>
  </si>
  <si>
    <t>WOS:000386131600085</t>
  </si>
  <si>
    <t>Reyes-Parada, M; Iturriaga-Vasquez, P</t>
  </si>
  <si>
    <t>Reyes-Parada, Miguel; Iturriaga-Vasquez, Patricio</t>
  </si>
  <si>
    <t>The development of novel polypharmacological agents targeting the multiple binding sites of nicotinic acetylcholine receptors</t>
  </si>
  <si>
    <t>EXPERT OPINION ON DRUG DISCOVERY</t>
  </si>
  <si>
    <t>Introduction: Polypharmacology, which refers to the ability of a molecule to simultaneously interact with multiple target proteins, is shifting the drug discovery process from a 'one-drug-one-target' paradigm to a conceptual framework in which the multitarget profile of small molecules is proactively pursued. Nicotinic acetylcholine receptors (nAChRs) appear as attractive targets for the design of polypharmacological agents. These proteins participate in the regulation of multiple physiological processes and impressive progress has been made regarding their structure and function. Moreover, they contain several ligand binding sites, and a number of compounds including orthosteric and allosteric ligands, have been described. Areas covered: The authors provide an overview of some of these topics and briefly discuss the mechanisms of action of some known promiscuous drugs that act at nAChRs, with the idea that this analysis will serve to guide the development of novel polypharmacological agents with a wide spectrum of actions. Expert opinion: The authors anticipate that many innovative drugs will be compounds intentionally designed to have polypharmacological properties. Furthermore, the authors suggest that although the search for multitarget drugs acting at the orthosteric site of nAChRs will remain an interesting option, allosteric sites of these receptors exhibit a much greater polypharmacological potential.</t>
  </si>
  <si>
    <t>1746-0441</t>
  </si>
  <si>
    <t>1746-045X</t>
  </si>
  <si>
    <t>10.1080/17460441.2016.1227317</t>
  </si>
  <si>
    <t>WOS:000383934000006</t>
  </si>
  <si>
    <t>González, L; Robles, C; San Martín, MC</t>
  </si>
  <si>
    <t>Gonzalez, Laura; Robles, Claudia; Cortez San Martin, Marcelo</t>
  </si>
  <si>
    <t>Management issues regarding caligidosis treatment on salmon farms in Chile affected by infection salmon anaemia virus (ISAV), Piscirickettsia salmonis and Neoparamoeba perurans</t>
  </si>
  <si>
    <t>OCEAN &amp; COASTAL MANAGEMENT</t>
  </si>
  <si>
    <t>Chile is one of the world's most prolific producers of farmed salmon, but has suffered great economic losses due to fish diseases. In this study, the interactions of treatments for the caligidosis agent Caligus rogercresseyi and major diseases in salmon aquaculture caused by Piscirickettsia salmonis, Infectious Salmon Anaemia Virus and Neoparamoeba perurans were determined. This information is essential to develop an integrated management strategy in Chile. Immunosuppression due to fish stress, increased by frequent chemical baths to treat C. rogercresseyi, was considered to be the main source of chronic caligidosis and high prevalence of other diseases. P. salmonis and pathogenic ISAV were detected using PCR analysis at all farms sampled, but N. perurans at one farm in April only. In 2011, individuals of Oncorhynchus mykiss with gill pathology not caused by N. perurans and receiving chemical baths at Farm 1 were affected by 100% prevalence of sea lice. Similar prevalence was observed on Salmo salar at Farm 2, which did not receive bath treatments. Both farms were under similar oceanographic influence. A prevalence of 80% of a pathogenic strain of ISAV, but without clinical symptoms, was detected at Farm 2, combined with low sea lice presence and almost complete absence of ovigerous females (OF) even though no treatment had been applied. S. salar sampled at Farm 3 in 2013 were also chronically infested with sea lice despite routine chemical treatment baths. P. salmonis was correlated with the increase in OF and chalimii. It was concluded that chemical baths to treat sea lice triggered fish mortality concomitantly with AGD due to prior gill damage. Fish stress conditions elicited by fish-gill disease, fish maturation and P. salmonis were related to an increase of ovigerous sea lice females. The decrease in recurrent and routine chemical baths allowed a reduction of sea lice reproduction and, most likely, of ISAV outbreaks. (C) 2016 Elsevier Ltd. All rights reserved.</t>
  </si>
  <si>
    <t>González, Laura/ACF-3934-2022; Robles-Planells, Claudia/LTF-7300-2024</t>
  </si>
  <si>
    <t>Gonzalez-Poblete, Laura/0000-0001-9964-2721; Robles-Planells, Claudia/0000-0003-3339-8871</t>
  </si>
  <si>
    <t>0964-5691</t>
  </si>
  <si>
    <t>1873-524X</t>
  </si>
  <si>
    <t>10.1016/j.ocecoaman.2016.02.002</t>
  </si>
  <si>
    <t>WOS:000372380800007</t>
  </si>
  <si>
    <t>Andreasen, E; Valenzuela, P</t>
  </si>
  <si>
    <t>Andreasen, Eugenia; Valenzuela, Patricio</t>
  </si>
  <si>
    <t>Financial openness, domestic financial development and credit ratings</t>
  </si>
  <si>
    <t>FINANCE RESEARCH LETTERS</t>
  </si>
  <si>
    <t>This article shows that financial openness significantly affects corporate and sovereign credit ratings and that the magnitude of this effect depends on the level of development of the domestic financial market. Issuers located in less financially developed economiesi stand to benefit the most from opening up their capital accounts, whereas the impact of this effect decreases as the level of development of the domestic capital market improves. (C) 2015 Elsevier Inc. All rights reserved.</t>
  </si>
  <si>
    <t>Valenzuela, Patricio/F-8264-2016</t>
  </si>
  <si>
    <t>Valenzuela, Patricio/0000-0001-8171-9751</t>
  </si>
  <si>
    <t>1544-6123</t>
  </si>
  <si>
    <t>1544-6131</t>
  </si>
  <si>
    <t>10.1016/j.frl.2015.10.019</t>
  </si>
  <si>
    <t>WOS:000373649800002</t>
  </si>
  <si>
    <t>Martínez, P; Vöhringer, PA; Rojas, G</t>
  </si>
  <si>
    <t>Martinez, Pablo; Vohringer, Paul A.; Rojas, Graciela</t>
  </si>
  <si>
    <t>Barriers to access to treatment for mothers with postpartum depression in primary health care centers: a predictive model</t>
  </si>
  <si>
    <t>REVISTA LATINO-AMERICANA DE ENFERMAGEM</t>
  </si>
  <si>
    <t>Objective: to develop a predictive model to evaluate the factors that modify the access to treatment for Postpartum Depression (PPD). Methods: prospective study with mothers who participated in the monitoring of child health in primary care centers. For the initial assessment and during 3 months, it was considered: sociodemographic data, gyneco-obstetric data, data on the services provided, depressive symptoms according to the Edinburgh Postpartum Depression Scale (EPDS) and quality of life according to the Short Form-36 Health Status Questionnaire (SF-36). The diagnosis of depression was made based on MINI. Mothers diagnosed with PPD in the initial evaluation, were followed-up. Results: a statistical model was constructed to determine the factors that prevented access to treatment, which consisted of: item 2 of EPDS (OR 0.43, 95% CI: 0.20-0.93) and item 5 (OR 0.48, 95% CI: 0.21-1.09), and previous history of depression treatment (OR 0.26, 95% CI: 0.61-1.06). Area under the ROC curve for the model=0.79; p-value for the Hosmer-Lemershow=0.73. Conclusion: it was elaborated a simple, well standardized and accurate profile, which advises that nurses should pay attention to those mothers diagnosed with PPD, presenting low/no anhedonia (item 2 of EPDS), scarce/no panic/fear (item 5 of EPDS), and no history of depression, as it is likely that these women do not initiate treatment.</t>
  </si>
  <si>
    <t>Martínez, Pablo/LZF-5853-2025; Vohringer, Paul A/B-5860-2013</t>
  </si>
  <si>
    <t>Vohringer, Paul A/0000-0002-2460-4680; Martinez, Pablo/0000-0003-4482-7993</t>
  </si>
  <si>
    <t>1518-8345</t>
  </si>
  <si>
    <t>e2675</t>
  </si>
  <si>
    <t>10.1590/1518-8345.0982.2675</t>
  </si>
  <si>
    <t>WOS:000376478800013</t>
  </si>
  <si>
    <t>Iturriaga, L; dos Santos, EM; Ubilla, P</t>
  </si>
  <si>
    <t>Iturriaga, Leonelo; dos Santos, Ederson Moreira; Ubilla, Pedro</t>
  </si>
  <si>
    <t>Local minimizers in spaces of symmetric functions and applications</t>
  </si>
  <si>
    <t>JOURNAL OF MATHEMATICAL ANALYSIS AND APPLICATIONS</t>
  </si>
  <si>
    <t>We study H-1 versus C-1 local minimizers for functionals defined on spaces of symmetric functions, namely functions that are invariant by the action of some subgroups of O(N). These functionals, in many cases, are associated with some elliptic partial differential equations that may have supercritical growth. So we also prove some results on classical regularity for symmetric weak solutions for a general class of semilinear elliptic equations with possibly supercritical growth. We then apply these results to prove the existence of a large number of classical positive symmetric solutions to some concave-convex elliptic equations of Henon type. (C) 2015 Elsevier Inc. All rights reserved.</t>
  </si>
  <si>
    <t>Iturriaga, Leonelo/F-6339-2012; Moreira dos Santos, Ederson/F-2059-2011</t>
  </si>
  <si>
    <t>Moreira dos Santos, Ederson/0000-0003-3987-0444; Iturriaga, Leonelo/0000-0001-7621-7976</t>
  </si>
  <si>
    <t>0022-247X</t>
  </si>
  <si>
    <t>1096-0813</t>
  </si>
  <si>
    <t>10.1016/j.jmaa.2015.03.084</t>
  </si>
  <si>
    <t>WOS:000354230600003</t>
  </si>
  <si>
    <t>Moraga, NO; Lemus, LA; Saavedra, MA; Lemus-Mondaca, RA</t>
  </si>
  <si>
    <t>Moraga, Nelson O.; Lemus, Luis A.; Saavedra, Mario A.; Lemus-Mondaca, Roberto A.</t>
  </si>
  <si>
    <t>VOF/FVM prediction and experimental validation for shear-thinning fluid column collapse</t>
  </si>
  <si>
    <t>COMPUTERS &amp; MATHEMATICS WITH APPLICATIONS</t>
  </si>
  <si>
    <t>Dam break problems for non-Newtonian fluids can be found in sudden collapse of mine tailings, snow avalanches, debris and lava flows, and casting solidification. A numerical simulation and experimental validation of collapse of a shear-thinning fluid column with a high viscosity is presented. The 2D fluid mechanics, described in terms of the non-linear coupled continuity and momentum equations, was solved by the finite volume method (FVM) with the Pressure Implicit with Splitting of Operators (PISO) coupling algorithm and the volume of fluid method (VOF). The shear-thinning fluid column that collapses was described by the rheological model of Carreau-Yasuda. The numerical results obtained for the instantaneous position of the free surface were validated with 7% accuracy in comparison with experimental measurements, determining that when a small container is used the walls affect the transport of fluid, causing a creeping flow. (C) 2014 Elsevier Ltd. All rights reserved.</t>
  </si>
  <si>
    <t>Lemus, Luis/JAC-2406-2023; Lemus-Mondaca, Roberto/E-8348-2017</t>
  </si>
  <si>
    <t>Lemus-Mondaca, Roberto/0000-0002-1252-2573; Lemus, Luis/0000-0003-3847-7819</t>
  </si>
  <si>
    <t>0898-1221</t>
  </si>
  <si>
    <t>1873-7668</t>
  </si>
  <si>
    <t>10.1016/j.camwa.2014.11.018</t>
  </si>
  <si>
    <t>WOS:000349579400003</t>
  </si>
  <si>
    <t>Yanine, FF; Caballero, FI; Sauma, EE; Córdova, FM</t>
  </si>
  <si>
    <t>Fernando Yanine, Franco; Caballero, Federico I.; Sauma, Enzo E.; Cordova, Felisa M.</t>
  </si>
  <si>
    <t>Building sustainable energy systems: Homeostatic control of grid-connected microgrids, as a means to reconcile power supply and energy demand response management</t>
  </si>
  <si>
    <t>RENEWABLE &amp; SUSTAINABLE ENERGY REVIEWS</t>
  </si>
  <si>
    <t>The issue of worldwide over consumption and squandering of electrical energy has resulted in what one might call an energy obesity problem in terms of energy intake and its expenditure. It is indeed something that must change if modern society is to become sustainable someday. This is to be realized in conjunction with adequate government policies and innovative strategies aimed at effectively integrating non-conventional renewable energies (NCRE), with thriftiness and energy efficiency (EE) - the three pillars of energy sustainability (ES) - in today's electric power systems generation and distribution infrastructure. This ought to be done in a way that incorporates them jointly, as part of a comprehensive energy strategy to propitiate a wider penetration of distributed generation (DG) solutions. Departing from mainstream literature on the subject, this paper proposes such strategies for integrating hybrid micro-generation power systems to the grid through homeostatic control (HC), as a means to reconcile power supply and energy demand response management (EDRM). These strategies can be designed and implemented in the microgrid's supervisory control system for the purpose of eliciting EE and thriftiness in consumers to build ES in the system. The theoretical model behind the HC strategies is presented and a numerical example is provided, using real electricity consumption data of a small rural community in Chile. Upon examining a particular set of criteria designed to control renewable power (RP) supply from a grid-tie microgrid to residential consumers, simulation results show that the model proves effective when testing such criteria for different power supply scenarios. Particularly revealing is the role of the energy storage system (ESS) - the energy buffer - in the HC strategies being proposed and the difference that it makes in eliciting thrifty, efficient energy consumption as a result of individual and collective efforts to ensure energy sustainability of the system as a whole. (C) 2014 Elsevier Ltd. All rights reserved.</t>
  </si>
  <si>
    <t>CORDOVA, FELISA/S-1093-2019; Sauma, Enzo/N-7013-2013; Yanine, Franco Fernando/G-6909-2015</t>
  </si>
  <si>
    <t>Sauma, Enzo/0000-0002-8555-9123; Yanine, Franco Fernando/0000-0003-1086-0840; CORDOVA, FELISA/0000-0002-5557-8569</t>
  </si>
  <si>
    <t>1364-0321</t>
  </si>
  <si>
    <t>10.1016/j.rser.2014.08.017</t>
  </si>
  <si>
    <t>WOS:000345473600091</t>
  </si>
  <si>
    <t>Seco, GV; García, MA; García, MPF; Rojas, PEL</t>
  </si>
  <si>
    <t>Vallejo Seco, Guillermo; Ato Garcia, Manuel; Fernandez Garcia, Maria Paula; Livacic Rojas, Pablo Esteban</t>
  </si>
  <si>
    <t>Multilevel bootstrap analysis with assumptions violated</t>
  </si>
  <si>
    <t>PSICOTHEMA</t>
  </si>
  <si>
    <t>Background: Likelihood-based methods can work poorly when the residuals are not normally distributed and the variances across clusters are heterogeneous. Method: The performance of two estimation methods, the non-parametric residual bootstrap (RB) and the restricted maximum likelihood (REML) for fitting multilevel models are compared through simulation studies in terms of bias, coverage, and precision. Results: We find that (a) both methods produce unbiased estimates of the fixed parameters, but biased estimates of the random parameters, although the REML was more prone to give biased estimates for the variance components; (b) the RB method yields substantial reductions in the difference between nominal and actual confidence interval coverage, compared with the REML method; and (c) for the square root of the mean squared error (RMSE) of the fixed effects, the RB method performed slightly better than the REML method. For the variance components, however, the RB method did not offer a systematic improvement over the REML method in terms of RMSE. Conclusions: It can be stated that the RB method is, in general, superior to the REML method with violated assumptions.</t>
  </si>
  <si>
    <t>Vallejo, Guillermo/B-8233-2011; Fernandez, Paula/I-1881-2015</t>
  </si>
  <si>
    <t>Guillermo, Vallejo/0000-0001-6569-9279; Fernandez, Paula/0000-0003-0140-7702; Vallejo, Guillermo/0000-0002-8010-6854</t>
  </si>
  <si>
    <t>0214-9915</t>
  </si>
  <si>
    <t>1886-144X</t>
  </si>
  <si>
    <t>10.7334/psicothema2013.58</t>
  </si>
  <si>
    <t>WOS:000325783200016</t>
  </si>
  <si>
    <t>Coronel, D; Navas, A; Ponce, M</t>
  </si>
  <si>
    <t>Coronel, Daniel; Navas, Andres; Ponce, Mario</t>
  </si>
  <si>
    <t>ON BOUNDED COCYCLES OF ISOMETRIES OVER MINIMAL DYNAMICS</t>
  </si>
  <si>
    <t>JOURNAL OF MODERN DYNAMICS</t>
  </si>
  <si>
    <t>We show the following geometric generalization of a classical theorem of W. H. Gottschalk and G. A. Hedlund: a skew action induced by a cocycle of (affine) isometries of a Hilbert space over a minimal dynamical system has a continuous invariant section if and only if the cocycle is bounded. Equivalently, the associated twisted cohomological equation has a continuous solution if and only if the cocycle is bounded. We interpret this as a version of the Bruhat-Tits Center Lemma in the space of continuous functions. Our result also holds when the fiber is a proper CAT(0) space. One of the applications concerns matrix cocycles. Using the action of GL(n, R) on the (nonpositively curved) space of positively definite matrices, we show that every bounded linear cocycle over a minimal dynamical system is cohomologous to a cocycle taking values in the orthogonal group.</t>
  </si>
  <si>
    <t>Coronel, Daniel/AAF-8539-2020</t>
  </si>
  <si>
    <t>PONCE ACEVEDO, MARIO/0000-0002-6617-3145; Coronel, Daniel/0000-0002-2159-0228; Navas Flores, Andres Ignacio/0000-0002-0853-5136</t>
  </si>
  <si>
    <t>1930-5311</t>
  </si>
  <si>
    <t>1930-532X</t>
  </si>
  <si>
    <t>10.3934/jmd.2013.7.45</t>
  </si>
  <si>
    <t>WOS:000319670500003</t>
  </si>
  <si>
    <t>Moya, SA; Vidal, M; Brown, K; Negrete-Vergara, C; Abarca, G; Aguirre, P</t>
  </si>
  <si>
    <t>Moya, S. A.; Vidal, M.; Brown, K.; Negrete-Vergara, C.; Abarca, G.; Aguirre, P.</t>
  </si>
  <si>
    <t>Ruthenium carbonyl compounds containing polypyridine ligands as catalysts in the reaction of N-benzylideneaniline hydrogenation</t>
  </si>
  <si>
    <t>INORGANIC CHEMISTRY COMMUNICATIONS</t>
  </si>
  <si>
    <t>The synthesis and characterization of ruthenium complexes containing polypyridine ligands: Ru(dppz)(PPh3)(2)Cl-2. Ru(bpy)(PPh3)(2)Cl-2, Ru(phen)(PPh3)(2)Cl-2. Ru(dppz-Cl)(PPh3)(2)Cl-2, Ru(phen)(CO)(2)Cl-2, Ru(bpy)(CO)(2)Cl-2 and Ru(dppz)(CO)(2)Cl-2 (where dppz: dipyrido[3,2-a:2',3'-c]phenazine, dppz-Cl: 10-chlororodypirido[3,2-a:2',3'-c] phenazine, phen: 1,10-phenanthroline and bipy: 2,2'-bipyridine) are reported. The ruthenium complexes show high activity as catalysts in the hydrogenation reaction of N-benzylideneaniline and the hydrogen transfer reaction. The products of the catalysis were obtained with conversions between 21 and 91% after 2 h of reaction. The Ru(phen)(CO)(2)Cl-2 complex was the catalyst that showed the highest conversion (91%) for the hydrogenation of N-benzylideneaniline. The complexes Ru(dppz)(PPh3)(2)Cl-2, Ru(bpy)(PPh3)(2)Cl-2 and Ru(dppz)(CO)(2)Cl-2 showed 99% conversion in the hydrogen transfer reaction. (C) 2012 Elsevier B.V. All rights reserved.</t>
  </si>
  <si>
    <t>brown, kareen/A-2558-2013; Negrete, Camila/GQZ-2620-2022; Abarca, Gabriel/O-3451-2019; Abarca Anjari, Gabriel/L-4006-2016</t>
  </si>
  <si>
    <t>Abarca Anjari, Gabriel/0000-0001-8477-2275</t>
  </si>
  <si>
    <t>1387-7003</t>
  </si>
  <si>
    <t>10.1016/j.inoche.2012.05.047</t>
  </si>
  <si>
    <t>WOS:000307133800035</t>
  </si>
  <si>
    <t>Molina-Quiroz, RC; Muñoz-Villagrán, CM; de la Torre, E; Tantaleán, JC; Vásquez, CC; Pérez-Donoso, JM</t>
  </si>
  <si>
    <t>Molina-Quiroz, Roberto C.; Munoz-Villagran, Claudia M.; de la Torre, Erick; Tantalean, Juan C.; Vasquez, Claudio C.; Perez-Donoso, Jose M.</t>
  </si>
  <si>
    <t>Enhancing the Antibiotic Antibacterial Effect by Sub Lethal Tellurite Concentrations: Tellurite and Cefotaxime Act Synergistically in Escherichia coli</t>
  </si>
  <si>
    <t>PLOS ONE</t>
  </si>
  <si>
    <t>The emergence of antibiotic-resistant pathogenic bacteria during the last decades has become a public health concern worldwide. Aiming to explore new alternatives to treat antibiotic-resistant bacteria and given that the tellurium oxyanion tellurite is highly toxic for most microorganisms, we evaluated the ability of sub lethal tellurite concentrations to strengthen the effect of several antibiotics. Tellurite, at nM or mu M concentrations, increased importantly the toxicity of defined antibacterials. This was observed with both Gram negative and Gram positive bacteria, irrespective of the antibiotic or tellurite tolerance of the particular microorganism. The tellurite-mediated antibiotic-potentiating effect occurs in laboratory and clinical, uropathogenic Escherichia coli, especially with antibiotics disturbing the cell wall (ampicillin, cefotaxime) or protein synthesis (tetracycline, chloramphenicol, gentamicin). In particular, the effect of tellurite on the activity of the clinically-relevant, third-generation cephalosporin (cefotaxime), was evaluated. Cell viability assays showed that tellurite and cefotaxime act synergistically against E. coli. In conclusion, using tellurite like an adjuvant could be of great help to cope with several multi-resistant pathogens.</t>
  </si>
  <si>
    <t>De La Torre Tarazona, Erick/HOH-4341-2023; Molina-Quiroz, Roberto/H-4696-2019; Perez-Donoso, Jose/G-3668-2013</t>
  </si>
  <si>
    <t>TANTALEAN, JUAN/0000-0002-9541-7102; De La Torre Tarazona, Humberto Erick/0000-0003-0325-3735; Perez-Donoso, Jose/0000-0002-9506-1716</t>
  </si>
  <si>
    <t>1932-6203</t>
  </si>
  <si>
    <t>APR 20</t>
  </si>
  <si>
    <t>e35452</t>
  </si>
  <si>
    <t>10.1371/journal.pone.0035452</t>
  </si>
  <si>
    <t>WOS:000305339200066</t>
  </si>
  <si>
    <t>Cruz, N; Lepe, S; Peña, F</t>
  </si>
  <si>
    <t>Cruz, Norman; Lepe, Samuel; Pena, Francisco</t>
  </si>
  <si>
    <t>Dark energy interacting with dark matter and a third fluid: Possible EoS for this component</t>
  </si>
  <si>
    <t>PHYSICS LETTERS B</t>
  </si>
  <si>
    <t>A cosmological model of dark energy interacting with dark matter and another general component of the universe is considered. The equations for the coincidence parameters r and s, which represent the ratios between dark energy and dark matter and the other cosmic fluid respectively, are analyzed in terms of the stability of stationary solutions. The obtained general results allow to shed some light on the equations of state of the three interacting fluids, due to the constraints imposed by the stability of the solutions. We found that for an interaction proportional to the sum of the dark energy density and the third fluid density, the hypothetical fluid must have positive pressure, which leads naturally to a cosmological scenario with radiation, unparticle or even some form of warm dark matter as the third interacting fluid. (C) 2011 Elsevier By. All rights reserved.</t>
  </si>
  <si>
    <t>0370-2693</t>
  </si>
  <si>
    <t>1873-2445</t>
  </si>
  <si>
    <t>MAY 9</t>
  </si>
  <si>
    <t>10.1016/j.physletb.2011.03.049</t>
  </si>
  <si>
    <t>WOS:000290778200001</t>
  </si>
  <si>
    <t>Figueiro, SD; Mallmann, EJJ; Goés, JC; Ricardo, NMPS; Denardin, JC; Sombra, ASB; Fechine, PBA</t>
  </si>
  <si>
    <t>Figueiro, S. D.; Mallmann, E. J. J.; Goes, J. C.; Ricardo, N. M. P. S.; Denardin, J. C.; Sombra, A. S. B.; Fechine, P. B. A.</t>
  </si>
  <si>
    <t>New ferrimagnetic biocomposite film based in collagen and yttrium iron garnet</t>
  </si>
  <si>
    <t>EXPRESS POLYMER LETTERS</t>
  </si>
  <si>
    <t>In recent years a great interest in the study of the association of magnetic with biological material for bioapplications has been observed in the literature. This work analyses the development of new magnetic biocomposite films from a magnetic ferrite and a biopolymer. Magnetic and dielectric properties of Y3Fe5O12 (YIG)/collagen composite films were studied as a function of the YIG concentration. This biocomposite was also characterized by Infrared Spectroscopy (IR), Thermal Analysis (DSC and TG) and scanning electron microspcopic (SEM) methods. The magnetization and dielectric measurements were performed at room temperature. The results demonstrated that ferrimagnetic garnet (YIG) and collagen (Col) can be used to obtain a homogeneous composite. All the composite films showed a ferromagnetic behavior and they were characterized as a soft magnet material. These results show that Col-YIG biocomposites are biological films with magnetic properties that can be employed as a versatile performance materials, due to their flexible dielectric and magnetic features. They could be used as electronic devices in biological applications.</t>
  </si>
  <si>
    <t>Sombra, Antonio/B-2963-2013; Mallmann, Eduardo/AGY-4775-2022; Ricardo, Nágila/C-3630-2015; Denardin, Juliano/S-6407-2019; Fechine, Pierre/B-7937-2013</t>
  </si>
  <si>
    <t>Ricardo, Nagila/0000-0003-1849-5403; Denardin, Juliano/0000-0002-1373-6207; Fechine, Pierre/0000-0002-7822-2354; Goes, Julio Cesar/0000-0002-6324-7647</t>
  </si>
  <si>
    <t>1788-618X</t>
  </si>
  <si>
    <t>10.3144/expresspolymlett.2010.95</t>
  </si>
  <si>
    <t>WOS:000284150400007</t>
  </si>
  <si>
    <t>Quevedo, RA; Aguilera, JM; Pedreschi, F</t>
  </si>
  <si>
    <t>Quevedo, R. A.; Aguilera, J. M.; Pedreschi, F.</t>
  </si>
  <si>
    <t>Color of Salmon Fillets By Computer Vision and Sensory Panel</t>
  </si>
  <si>
    <t>A computer vision method was developed and used to assign color score in salmon fillet according to SalmonFan (TM) card. The methodology was based on the transformation of RGB to L*a*b* color space. In the algorithm, RGB values assigned directly to each pixel by the camera in the salmon fillet image, were transformed to L*a*b* values, and then matched with other L*a*b* values that represent a SalmonFan score (between 20 and 34). Colors were measured by a computer vision system (CVS) and a sensorial panel (eight panelists) under the same illumination conditions in ten independent sets of experiments. Errors from transformation of RGB to L*a*b* values by the CVS were 2.7%, 1%, and 1.7%, respectively, with a general error range of 1.83%. The coefficient of correlation between the SalmonFan score assigned by computer vision and the sensory panel was 0.95. Statistical analysis using t test was performed and showed that there were no differences in the measurements of the SalmonFan score between both methods (t (c) = 1.65 a parts per thousand currency sign t = 1.96 at alpha = 0.05%). The methodology presented in this paper is very versatile and can potentially be used by computer-based vision systems in order to qualify salmon fillets based on color according to the SalmonFan card.</t>
  </si>
  <si>
    <t>pedreschi, franco/F-8844-2013; Quevedo, Roberto/AGA-5606-2022; Aguilera, Jose/D-1383-2014</t>
  </si>
  <si>
    <t>Quevedo, Roberto/0000-0001-8132-838X; Aguilera, Jose Miguel/0000-0001-5754-2722</t>
  </si>
  <si>
    <t>10.1007/s11947-008-0106-6</t>
  </si>
  <si>
    <t>WOS:000280596600001</t>
  </si>
  <si>
    <t>Tonkin, DR; Jorquera, P; Todd, T; Beard, CW; Johnston, RE; Barro, M</t>
  </si>
  <si>
    <t>Tonkin, Daniel R.; Jorquera, Patricia; Todd, Tracie; Beard, Clayton W.; Johnston, Robert E.; Barro, Mario</t>
  </si>
  <si>
    <t>Alphavirus replicon-based enhancement of mucosal and systemic immunity is linked to the innate response generated by primary immunization</t>
  </si>
  <si>
    <t>VACCINE</t>
  </si>
  <si>
    <t>Venezuelan equine encephalitis virus replicon particles (VRP) function as an effective systemic, cellular and mucosal adjuvant when codelivered with antigen, and show promise for use as a component in new and existing human vaccine formulations. We show here that VRP are effective at low dose and by intramuscular delivery, two useful features for implementation of VRP as a vaccine adjuvant. In mice receiving a prime and boost with antigen, we found that VRP are required in prime only to produce a full adjuvant effect. This outcome indicates that the events triggered during prime with VRP are sufficient to establish the nature and magnitude of the immune response to a second exposure to antigen. Events induced by VRP in the draining lymph node after prime include robust secretion of many inflammatory cytokines, upregulation of CD69 on leukocytes, and increased cellularity, with a disproportionate increase of a cell population expressing CD11c, CD11b, and F4/80. We show that antigen delivered 24h after administration of VRP does not benefit from an adjuvant effect, indicating that the events which are critical to VRP-mediated adjuvant activity occur within the first 24 h. Further studies of the events induced by VRP will help elucidate the mechanism of VRP adjuvant activity and will advance the safe implementation of this adjuvant in human vaccines. (C) 2010 Elsevier Ltd. All rights reserved.</t>
  </si>
  <si>
    <t>BARRO HERNÁNDEZ, MARIO/GWU-9543-2022</t>
  </si>
  <si>
    <t>Jorquera, Patricia/0000-0002-8111-5138</t>
  </si>
  <si>
    <t>0264-410X</t>
  </si>
  <si>
    <t>1873-2518</t>
  </si>
  <si>
    <t>APR 19</t>
  </si>
  <si>
    <t>10.1016/j.vaccine.2010.02.010</t>
  </si>
  <si>
    <t>WOS:000277064500022</t>
  </si>
  <si>
    <t>O'Ryan, ML; Lucero, Y; Prado, V; Santolaya, ME; Rabello, M; Solis, Y; Berríos, D; O'Ryan-Soriano, MA; Cortes, H; Mamani, N</t>
  </si>
  <si>
    <t>O'Ryan, Miguel L.; Lucero, Yalda; Prado, Valeria; Santolaya, Maria Elena; Rabello, Marcela; Solis, Yanahara; Berrios, Daniela; O'Ryan-Soriano, Miguel A.; Cortes, Hector; Mamani, Nora</t>
  </si>
  <si>
    <t>Symptomatic and Asymptomatic Rotavirus and Norovirus Infections During Infancy in a Chilean Birth Cohort</t>
  </si>
  <si>
    <t>PEDIATRIC INFECTIOUS DISEASE JOURNAL</t>
  </si>
  <si>
    <t>Background: Rotavirus and more recently norovirus have been recognized as 2 of the most common causes of acute diarrhea in children. Comparative analysis of these infections in a birth cohort has not been performed and can provide relevant insight on clinical and viral behaviors. Methods: Mother-infant pairs from middle-low socioeconomic background living in the Metropolitan Region of Chile are being followed for 18 months in 2 outpatient clinics. Infants are evaluated monthly for asymptomatic excretion of rotavirus and norovirus and during acute diarrhea episodes (ADE) for rotavirus, norovirus, and bacterial enteropathogens. Severity of ADE is evaluated using the Vesikari score. Results: Between July 1, 2006 and September 1, 2008 a total of 198 children were followed for a mean of 15.7 months. Asymptomatic rotavirus and norovirus infections were detected in 1.3% and 8% of 2278 stool samples compromising 14% and 57% of infants, respectively. Incidence of ADE was approximately 0.8 for the first year of life and approximately 0.6 for the 13 to 18 month age group. Rotavirus and norovirus were detected in 15% and 18% of 145 ADE evaluated. Mean Vesikari score was 10.4 and 7.4 for rotavirus and norovirus respectively (P = 0.01) and severity was not associated with age of patients for either virus. Reinfections were more common for norovirus asymptomatic episodes: 44% versus 19% (P = 0.01) and borderline for symptomatic episodes: 40% versus 11% (P = 0.08). Rotavirus genotype G9P8 and norovirus genogroup II (GII) predominated although most asymptomatic episodes for both viruses were nontypable. None of 19 symptomatic GII norovirus infections had a previous documented GII infection compared with 10 of 31 asymptomatic GII infections (OR = 0.95% CL = 0,0.59; P = 0.008). Conclusions: Children had suffered a mean of approximately 1.4 ADE by 18 months of age of which 15% and 18% were caused by rotavirus and norovirus, respectively. In general rotavirus infections were more severe than norovirus infections and for both viruses severity was not related to age. Norovirus reinfections were significantly more common than rotavirus reinfections but for GII norovirus a primary infection seems to confer protection against clinically significant reinfections.</t>
  </si>
  <si>
    <t>Prado, Valeria/MCJ-4801-2025; Lucero, Yalda/ISU-4728-2023; O'Ryan, Miguel/H-3478-2013</t>
  </si>
  <si>
    <t>Lucero, Yalda/0000-0002-8654-7239</t>
  </si>
  <si>
    <t>0891-3668</t>
  </si>
  <si>
    <t>1532-0987</t>
  </si>
  <si>
    <t>10.1097/INF.0b013e3181a4bb60</t>
  </si>
  <si>
    <t>WOS:000270407800005</t>
  </si>
  <si>
    <t>Pump-probe detuning dependence of four-wave mixing pulse in an SOA</t>
  </si>
  <si>
    <t>IEEE PHOTONICS TECHNOLOGY LETTERS</t>
  </si>
  <si>
    <t>Four-wave mixing (FWM) between 2-ps pulses in a multiquantum-well semiconductor optical amplifier (SOA) is presented. The conjugate pulses are fully characterized using the frequency-resolved optical gating technique. The detuning between the pump and probe is varied, leading to a compression of the FWM signal from 3.71 to 2.77 ps as the detuning is increased from 5 to 25 nm. The output conjugate pulse is always broader than the injected probe signal due to gain saturation effects. A reshaping of the conjugate pulse is also measured. However, large nonlinearities are introduced to the frequency chirp across the pulse for large detunings which may degrade the performance of four-wave-mixing-based all-optical processing applications in SOAs.</t>
  </si>
  <si>
    <t>Kennedy, Brendan/0000-0003-4782-0498; Barry, Liam/0000-0001-8366-4790</t>
  </si>
  <si>
    <t>1041-1135</t>
  </si>
  <si>
    <t>21-24</t>
  </si>
  <si>
    <t>10.1109/LPT.2007.909637</t>
  </si>
  <si>
    <t>WOS:000251701000110</t>
  </si>
  <si>
    <t>von Bernhardi, R; Ramirez, G; Toro, R; Eugenin, J</t>
  </si>
  <si>
    <t>von Bernhardi, Rommy; Ramirez, Gigliola; Toro, Rodrigo; Eugenin, Jaime</t>
  </si>
  <si>
    <t>Pro-inflammatory conditions promote neuronal damage mediated by Amyloid Precursor Protein and decrease its phagocytosis and degradation by microglial cells in culture</t>
  </si>
  <si>
    <t>NEUROBIOLOGY OF DISEASE</t>
  </si>
  <si>
    <t>Aberrant handling of Amyloid Precursor Protein (APP) and beta-amyloid (A beta), glial activation and inflammation are key events in Alzheimer's disease. We set out to determine the role of inflammation on microglial reactivity against APP. We studied microglia-mediated neurotoxicity, uptake and degradation of a biotinylated APP construct (biotin-APP-C-244). APP, in contrast to A beta, only induced mild activation of glial cells. However, under pro-inflammatory conditions, APP induced microglial-mediated cytotoxicity. Biotin-APP-C-244 or lipopolysaccharide and interferon-gamma (LPS+IFN gamma), administered separately, did not change reduction metabolism of microglia. However, biotin-APP-C-244+(LPS+IFN gamma) increased microglial reactivity and decreased reduction metabolism by 75% (P &lt; 0.001). Biotin-APP-C-244 was readily taken up by microglial cells; 80% was phagocytosed at 2 h. In the presence of LPS+ IFN gamma, phagocytosis of biotin-APP-C-244 was reduced at 2 h; and cell damage was evident after 4 h. Our results support our hypothesis that, in neuroinflammation, microglial scavenger function is impaired and reactivity against APP enhanced as an initial step for neurodegeneration. (c) 2006 Elsevier Inc. All rights reserved.</t>
  </si>
  <si>
    <t>von Bernhardi, Rommy/F-7232-2013</t>
  </si>
  <si>
    <t>0969-9961</t>
  </si>
  <si>
    <t>1095-953X</t>
  </si>
  <si>
    <t>10.1016/j.nbd.2006.12.006</t>
  </si>
  <si>
    <t>WOS:000245374000016</t>
  </si>
  <si>
    <t>Bravo, P; Isaacs, F; Ramírez, G; Armijo, F; Isaacs, M; Aguirre, MJ; Zamora, C; Trollund, E</t>
  </si>
  <si>
    <t>Para-Ni-tetraaminophenylporphyrin/Co-cobaltite/SnO2:F modified electrodes:: electrocatalytic behavior toward the oxidation of hidrazine</t>
  </si>
  <si>
    <t>JOURNAL OF THE CHILEAN CHEMICAL SOCIETY</t>
  </si>
  <si>
    <t>The aim of this work was the study of three different modified electrodes where the substrate and the porphyrin used to modify the electrodic surface was the same. The surface electrode was a glass covered by a layer of SnO2 doped with fluor. On this layer was formed a cubic spinel of Co-cobaltite. On this modified electrode was deposited or polymerized para-tetraaminophenylporphyrin of Ni (II). In each case, the treatment of the deposition of the porphyrin was different and the electrocatalytic behavior of the modified electrodes toward the oxidation of hydrazine drastically changes. In the case of a simple physically adsorbed layer of porphyrin, practically no electrocatalytic activity was found. In the case of a porphyrin deposited by reflux and cycled in basic solution, there is an important electrocatalytic activity giving N-2 as product. This electrode was proved as an amperometric sensor of hydrazine and a very good linear relationship between current and concentration was determinate. Also, the polymeric electrode showed an important catalytic behavior toward the oxidation of hydrazine.</t>
  </si>
  <si>
    <t>Armijo, Francisco/G-3391-2013; Aguirre, Maria/A-3935-2013; Isaacs, Mauricio/N-3027-2013</t>
  </si>
  <si>
    <t>Aguirre, Maria/0000-0003-1134-4469; Isaacs Casanova, Mauricio/0000-0003-0503-0949; Armijo, Francisco/0000-0002-2479-6280; Ramirez, Galo/0000-0002-6217-4730</t>
  </si>
  <si>
    <t>0717-9324</t>
  </si>
  <si>
    <t>WOS:000234356200006</t>
  </si>
  <si>
    <t>Paredes-García, V; Cárdenas-Jirón, GI; Venegas-Yazigi, D; Zagal, JH; Páez, M; Costamagna, J</t>
  </si>
  <si>
    <t>Through-space and through-bond mixed charge transfer mechanisms on the hydrazine oxidation by cobalt(II) phthalocyanine in the gas phase</t>
  </si>
  <si>
    <t>JOURNAL OF PHYSICAL CHEMISTRY A</t>
  </si>
  <si>
    <t>Two quantum chemistry theoretical models in the gas phase at the density functional theory B3LYP/LACVP(d) level of calculation are proposed to rationalize the hydrazine oxidation by cobalt(II) phthalocyanine (Co(II)Pc). This oxidation reaction involves the net transfer of four electrons. These theoretical models that are described in terms of energy profiles include a through-space mechanism for the transfer of the first electron of the hydrazine and a through-bond mechanism proposed for the transfer of the three electrons remaining. The main difference between both models arises from a one-electron and one-proton alternate transfer for model 1 and a two-electron and two-proton alternate transfer for model 2. The main problem for experimental studies is to determine if the first transfer corresponds to an electron or a chemical transfer. Under this point of view, we proposed two models which deal with this problem. We conclude that model 1 is more reasonable than model 2 because the whole oxidation process is always exergonic.</t>
  </si>
  <si>
    <t>Paez, Maritza/M-2010-2014; Paredes-Garcia, Veronica/C-4415-2011; zagal, jose/L-9648-2014; Venegas-Yazigi, Diego/C-5022-2009; Cardenas-Jiron, Gloria/H-9508-2012</t>
  </si>
  <si>
    <t>Venegas-Yazigi, Diego/0000-0001-7816-2841; paez, maritza/0000-0001-5881-884X; Cardenas-Jiron, Gloria/0000-0003-4305-8088</t>
  </si>
  <si>
    <t>1089-5639</t>
  </si>
  <si>
    <t>FEB 17</t>
  </si>
  <si>
    <t>10.1021/jp045223g</t>
  </si>
  <si>
    <t>WOS:000226955800032</t>
  </si>
  <si>
    <t>Caro, CA; Bedioui, F; Páez, MA; Cárdenas-Jiron, GI; Zagal, JH</t>
  </si>
  <si>
    <t>Experimental and theoretical study of the activity of substituted metallophthalocyanines for nitrite electro-oxidation</t>
  </si>
  <si>
    <t>JOURNAL OF THE ELECTROCHEMICAL SOCIETY</t>
  </si>
  <si>
    <t>The electrocatalytic activity of various metallophthalocyanines (M-Pc) adsorbed on an ordinary pyrolytic graphite electrode for the oxidation of nitrite has been investigated in aqueous phosphate buffer solution (pH 7.3). A comparison of Pcs of different metals, shows that the activity is influenced by the nature of the central metal but not very significantly. However, the effect of substituents on the periphery of the Pc ligand is more pronounced. Electron-donor substituents of the Pc ligand enhance this activity. At a density functional theoretical level, we found that the calculated condensed Fukui function, associated to a nucleophilic attack, gives a reasonable explanation for the location of the reaction site in the case of the set of M-Pcs. Indeed, for Cr-Pc, Mn-Pc, Fe-Pc, and Co-Pc, the Fukui function predicts that the preferred reactive sites are located on the central metal whereas for Ni-Pc, Cu-Pc, and Zn-Pc it predicts that the reactive sites are located on the ligand, in agreement with the experimental trends observed. (C) 2003 The Electrochemical Society.</t>
  </si>
  <si>
    <t>zagal, jose/L-9648-2014; Paez, Maritza/M-2010-2014; Bedioui, Fethi/N-3507-2014; Cardenas-Jiron, Gloria/H-9508-2012</t>
  </si>
  <si>
    <t>Bedioui, Fethi/0000-0002-0063-4412; Cardenas-Jiron, Gloria/0000-0003-4305-8088; paez, maritza/0000-0001-5881-884X</t>
  </si>
  <si>
    <t>0013-4651</t>
  </si>
  <si>
    <t>E32</t>
  </si>
  <si>
    <t>E39</t>
  </si>
  <si>
    <t>10.1149/1.1631822</t>
  </si>
  <si>
    <t>WOS:000187428800052</t>
  </si>
  <si>
    <t>Griveau, S; Gulppi, M; Pavez, J; Zagal, JH; Bedioui, F</t>
  </si>
  <si>
    <t>Cobalt phthalocyanine-based molecular materials for the electrocatalysis and electroanalysis of 2-mercaptoethanol, 2-mercaptoethanesulfonic acid, reduced glutathione and L-cysteine</t>
  </si>
  <si>
    <t>ELECTROANALYSIS</t>
  </si>
  <si>
    <t>We have investigated the electrocatalytic activity of cobalt tetra-aminophthalocyanine (CoTAPc) for the one-electron oxidation of thiols of various sizes, namely 2-mercaptoethanol, 2-mercaptoethanesulfonic acid, reduced glutathione and L-cysteine, using adsorbed monomeric CoTAPc and electropolymerized poly-CoTAPc films of different thickness on a vitreous carbon electrode. Our results show. that the electrocatalytic activity of poly-CoTAPc films towards the oxidation of the thiols increases slightly with the thickness of the film, but remains similar to that of the adsorbed monomeric CoTAPc. The higher stability of the electropolymerized poly-CoTAPc films makes them attractive for applications in the activation and/or the detection of thiols. We have assessed this approach by designing ultra-microcarbon-fiber electrodes, coated with poly-CoTAPc, and combining their use with different electrochemical techniques (cyclic voltammetry, differential pulse voltammetry and differential normal pulse amperometry) for the electroanalysis of the examined thiols.</t>
  </si>
  <si>
    <t>zagal, jose/L-9648-2014; Gulppi, Miguel/KTA-6210-2024; Bedioui, Fethi/N-3507-2014; PAVEZ, JORGE/K-6904-2014</t>
  </si>
  <si>
    <t>Bedioui, Fethi/0000-0002-0063-4412; Gulppi, Miguel/0000-0001-6099-4463; PAVEZ, JORGE/0000-0002-5100-6707</t>
  </si>
  <si>
    <t>1040-0397</t>
  </si>
  <si>
    <t>1521-4109</t>
  </si>
  <si>
    <t>10.1002/elan.200390096</t>
  </si>
  <si>
    <t>WOS:000183964600003</t>
  </si>
  <si>
    <t>Crane, J; Mallol, J; Beasley, R; Stewart, A; Asher, MI</t>
  </si>
  <si>
    <t>International Study Asthma Allerg</t>
  </si>
  <si>
    <t>Agreement between written and video questions for comparing asthma symptoms in ISAAC</t>
  </si>
  <si>
    <t>EUROPEAN RESPIRATORY JOURNAL</t>
  </si>
  <si>
    <t>Phase One of the International Study of Asthma and Allergies in Childhood (ISAAC) has reported the prevalence of asthma, rhinitis and eczema symptoms in children. In 99 centres from 40 countries, a total of just under 317,000 13-14-yr-old children also completed a video questionnaire, showing the symptoms and signs of asthma. This first video sequence has been compared to the ISAAC written question asking about current wheezing to explore variations in agreement and the contribution of each questionnaire to wheezing prevalence between centres, by region and language groups. In general, responses to the video questionnaire gave a lower prevalence than the written questionnaire and responses were closely correlated. The overall proportion of agreement was high, mean 0.89, but unbalanced, with good negative agreement but poor positive agreement. Chance corrected agreement using Cohen's kappa coefficient, was generally low, with only 20 centres with kappa &gt;0.4. The contribution of each questionnaire to wheezing prevalence also varied between centres and suggests that written questions about wheezing are variably understood and interpreted by 13-14 yr olds. International comparisons of wheezing and its audiovisual presentation suggest that adolescents interpret a written question about wheezing differently from its audiovisual presentation and that this interpretation shows variation between centres. This relationship and the interpretation of both written and audiovisual presentation of symptoms requires further study in order to better predict asthma.</t>
  </si>
  <si>
    <t>Beasley, Richard/AAH-3908-2019; Asher, Innes/O-2604-2016; Ellwood, Philippa/G-7555-2015</t>
  </si>
  <si>
    <t>williams, hywel/0000-0002-5646-3093; Mallol, Javier/0000-0003-2528-8672; Pearce, Neil/0000-0002-9938-7852; Ellwood, Philippa/0000-0002-1994-4023; Beasley, Richard/0000-0003-0337-406X; Amarales, Lidia/0009-0007-0832-7867</t>
  </si>
  <si>
    <t>0903-1936</t>
  </si>
  <si>
    <t>10.1183/09031936.03.00041403</t>
  </si>
  <si>
    <t>WOS:000181578200014</t>
  </si>
  <si>
    <t>Sumalan, SL; Casanova, J; Alzuet, G; Borras, J; Castineiras, A; Supuran, CT</t>
  </si>
  <si>
    <t>Synthesis and characterization of metal(II)-8-quinolinsulfonamidato(sa(-)) complexes (M=Co, Ni, Cu, and Zn). Crystal structure of [Zn(sa)(2)(NH3)]center dot NH3 complex. Carbonic anhydrase inhibitory properties</t>
  </si>
  <si>
    <t>JOURNAL OF INORGANIC BIOCHEMISTRY</t>
  </si>
  <si>
    <t>A new sulfonamide, 8-quinolinsulfonamide(Hsa), has been prepared and examined as a chelating agent towards metal(II) ions. The spectroscopic properties of the M(II) sulfonamidato complexes has been studied. The inhibitory properties of the ligand and the synthesised complexes were tested. The crystal structure of the [Zn(sa)(2)(NH3)].NH3 complex was determined by single-crystal X-ray diffraction. Crystal data of the zinc(II) complex: a = 16.217(4) Angstrom, b = 8.041(1) Angstrom, c = 15.606(4) Angstrom, beta = 95.75(1)degrees, Z = 4, and V = 2024.6(7) Angstrom(3). The refinement of the structure based on 6047 reflections attained to R = 0.049 and Rw = 0.052. The zinc(II) ion is surrounded by four N atoms of two sulfonamidato ligands and one N atom of an ammonia molecule in an trigonal bipyramid arrangement.</t>
  </si>
  <si>
    <t>Supuran, Claudiu/A-5151-2008; Castineiras, Alfonso/M-9122-2013</t>
  </si>
  <si>
    <t>Supuran, Claudiu/0000-0003-4262-0323; Castineiras, Alfonso/0000-0002-5070-5936</t>
  </si>
  <si>
    <t>0162-0134</t>
  </si>
  <si>
    <t>10.1016/0162-0134(95)00086-0</t>
  </si>
  <si>
    <t>WOS:A1996UF54800003</t>
  </si>
  <si>
    <t>RESTOVIC, A; POILLERAT, G; CHARTIER, P; GAUTIER, JL</t>
  </si>
  <si>
    <t>REAL ELECTRODE SURFACE-AREA BY ZN2+ ADSORPTION AND ELECTROCATALYTICAL REACTIVITY FOR THE OXYGEN REDUCTION REACTION - COMPARISON OF THE ELECTROCATALYTICAL REACTIVITY OF PURE AND COMPOSITE SPINEL OXIDE CU1+XMN2-XO4(O-LESS-THAN-X-LESS-THAN-0.4) ELECTRODES</t>
  </si>
  <si>
    <t>Zn2+ adsorption was used to determine the electrochemically active surface area (EASA) of spray pyrolized (SP) film electrodes and of powders prepared by decomposition of metal salts (DMS) in composite graphite and teflon bonded electrodes of spinel oxide Cu1+xMn2-xO4 (0 &lt; x &lt; 0.4) (DMSGT). It is shown that both SP and DMS materials are nanosized with particle diameters in the range 50-80 Angstrom and EASAs per unit loading mass M (EASAM) 1300-2200 cm(2) mg(-1). The lesser intrinsic reactivity in the case of DMSGT electrodes is attributed to modification of the surface reactivity of pure oxide particles in contact with graphite and teflon.</t>
  </si>
  <si>
    <t>10.1016/0013-4686(95)00240-F</t>
  </si>
  <si>
    <t>WOS:A1995TA15500013</t>
  </si>
  <si>
    <t>NORAMBUENA, E; VIDELA, LA; LISSI, EA</t>
  </si>
  <si>
    <t>INTERACTION OF NITROBENZOATES WITH HEMOGLOBIN IN RED-BLOOD-CELLS AND A HEMOLYSATE</t>
  </si>
  <si>
    <t>HUMAN &amp; EXPERIMENTAL TOXICOLOGY</t>
  </si>
  <si>
    <t>Haemoglobin, either in the intact red blood cells or in their haemolysate, readily reacts with mono- and di-nitrobenzoates, For all the nitroaromatics considered, the rate of the process is faster in the haemolysate than in the whole red blood cell. At low (&lt; 8 mM) concentrations, almost quantitative production of methaemoglobin is observed and the process follows second order kinetics, At higher concentrations, the kinetics become complex and other haemoglobin derivatives are produced. The bimolecular rate constants obtained at low substrate concentrations show little relationship to the nitroaromatic reduction potential, The data indicate that mono-nitrobenzoate derivatives are very active in oxidizing haemoglobin in in vitro erythrocyte suspensions, the activities being similar to that of 3,5-dinitrobenzoate, The measured reactivity follows the order m-nitrobenzoate &gt; 3,5-dinitrobenzoate &gt; p-nitrobenzoate &gt; o-nitrobenzoate and the reactivity of all the compounds is considerably larger than that of nitrobenzene. The present results constitute the first kinetic data bearing on the reactivity of nitroaromatics with haemoglobin, both free and incorporated in the intact red cell. Furthermore, they indicate that the interaction of the nitroaromatics with haemoglobin, leading to total oxidation and transformation, in spite of the total disruption of the membrane, does not produce significant lipid-peroxidation, as measured by chemiluminescence emission, production of TBA reactive material and oxygen consumption.</t>
  </si>
  <si>
    <t>0144-5952</t>
  </si>
  <si>
    <t>10.1177/096032719401300510</t>
  </si>
  <si>
    <t>WOS:A1994NK17900010</t>
  </si>
  <si>
    <t>CORDERO, RL; LLAMBIAS, FJG; AGUDO, AL</t>
  </si>
  <si>
    <t>TEMPERATURE-PROGRAMMED REDUCTION AND ZETA POTENTIAL STUDIES OF THE STRUCTURE OF MOO3/AL2O3 AND MOO3/SIO2 CATALYSTS - EFFECT OF THE IMPREGNATION PH AND MOLYBDENUM LOADING</t>
  </si>
  <si>
    <t>APPLIED CATALYSIS</t>
  </si>
  <si>
    <t>The influence of the impregnation pH (at 2-11) and molybdenum content (6-18 wt.-% MoO3) on the surface structure of MoO3/Al2O3 and MoO3/SiO2 catalysts has been studied by temperature programmed reduction, X-ray diffraction and zeta potential measurements. The results indicate that molybdena was relatively well dispersed on Al2O3 support, the dispersion being worse for the catalysts prepared in acidic medium than for those in basic medium; formation of a crystalline phase was observed only at a pH of 2 and for MoO3 loadings &gt; 14 wt.-%. However, on SiO2 support only crystalline MoO3 species were found, irrespective of the preparation conditions. In this case the temperature-programmed reduction profiles suggest the presence of two MoO3 bulk phases which may probably differ in crystal size, and whose proportion depends on the pH of the impregnating solution.</t>
  </si>
  <si>
    <t>0166-9834</t>
  </si>
  <si>
    <t>JUN 27</t>
  </si>
  <si>
    <t>WOS:A1991FW27700011</t>
  </si>
  <si>
    <t>ZANOCCO, AL; SOTO, EA; LISSI, EA; SCAIANO, JC</t>
  </si>
  <si>
    <t>PHOTOCHEMISTRY OF ETHYL-ESTERS OF ALPHA-OXO-CARBOXYLIC ACIDS</t>
  </si>
  <si>
    <t>JOURNAL OF PHOTOCHEMISTRY AND PHOTOBIOLOGY A-CHEMISTRY</t>
  </si>
  <si>
    <t>ZANOCCO, ANTONIO/0000-0002-6521-5382; Scaiano, Juan/0000-0002-4838-7123</t>
  </si>
  <si>
    <t>1010-6030</t>
  </si>
  <si>
    <t>JUL 15</t>
  </si>
  <si>
    <t>10.1016/1010-6030(90)87115-R</t>
  </si>
  <si>
    <t>WOS:A1990DQ25500009</t>
  </si>
  <si>
    <t>López-de-Dicastillo, C; Esteve-Redondo, P; Rojas, A; Gómez-Estaca, J; Gavara, R; Hernández-Muñoz, P</t>
  </si>
  <si>
    <t>Lopez-de-Dicastillo, Carol; Esteve-Redondo, Patricia; Rojas, Adrian; Gomez-Estaca, Joaquin; Gavara, Rafael; Hernandez-Munoz, Pilar</t>
  </si>
  <si>
    <t>Modifying the technological properties and the release of cocoa compounds of active gliadin films by increasing the temperature of processing</t>
  </si>
  <si>
    <t>FOOD AND BIOPRODUCTS PROCESSING</t>
  </si>
  <si>
    <t>The search for bio-based polymers from renewable sources and compostable nature is undoubtedly a focus of interest and need in the area of plastics and mainly for food packaging. Gliadins, proteins found in wheat gluten, are an interesting and sustainable alternative because they are biodegradable, come from a renewable source and have interesting properties as gas barrier, although some technological properties need to be improved in order to broaden their applications. In this work, gliadin bioresin films were processed with water- and lipid-soluble cocoa extracts at 5 and 10 % respect polymer weight by thermo-compression at 90 and 130 degrees C in order to study both the effect of the type of extract, their concentrations and the processing temperature on the physical and functional properties of the active systems. Undoubtedly, the main condition that positively affected the properties of the resulting active films was the thermo-compression at 130 degrees C, since it allowed a better miscibility between the active compounds and the biopolymeric chains of the gliadins, and produced a certain crosslinking between disulphide/sulfhydryl groups and polyphenol-protein bonds that resulted in their water resistance. The reduction of weight loss in water achieved values up to 60 %, while in ethanol 95 %, the improvement in resistance was not significant. The mechanical properties of active gliadin films were also highly affected principally when processed at 130 degrees C; the elastic modulus decreased while the elongation at break values increased up to values between 113 % and 150 %. The water vapor permeability was greatly reduced from 4.22 to 2.4 x 1014 Kg m/m2 s Pa for active gliadin film containing 10 % lipid soluble cocoa extract. The release of cocoa compounds was totally dependent on the type of the extract and the food simulant. The general conclusion was that by modifying the active compounds and the processing temperature, gliadin films with different technological and antioxidant properties were achieved.</t>
  </si>
  <si>
    <t>Gómez-Estaca, Joaquín/H-5766-2012; Munoz, Pilar/G-6480-2015; Rojas, Adrián/AAR-9441-2021; Gavara, Rafael/H-4096-2012; Lopez-de-Dicastillo, Carol/C-6347-2019</t>
  </si>
  <si>
    <t>Rojas, Adrian/0000-0001-9253-1295; Gavara, Rafael/0000-0001-6376-8939; Lopez-de-Dicastillo, Carol/0000-0003-0067-9765</t>
  </si>
  <si>
    <t>0960-3085</t>
  </si>
  <si>
    <t>1744-3571</t>
  </si>
  <si>
    <t>10.1016/j.fbp.2025.03.003</t>
  </si>
  <si>
    <t>MAY 2025</t>
  </si>
  <si>
    <t>WOS:001444847800001</t>
  </si>
  <si>
    <t>Saavedra, E; Teixeira, AW; Milagres, LM; Carvalho-Santos, VL; Laroze, D</t>
  </si>
  <si>
    <t>Saavedra, E.; Teixeira, A. W.; Milagres, L. M.; Carvalho-Santos, V. L.; Laroze, D.</t>
  </si>
  <si>
    <t>Geometry-induced tuning of ferromagnetic resonance in asymmetric nanowires</t>
  </si>
  <si>
    <t>PHYSICA SCRIPTA</t>
  </si>
  <si>
    <t>The interplay between magnetic interactions at the nanoscale yields several geometry-induced effects on the magnetic properties of nanoparticles. In this work, using numerical simulations, we analyze the influence of shape on the equilibrium state and the dynamic response of magnetization to a magnetic field in asymmetric Ni nanowires. Depending on geometric and magnetic parameters, two equilibrium states emerge in such particles, the flower and twisted flower states. The nucleated magnetic configuration is determined by the asymmetry degree of the nanowire. These states are defined by the orientation of magnetic moments in the top and bottom regions of the nanowire, while the shape anisotropy ensures a monodomain in the bulk. Concerning the dynamical response, the number and frequencies of the peaks correlate with the minimum energy configuration. Our findings provide a basis for controlling frequency spectra in magnetic nanowires through precise adjustments of geometric parameters.</t>
  </si>
  <si>
    <t>0031-8949</t>
  </si>
  <si>
    <t>1402-4896</t>
  </si>
  <si>
    <t>10.1088/1402-4896/adcbee</t>
  </si>
  <si>
    <t>WOS:001477976900001</t>
  </si>
  <si>
    <t>Zarneshan, SN; Fakhri, S; Kiani, A; Abbaszadeh, F; Hosseini, SZ; Mohammadi-Noori, E; Echeverria, J</t>
  </si>
  <si>
    <t>Zarneshan, Seyede Nazanin; Fakhri, Sajad; Kiani, Amir; Abbaszadeh, Fatemeh; Hosseini, Seyede Zahra; Mohammadi-Noori, Ehsan; Echeverria, Javier</t>
  </si>
  <si>
    <t>Polydatin attenuates Alzheimer's disease induced by aluminum chloride in rats: evidence for its antioxidant and anti-inflammatory effects</t>
  </si>
  <si>
    <t>FRONTIERS IN PHARMACOLOGY</t>
  </si>
  <si>
    <t>Background Considering the complex pathophysiological mechanisms behind Alzheimer's disease (AD), a few drugs for managing related cognitive symptoms have been approved. The phytochemical resveratrol has shown promising anti-inflammatory and antioxidant effects in AD, but it has low bioavailability. Chemical modification of resveratrol to its glycosylated form, polydatin (PD), significantly increases its bioavailability and bioactivity.Purpose The study aimed to investigate the therapeutic potential and mechanisms of action of PD against AD in rats.Material and method AD was caused by an intraperitoneal (i.p.) administration of aluminum chloride (AlCl3). Six groups of six rats each were defined as sham, negative control (AlCl3), positive control (Donepezil), and treatments (PD 5, 10, and 20 mg/kg, i.p.). On days 7, 8, 14, and 15, the rats' behavioral changes were assessed by the open field, Y-maze test, passive avoidance test, and elevated plus maze tests. At the end of the study, the blood samples were collected to assess the levels of glutathione (GSH), catalase (CAT), and nitrite, as well as the activity of matrix metalloproteinases (MMPs). Furthermore, hippocampal brain tissue was removed and used for histological investigations.Results and discussion The findings revealed that PD injections at three different doses (5, 10, and 20 mg/kg) improved cognitive and other behavioral impairments. Furthermore, PD improved the antioxidant capacity by increasing GSH and CAT while decreasing serum nitrite levels. PD showed anti-inflammatory effects by reducing the activity of inflammatory MMP-9, while elevating the activity of anti-inflammatory MMP-2. PD also modulated pathogenic changes in the hippocampal brain tissue.Conclusion PD alleviated cognitive and other behavioral impairments in AD rats by enhancing antioxidant defenses and reducing neuroinflammation.</t>
  </si>
  <si>
    <t>1663-9812</t>
  </si>
  <si>
    <t>APR 17</t>
  </si>
  <si>
    <t>10.3389/fphar.2025.1574323</t>
  </si>
  <si>
    <t>WOS:001479196200001</t>
  </si>
  <si>
    <t>Marinao-Artigas, E; Barajas-Portas, K; Valenzuela-Fernandez, L</t>
  </si>
  <si>
    <t>Marinao-Artigas, Enrique; Barajas-Portas, Karla; Valenzuela-Fernandez, Leslier</t>
  </si>
  <si>
    <t>Antecedents of business tourist loyalty: the moderating role of familiarity and emotional and cognitive experiences (17 Feb, 10.1007/s11846-025-00852-7, 2025)</t>
  </si>
  <si>
    <t>REVIEW OF MANAGERIAL SCIENCE</t>
  </si>
  <si>
    <t>Valenzuela-Fernández, Leslier/B-5486-2014; Marinao-Artigas, Enrique/CAF-2031-2022; Barajas-Portas, Karla/ABB-6896-2021</t>
  </si>
  <si>
    <t>Marinao-Artigas, Enrique/0000-0002-1588-5011</t>
  </si>
  <si>
    <t>1863-6683</t>
  </si>
  <si>
    <t>1863-6691</t>
  </si>
  <si>
    <t>2025 MAR 5</t>
  </si>
  <si>
    <t>10.1007/s11846-025-00869-y</t>
  </si>
  <si>
    <t>MAR 2025</t>
  </si>
  <si>
    <t>WOS:001438326600001</t>
  </si>
  <si>
    <t>Dávila, G; Quaas, A; Topp, E</t>
  </si>
  <si>
    <t>Davila, Gonzalo; Quaas, Alexander; Topp, Erwin</t>
  </si>
  <si>
    <t>Large harmonic functions for fully nonlinear fractional operators</t>
  </si>
  <si>
    <t>COMMUNICATIONS IN PARTIAL DIFFERENTIAL EQUATIONS</t>
  </si>
  <si>
    <t>We study existence, uniqueness and boundary blow-up profile for fractional harmonic functions on a bounded smooth domain Omega subset of R-N . We deal with harmonic functions associated to uniformly elliptic, fully nonlinear nonlocal operators, including the linear case (-Delta)(s)u=0 in Omega, where (-Delta)(s) denotes the fractional Laplacian of order 2s is an element of(0,2) . We use the viscosity solution's theory and Perron's method to construct harmonic functions with zero exterior condition in Omega(c) and a boundary blow-up profile lim(x -&gt; x0,x is an element of Omega)dist(x,partial derivative Omega)(1-s)u(x)=h(x(0)), for all x(0)is an element of partial derivative Omega, for any given boundary data h is an element of C(partial derivative Omega) . Our method allows us to provide a blow-up rate for the gradient of the solution.</t>
  </si>
  <si>
    <t>Quaas, Alexander/JXN-7606-2024</t>
  </si>
  <si>
    <t>0360-5302</t>
  </si>
  <si>
    <t>1532-4133</t>
  </si>
  <si>
    <t>10-12</t>
  </si>
  <si>
    <t>10.1080/03605302.2024.2405923</t>
  </si>
  <si>
    <t>OCT 2024</t>
  </si>
  <si>
    <t>WOS:001347030300001</t>
  </si>
  <si>
    <t>Sánchez-Rivero, M; Duarte-Mermoud, MA; Travieso-Torres, JC; Orchard, ME; Ceballos-Benavides, G</t>
  </si>
  <si>
    <t>Sanchez-Rivero, Maibeth; Duarte-Mermoud, Manuel A.; Travieso-Torres, Juan Carlos; Orchard, Marcos E.; Ceballos-Benavides, Gustavo</t>
  </si>
  <si>
    <t>Analysis of Fractional Order-Adaptive Systems Represented by Error Model 1 Using a Fractional-Order Gradient Approach</t>
  </si>
  <si>
    <t>MATHEMATICS</t>
  </si>
  <si>
    <t>In adaptive control, error models use system output error and adaptive laws to update controller parameters for control or identification tasks. Fractional-order calculus, involving non-integer-order derivatives and integrals, is increasingly important for modeling, estimation, and control due to its ability to generalize classical methods and offer improved robustness to disturbances. This paper addresses the gap in the literature where fractional-order gradient methods have not yet been extensively applied in identification and adaptive control schemes. We introduce a fractional-order error model with fractional-order gradient (FOEM1-FG), which integrates fractional gradient operators based on the Caputo fractional derivative. By using theoretical analysis and simulations, we confirm that FOEM1-FG maintains stability and ensures bounded output errors across a variety of input signals. Notably, the fractional gradient's performance improves as the order, beta, increases with beta&gt;1, leading to faster convergence. Compared to existing integer-order methods, the proposed approach provides a more flexible and efficient solution in adaptive identification and control schemes. Our results show that FOEM1-FG offers superior stability and convergence characteristics, contributing new insights to the field of fractional calculus in adaptive systems.</t>
  </si>
  <si>
    <t>Ceballos, Gustavo/JAX-9864-2023; Travieso Torres, Juan Carlos/N-6437-2019; Duarte-Mermoud, Manuel A./I-2693-2013; Orchard, Marcos/H-4418-2013</t>
  </si>
  <si>
    <t>Duarte-Mermoud, Manuel A./0000-0003-2367-4553; Ceballos, Gustavo/0000-0002-5707-2967; Orchard, Marcos/0000-0003-4778-2719; Sanchez-Rivero, Maibeth/0000-0002-3171-3148</t>
  </si>
  <si>
    <t>2227-7390</t>
  </si>
  <si>
    <t>10.3390/math12203212</t>
  </si>
  <si>
    <t>WOS:001342664600001</t>
  </si>
  <si>
    <t>Yáñez-Urbina, C; Donoso, CC; Vargas, CR</t>
  </si>
  <si>
    <t>Yanez-Urbina, Cristopher; Donoso, Claudia Calquin; Vargas, Carlos Ramirez</t>
  </si>
  <si>
    <t>FROM LITTLE ALBERT TO THE STRANGE SITUATION Keys to rethinking ethics in psychological experimentation and research</t>
  </si>
  <si>
    <t>PROMETEICA-REVISTA DE FILOSOFIA Y CIENCIAS</t>
  </si>
  <si>
    <t>The article problematizes the approach to ethics in psychology research with children in the 20th century and its articulation with ethical codes and principles. Three points of inflection with the literature on the subject are elaborated, namely: (1) a questioning in the production of universals that always put the exclusion of a singular susceptible to be subjected to torture, (2) displacement of the idea that there is a good and a bad reading of prescriptive documents to install an emphasis on the multiplicity of readings and uses that arise from legal, normative, deontological and heuristic frameworks; and (3) an observation of the figure of the researcher enhancing his character marked in a position within socio-historical-material dynamics. Two cases of experimentation with infants in psychology are addressed, corresponding to the case of Little Albert by John B. Watson and Raslie Rayner in 1920, and the experimental protocol of the Strange Situation carried out in the 1970s by Mary Ainsworth and which was the basis of the Attachment Theory invented by John Bowlby. We conclude a series of challenges for training in research ethics in psychology that exceed the margins of an approach centered on the knowledge and management of legal, normative, deontological and heuristic frameworks for the resolution of ethical dilemmas.</t>
  </si>
  <si>
    <t>Yáñez-Urbina, Cristopher/AFO-9564-2022</t>
  </si>
  <si>
    <t>1852-9488</t>
  </si>
  <si>
    <t>10.34024/prometeica.2024.29.15192</t>
  </si>
  <si>
    <t>WOS:001181185300008</t>
  </si>
  <si>
    <t>Cofré-Toledo, J; Muñoz-Cuevas, F; Jofré-Severino, E; Segura-Ponce, LA; Vasco, DA</t>
  </si>
  <si>
    <t>Cofre-Toledo, Jonathan; Munoz-Cuevas, Francisco; Jofre-Severino, Emilio; Segura-Ponce, Luis A.; Vasco, Diego A.</t>
  </si>
  <si>
    <t>Numerical prediction of the solidification and melting of encapsulated nano-enhanced phase change materials</t>
  </si>
  <si>
    <t>ENERGY STORAGE</t>
  </si>
  <si>
    <t>The thermal properties of Octadecane vary due to the addition of copper oxide (CuO) nanoparticles. The synthesis of two nano-enhanced phase change material (NEPCM) required the implementation of the two-step method, using Octadecane as the base phase change material and CuO nanoparticles at 2.5 and 5.0 wt%. The experimental characterization determined the specific heat capacity, and thermal conductivity of the NEPCMs solid phase, including phase change enthalpy and temperature. These experimental results were then utilized for computational simulation of the thermal charging (solidification) and discharging (melting) processes of NEPCMs within a spherical enclosure, employing the ANSYS/Fluent software. The incorporation of CuO nanoparticles led to an increase in thermal conductivity while causing a decrease in specific heat capacity, enthalpy, and phase change temperature of Octadecane. The computational results revealed a reduction in the melting period and an improvement in the solidification of both NEPCMs. In terms of melting, the convective heat transfer coefficient increased by approximately 27.4% and 3.2% for the NEPCM at 2.5 and 5.0 wt% CuO, respectively. During the solidification process, the overall heat transfer coefficient experienced a significant increase of 43.8% and 59.8% for the NEPCM at 2.5 and 5.0 wt%, respectively. Synthesis and thermal characterization for melting and solidifaction simulation of encapsulated nano-enhanced PCM. image</t>
  </si>
  <si>
    <t>Vasco, Diego/AAA-4480-2020</t>
  </si>
  <si>
    <t>Cofre-Toledo, Jonathan/0000-0002-7961-1554; Vasco, Diego Andres/0000-0001-7456-4683</t>
  </si>
  <si>
    <t>2578-4862</t>
  </si>
  <si>
    <t>10.1002/est2.521</t>
  </si>
  <si>
    <t>SEP 2023</t>
  </si>
  <si>
    <t>WOS:001068789100001</t>
  </si>
  <si>
    <t>Bachelet, VC; Rousseau-Portalis, M</t>
  </si>
  <si>
    <t>Bachelet, Vivienne C.; Rousseau-Portalis, Maximo</t>
  </si>
  <si>
    <t>A technology-based, financially sustainable, quality improvement intervention in a medical journal for bilingualism from submission to publication</t>
  </si>
  <si>
    <t>LEARNED PUBLISHING</t>
  </si>
  <si>
    <t>Key pointsWhile English is the dominant language in scientific literature, there are many reasons for introducing bilingualism in academic journals.Bilingualism has generally been avoided due to the perception of high costs and possible inconsistencies between the source language article and the translated version.A medical journal based in Santiago, Chile, carried out a two-year-long quality improvement intervention to overhaul the peer review, copyediting, translating and publication technologies to ensure full bilingualism from submission to online publication.The outcomes are full bilingualism for articles submitted in Spanish and simultaneous publication of both language versions while not compromising the financial sustainability of the journal.</t>
  </si>
  <si>
    <t>Bachelet, Vivienne/JAN-7158-2023</t>
  </si>
  <si>
    <t>Rousseau Portalis, Maximo Juan/0000-0002-0320-7096; Bachelet, Vivienne C./0000-0002-5715-9755</t>
  </si>
  <si>
    <t>0953-1513</t>
  </si>
  <si>
    <t>1741-4857</t>
  </si>
  <si>
    <t>10.1002/leap.1533</t>
  </si>
  <si>
    <t>WOS:000933639900011</t>
  </si>
  <si>
    <t>Arias-Yurisch, K; Retamal-Soto, K; Ramos-Fuenzalida, C</t>
  </si>
  <si>
    <t>Arias-Yurisch, Karina; Retamal-Soto, Karina; Ramos-Fuenzalida, Camila</t>
  </si>
  <si>
    <t>The prevalence of a bonding strategy in COVID-19 response networks: explaining intermunicipal partnering in the Santiago metropolitan region, Chile</t>
  </si>
  <si>
    <t>REGIONAL STUDIES</t>
  </si>
  <si>
    <t>COVID-19, with its spatial particularities, has challenged the governance of institutionally fragmented regions, obliging local governments to respond collaboratively. While intermunicipal collaboration is expected, little is known about partnering strategies. Based on the institutional collective action framework, this article explains which partnering strategies (bonding or bridging) have prevailed in the city of Santiago. Using exponential random graph models, it reveals a tendency to transitive clustering, socio-territorial homophily and the importance of planned emergency intermunicipal networks. The findings demonstrate the prevalence of bonding and an absence of bridging, measured by both endogenous and exogenous factors, with implications for effective regional response.</t>
  </si>
  <si>
    <t>Arias-Yurisch, Karina/LYP-0383-2024; Retamal Soto, Karina/CAF-8671-2022</t>
  </si>
  <si>
    <t>0034-3404</t>
  </si>
  <si>
    <t>1360-0591</t>
  </si>
  <si>
    <t>10.1080/00343404.2022.2141465</t>
  </si>
  <si>
    <t>DEC 2022</t>
  </si>
  <si>
    <t>WOS:000910472300001</t>
  </si>
  <si>
    <t>Gomez, CO; Maldonado, M</t>
  </si>
  <si>
    <t>Gomez, Cesar O.; Maldonado, Miguel</t>
  </si>
  <si>
    <t>Modelling Bubble Flow Hydrodynamics: Drift-Flux and Molerus Models</t>
  </si>
  <si>
    <t>MINERALS</t>
  </si>
  <si>
    <t>Minerals flotation is a widely used process to produce base metal concentrates through the selective capture of particles on the surface of bubbles. The process performance depends on the size distribution of the bubble population generated by gas dispersion, which is characterized by three variables: superficial gas velocity, gas holdup, and bubble size. A literature review revealed that current instrumentation cannot provide reliable on-line measurement of these variables except for gas velocity. There are some promising alternatives for gas holdup, but bubble size measurement will continue to be unavailable. The use of a model that integrates the three gas dispersion variables makes possible the calculation of one of the variables when knowing the values of the other two. Modelling bubble flow has been pursued using two approaches: determining the bubble terminal velocity reduction by the presence of other bubbles and regarding the bubble swarm as a packed bed through which a fluid is allowed to flow. Models based on these approaches (drift-flux and Molerus, respectively) were found in the literature and used to assess their prediction ability. Gas holdup predictions for known values of gas velocity and bubble size showed similar trends for both models; Molerus results were always higher than those obtained with the drift-flux model, and the difference between both predictions increased with bubble size and gas velocity. A relationship between bubble surface area flux and gas holdup was explored (a single line was expected); Molerus values showed a noticeable effect of bubble size, while drift-flux results showed a minor effect of bubble size only for gas holdups below 10%. Model accuracy was established using a data set collected to characterize frother roles in flotation for six commercial frothers, which included values of the three gas dispersion variables measured simultaneously and reported at the same conditions. The results indicate that bubble size predictions obtained from Molerus model are closer to the measured values than those obtained from the drift-flux model. Drift-flux predictions systematically underestimated the measured bubble size, with relative errors between 10 and 30%, while Molerus predictions showed values around the measured size with relative errors not larger than 15% (and in most cases below 10%). The accuracy of the Molerus predictions is acceptable for applications in the control of individual cells and flotation circuits operation. Further testing to assess the performance of Molerus model with data collected in lab and industrial mechanical cells and columns, where conditions in the test volume may not be stable or homogeneous, is recommended.</t>
  </si>
  <si>
    <t>2075-163X</t>
  </si>
  <si>
    <t>10.3390/min12121502</t>
  </si>
  <si>
    <t>WOS:000904483900001</t>
  </si>
  <si>
    <t>Rajendran, S; Diaz, M; Cárdenas, R; Espina, E; Contreras, E; Rodriguez, J</t>
  </si>
  <si>
    <t>Rajendran, Saravanakumar; Diaz, Matias; Cardenas, Roberto; Espina, Enrique; Contreras, Emilio; Rodriguez, Jose</t>
  </si>
  <si>
    <t>A Review of Generators and Power Converters for Multi-MW Wind Energy Conversion Systems</t>
  </si>
  <si>
    <t>PROCESSES</t>
  </si>
  <si>
    <t>The rated power of wind turbines has consistently enlarged as large installations can reduce energy production costs. Multi-megawatt wind turbines are frequently used in offshore and onshore facilities, and today is possible to find wind turbines rated over 15 MW. New developments in generators and power converters for multi-MW wind turbines are needed, as the trend toward upscaling the dimensions of wind turbines is expected to continue. Therefore, this paper provides a detailed review of commercially available and recently proposed multi-MW wind turbine generators and power converters. Furthermore, comparative analyses indicate the advantages and disadvantages of commercially available and promising technologies for generators and power converters at the multi-MW target.</t>
  </si>
  <si>
    <t>Espina, Enrique/AGZ-7297-2022; Unab, Energy Transformation Center/IQV-7083-2023; Rajendran, SaravanaKumar/ABI-6522-2020; Cardenas, Roberto/C-6395-2011; Diaz, Matias/R-7570-2018</t>
  </si>
  <si>
    <t>Cardenas, Roberto/0000-0003-3853-7703; Espina, Enrique/0000-0002-2075-2010; Diaz, Matias/0000-0003-4489-9532</t>
  </si>
  <si>
    <t>2227-9717</t>
  </si>
  <si>
    <t>10.3390/pr10112302</t>
  </si>
  <si>
    <t>WOS:000895713400001</t>
  </si>
  <si>
    <t>Mellado, M; Vera, J</t>
  </si>
  <si>
    <t>Mellado, Macarena; Vera, Jeannette</t>
  </si>
  <si>
    <t>Microorganisms that participate in biochemical cycles in wetlands</t>
  </si>
  <si>
    <t>CANADIAN JOURNAL OF MICROBIOLOGY</t>
  </si>
  <si>
    <t>Several biochemical cycles are performed in natural wetlands (NWs) and constructed wetlands (CWs). Knowledge of microorganisms can be used to monitor the restoration of wetlands and the performance of wastewater treatment. The phylum Proteobacteria is the most abundant in NWs and CWs, which plays a role in nitrogen (N), phosphorus (P), and sulfur (S) cycles, and in the degradation of organic matter. Other phyla were present at lower abundance. Archaea participate in methanogenesis, methane oxidation, and methanogenic N2 fixation. S and P cydes are also performed by other microorganisms, such as Chloroflexi and Nitrospirae. In general, there is more information about the N cycle, especially nitrification and denitrification. Processes where archaea participate (e.g., methane oxidation and methanogenic N-2 fixation) remain unclear, and several of these microorganisms have not been isolated so far. In this study, we used 16S rDNA or functional genes. The use of functional genes provides information to monitor specific microbial populations, and 16S rDNA is more suitable for taxonomic classification. In addition, several Candidatus microorganisms have not been isolated to date. However, their metabolic roles in the biochemical cycle of wetlands have been described.</t>
  </si>
  <si>
    <t>0008-4166</t>
  </si>
  <si>
    <t>1480-3275</t>
  </si>
  <si>
    <t>10.1139/cjm-2020-0336</t>
  </si>
  <si>
    <t>WOS:000711649300001</t>
  </si>
  <si>
    <t>Navarro, G; Rojas, F; Pereda, J; Díaz, M; Gatica, G</t>
  </si>
  <si>
    <t>Navarro, Guillermo; Rojas, Felix; Pereda, Javier; Diaz, Matias; Gatica, Gustavo</t>
  </si>
  <si>
    <t>Design and implementation of dual active bridge converter with single phase shift modulation for electric vehicle charging system</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</si>
  <si>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</si>
  <si>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</si>
  <si>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</si>
  <si>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ELECTR NETWORK</t>
  </si>
  <si>
    <t>IEEE,Int Federat Automat Control,IEEE Consejo Chile,Chilean Assoc Automat Control,IEEE Chilean Chapter Control Syst,IEEE Chilean Chapter SMC,IEEE Chilean Chapter Educat,IEEE Syst Man &amp; Cybernet Soc,IEEE Control Syst Soc,IEEE Educ Soc,Asociac Ind Elect Elect Chile</t>
  </si>
  <si>
    <t>This article presents the implementation of a Dual Active Bridge converter with Single Phase Shift modulation, capable of controlling current and voltage at the converter output independently, through the design of simple PI controllers based on the model's transfer functions small phasor signal. It is validated in a 1 kW converter prototype, whose main passive components are designed and the graphs of the current and voltage controls at the output of the converter are obtained as an experimental result.</t>
  </si>
  <si>
    <t>gatica, gustavo/KXR-7308-2024; Rojas, Felix/U-3305-2019; Pereda Torres, Javier/F-8244-2013; Diaz, Matias/R-7570-2018</t>
  </si>
  <si>
    <t>Pereda Torres, Javier/0000-0002-3407-5233; Diaz, Matias/0000-0003-4489-9532</t>
  </si>
  <si>
    <t>978-1-6654-0127-2</t>
  </si>
  <si>
    <t>10.1109/ICAACCA51523.2021.9465338</t>
  </si>
  <si>
    <t>WOS:000855764500083</t>
  </si>
  <si>
    <t>Estrada, M; Salanova, JM; Medina-Tapia, M; Robusté, F</t>
  </si>
  <si>
    <t>Estrada, Miquel; Maria Salanova, Josep; Medina-Tapia, Marcos; Robuste, Francesc</t>
  </si>
  <si>
    <t>Operational cost and user performance analysis of on-demand bus and taxi systems</t>
  </si>
  <si>
    <t>TRANSPORTATION LETTERS-THE INTERNATIONAL JOURNAL OF TRANSPORTATION RESEARCH</t>
  </si>
  <si>
    <t>This paper presents the optimization problem of three different on-demand transit systems operated by vehicles of different sizes. This problem is aimed at minimizing the total cost of the system, which consists of the temporal cost experienced by users and the operating cost incurred by transit agencies. A compact set of estimations of the user performance and operating cost is provided, based on geometric probability. The optimization procedure allows the cost comparison of different semi-flexible services. Transit systems operated by cars (shared taxicabs) with flexible layouts are preferable for low demand densities (less than 92 pax/km(2)-h). For very high demand (higher than 200 pax/km(2)-h), bus systems with fixed layout and variable stop locations present the lowest total cost per passenger. In an intermediate domain, taxi and semi-flexible services compete among each other. The estimation of unit operating costs allows decision-makers to calculate the subsidies needed to make the system profitable.</t>
  </si>
  <si>
    <t>; Estrada, Miquel/L-3294-2017; Medina-Tapia, Marcos/F-8779-2016</t>
  </si>
  <si>
    <t>Salanova Grau, Josep Maria/0000-0003-1564-2471; Estrada, Miquel/0000-0002-5114-7796; Medina-Tapia, Marcos/0000-0002-3961-5075</t>
  </si>
  <si>
    <t>1942-7867</t>
  </si>
  <si>
    <t>1942-7875</t>
  </si>
  <si>
    <t>MAR 16</t>
  </si>
  <si>
    <t>10.1080/19427867.2020.1861507</t>
  </si>
  <si>
    <t>DEC 2020</t>
  </si>
  <si>
    <t>WOS:000603434800001</t>
  </si>
  <si>
    <t>Gutierrez, L; Betancourt, F; Uribe, L; Maldonado, M</t>
  </si>
  <si>
    <t>Gutierrez, Leopoldo; Betancourt, Fernando; Uribe, Lina; Maldonado, Miguel</t>
  </si>
  <si>
    <t>Influence of Seawater on the Degree of Entrainment in the Flotation of a Synthetic Copper Ore</t>
  </si>
  <si>
    <t>Froth flotation is a process in which hydrophobic particles attach to bubbles forming particle-bubble aggregates, which are transported to the top section of the cell where they overflow to form the concentrate. Particles also reach the concentrate by entrainment, which is a non-selective process that leads to low concentrate grades. The objective of this work was to study and compare the degree of entrainment measured using three methods, in fresh and seawater, and using methyl isobutyl carbinol (MIBC) and DF-250 as frothers. The experimental results indicated that the degree of entrainment decreased in seawater. Besides, water recovery was lower in the experiments with seawater regardless of the frother that was used in the experiments, which correlated with the observed low degrees of entrainment. It is proposed that the reduction of entrainment and water recovery in seawater can be explained by a reduction of air recovery and/or more bubble coalescence in the froth. It is also proposed that surfactant diffusion/convection from the lamellae to the Plateau borders in the froth is reduced in seawater, which reduces the surface tension gradients, and thus the restoring liquid flow from the Plateau borders to the lamellae.</t>
  </si>
  <si>
    <t>Gutierrez, Leopoldo/K-4536-2017; Betancourt, Fernando/HZM-1946-2023</t>
  </si>
  <si>
    <t>Gutierrez-Briones, Leopoldo/0000-0002-0065-2178; Betancourt, Fernando/0000-0002-0189-9455</t>
  </si>
  <si>
    <t>10.3390/min10070615</t>
  </si>
  <si>
    <t>WOS:000554302800001</t>
  </si>
  <si>
    <t>de Oliveira, JF; do O, JM; Ubilla, P</t>
  </si>
  <si>
    <t>de Oliveira, Jose Francisco; do O, Joao Marcos; Ubilla, Pedro</t>
  </si>
  <si>
    <t>Existence for a k-Hessian equation involving supercritical growth</t>
  </si>
  <si>
    <t>JOURNAL OF DIFFERENTIAL EQUATIONS</t>
  </si>
  <si>
    <t>In this paper we use variational techniques to give existence results for the problem {s(k)[u] = f(x, -u) in Omega u &lt; 0 in Omega u = 0 on partial derivative Omega where S-k[u] is the k-Hessian operator and f (x, u) is a supercritical nonlinearity in the sense introduced by [K. Tso, Ann. Inst. Henri Poincare (1990)]. Using some ideas from a celebrated article by Brezis and Nirenberg we show existence of a positive solution considering supercritical nonlinearities, which is surprising given the validity of the Pohozaev identity. (C) 2019 Elsevier Inc. All rights reserved.</t>
  </si>
  <si>
    <t>Oliveira, José/AAD-1802-2019</t>
  </si>
  <si>
    <t>do O, Joao Marcos/0000-0001-7039-4365; de Oliveira, Jose Francisco/0000-0003-3038-4052</t>
  </si>
  <si>
    <t>0022-0396</t>
  </si>
  <si>
    <t>1090-2732</t>
  </si>
  <si>
    <t>JUL 5</t>
  </si>
  <si>
    <t>10.1016/j.jde.2019.01.032</t>
  </si>
  <si>
    <t>WOS:000465089600011</t>
  </si>
  <si>
    <t>Muñoz, CA; Guerra, ME; Mosey, S</t>
  </si>
  <si>
    <t>Munoz, Cristian A.; Guerra, Mauricio E.; Mosey, Simon</t>
  </si>
  <si>
    <t>The potential impact of entrepreneurship education on doctoral students within the non-commercial research environment in Chile</t>
  </si>
  <si>
    <t>STUDIES IN HIGHER EDUCATION</t>
  </si>
  <si>
    <t>Chilean doctoral programs in science and technology generally do not consider entrepreneurial training within their curricula. Taking an entrepreneurial competency approach, we explore the potential impact of introducing an entrepreneurship education course to doctoral students based within a non-commercial research environment. We identified two main areas of possible impact: the potential effects upon doctoral research projects and upon the doctoral students themselves. We followed the learning experiences of science and technology PhD students before, during, and a year after an entrepreneurial course through a multiple case study research design. Our results suggest that entrepreneurship education has a positive impact upon the development of student's creative problem-solving and communication skills. This was reported to have a generally positive effect upon the students' doctoral projects and on the student's self-efficacy and entrepreneurial intentions. We conclude that entrepreneurship education complements traditional doctoral training for students within a non-commercial academic setting.</t>
  </si>
  <si>
    <t>Mosey, Simon/AAB-4707-2021</t>
  </si>
  <si>
    <t>Mosey, Simon/0000-0002-3452-5230</t>
  </si>
  <si>
    <t>0307-5079</t>
  </si>
  <si>
    <t>1470-174X</t>
  </si>
  <si>
    <t>MAR 3</t>
  </si>
  <si>
    <t>10.1080/03075079.2019.1597036</t>
  </si>
  <si>
    <t>WOS:000464585700001</t>
  </si>
  <si>
    <t>Meneses, F; Urreta, SE; Escrig, J; Bercoff, PG</t>
  </si>
  <si>
    <t>Meneses, Fernando; Urreta, Silvia E.; Escrig, Juan; Bercoff, Paula G.</t>
  </si>
  <si>
    <t>Temperature dependence of the effective anisotropy in Ni nanowire arrays</t>
  </si>
  <si>
    <t>CURRENT APPLIED PHYSICS</t>
  </si>
  <si>
    <t>Magnetic hysteresis in Ni nanowire arrays grown by electrodeposition inside the pores of anodic alumina templates is studied as a function of temperature in the range between 5 K and 300 K. Nanowires with different diameters, aspect ratios, inter-wire distance in the array and surface condition (smooth and rough) are synthesized. These microstructure parameters are linked to the different free magnetic energy contributions determining coercivity and the controlling magnetization reversal mechanisms. Coercivity increases with temperature in arrays of nanowires with rough surfaces and small diameters -33 nm and 65 nm- when measured without removing the alumina template and/or the Al substrate. For thicker wires -200 nm in diameter and relatively smooth surfaces- measured without the Al substrate, coercivity decreases as temperature rises. These temperature dependences of magnetic hysteresis are described in terms of an effective magnetic anisotropy K-a, resulting from the interplay of magnetocrystalline, magnetoelastic and shape anisotropies, together with the magnetostatic interaction energy density between nanowires in the array. The experimentally determined coercive fields are compared with results of micromagnetic calculations, performed considering the magnetization reversal mode acting in each studied array and microstructure parameters. A method is proposed to roughly estimate the value of K-a experimentally, from the hysteresis loops measured at different temperatures. These measured values are in agreement with theoretical calculations. The observed temperature dependence of coercivity does not arise from an intrinsic property of pure Ni but from the nanowires surface roughness and the way the array is measured, with or without the alumina template and/or the aluminum support.</t>
  </si>
  <si>
    <t>; Escrig, Juan/N-4304-2015</t>
  </si>
  <si>
    <t>Meneses, Fernando/0000-0003-3616-2928; Urreta, Silvia/0000-0003-4502-1182; Escrig, Juan/0000-0002-3958-8185; Bercoff, Paula/0000-0002-0606-8407</t>
  </si>
  <si>
    <t>1567-1739</t>
  </si>
  <si>
    <t>1878-1675</t>
  </si>
  <si>
    <t>10.1016/j.cap.2018.06.014</t>
  </si>
  <si>
    <t>WOS:000446676900014</t>
  </si>
  <si>
    <t>Nicolai, JP; Zamorano, J</t>
  </si>
  <si>
    <t>Nicolai, Jean-Philippe; Zamorano, Jorge</t>
  </si>
  <si>
    <t>Windfall Profits Under Pollution Permits and Output-Based Allocation</t>
  </si>
  <si>
    <t>ENVIRONMENTAL &amp; RESOURCE ECONOMICS</t>
  </si>
  <si>
    <t>This paper analyzes the implementation of pollution permits. It focuses on the distributional impacts linked with the stringency of output-based allocation when two sectors are covered by the market for permits and the total cap is held constant. A new type of profit increase in sectors that are not exposed to international competition, when energy-intensive trade-exposed (EITE) sectors are granted output-based allocations, is demonstrated theoretically. The paper also illustrates a profit increase in the electricity sector in a possible fourth phase of the European Union Emission Trading Scheme, in which output-based allocation will be granted to EITE sectors, compared with the case in which all permits are auctioned.</t>
  </si>
  <si>
    <t>Zamorano, Jorge/0000-0002-1953-6513</t>
  </si>
  <si>
    <t>0924-6460</t>
  </si>
  <si>
    <t>1573-1502</t>
  </si>
  <si>
    <t>10.1007/s10640-016-0096-1</t>
  </si>
  <si>
    <t>WOS:000428430600002</t>
  </si>
  <si>
    <t>Thiam, A; Salazar, R; Brillas, E; Sirés, I</t>
  </si>
  <si>
    <t>Thiam, Abdoulaye; Salazar, Ricardo; Brillas, Enric; Sires, Ignasi</t>
  </si>
  <si>
    <t>Electrochemical advanced oxidation of carbofuran in aqueous sulfate and/or chloride media using a flow cell with a RuO2-based anode and an airdiffusion cathode at pre-pilot scale</t>
  </si>
  <si>
    <t>CHEMICAL ENGINEERING JOURNAL</t>
  </si>
  <si>
    <t>The treatment of 0.348mM carbofuran solutions in 0.050M Na2SO4 at pH 3.0 has been studied by electrochemical oxidation with electrogenerated H2O2 (EO-H2O2), electro-Fenton (EF) and photoelectro-Fenton (PEF). The trials were performed in a 2.5 L pre-pilot plant equipped with a filter-press cell, which contained a RuO2-based anode and an air-diffusion cathode, connected to an annular photoreactor with a 160W UVA lamp in PEF. The oxidizing species were the % OH generated at the anode from water oxidation and in the bulk from Fenton's reaction between added Fe2+ and H2O2 produced at the cathode. The oxidation power of treatments rose in the order EO-H2O2 &lt;&lt; EF &lt; PEF, demonstrating the preponderant role of % OH in the bulk. The drug decay always obeyed a pseudo-first order kinetics. Similar TOC abatements of 82%-88% were found in PEF operating at different current densities and carbofuran concentrations, ascribed to the additional photolytic action of UVA light to remove photoactive intermediates, also allowing a gradual detoxification. In matrices with Cl-, active chlorine was also produced as oxidant and its quick reaction with carbofuran caused its faster decay at increasing Cl-content. However, lower mineralization was achieved because of the accumulation of recalcitrant chloroderivatives. GC-MS analysis of treated solutions with 0.070M NaCl corroborated the formation of 6 chloroderivatives, whereas 5 heteroaromatics were detected in 0.050M Na2SO4. Oxalic acid was accumulated in the latter medium since its Fe(III) complexes were stable in EF and rapidly mineralized by UVA light in PEF. The mineralization of urban wastewater spiked with carbofuran by PEF in the pre-pilot plant was partial due to the recalcitrant chloroderivatives formed from carbofuran and natural organic matter.</t>
  </si>
  <si>
    <t>Salazar, Ricardo/L-7870-2013; Thiam, Abdoulaye/X-4067-2018; Sires Sadornil, Ignacio/C-7054-2013</t>
  </si>
  <si>
    <t>Salazar-Gonzalez, Ricardo/0000-0003-2180-6022; Thiam, Abdoulaye/0000-0001-5024-1855; Sires Sadornil, Ignacio/0000-0001-5508-1774</t>
  </si>
  <si>
    <t>1385-8947</t>
  </si>
  <si>
    <t>1873-3212</t>
  </si>
  <si>
    <t>10.1016/j.cej.2017.10.137</t>
  </si>
  <si>
    <t>WOS:000430700500014</t>
  </si>
  <si>
    <t>Aparcana, A; Cuevas, C; Henríquez, H; Soto, H</t>
  </si>
  <si>
    <t>Aparcana, Aldryn; Cuevas, Claudio; Henriquez, Hernan; Soto, Herme</t>
  </si>
  <si>
    <t>Fractional evolution equations and applications</t>
  </si>
  <si>
    <t>MATHEMATICAL METHODS IN THE APPLIED SCIENCES</t>
  </si>
  <si>
    <t>This work addresses the study of the L-p-boundedness and compactness of abstract linear and nonlinear fractional integro-differential equations. The analysis is performed for the whole range of values of p, ie, 1p+. In addition, theoretical results are complemented with illustrating particular cases of systems modeled by fractional evolution equations as heat conduction problems and problems arising in the theory of viscoelastic materials.</t>
  </si>
  <si>
    <t>Cuevas, Claudio/A-5896-2012</t>
  </si>
  <si>
    <t>Aparcana Orellana, Aldryn Oscar/0000-0003-0380-7419</t>
  </si>
  <si>
    <t>0170-4214</t>
  </si>
  <si>
    <t>1099-1476</t>
  </si>
  <si>
    <t>10.1002/mma.4662</t>
  </si>
  <si>
    <t>WOS:000425834700042</t>
  </si>
  <si>
    <t>Maldonado, T; Godoy, F; Ferraudi, G; Lappin, AG</t>
  </si>
  <si>
    <t>Maldonado, Tamara; Godoy, Fernando; Ferraudi, Guillermo; Lappin, A. Graham</t>
  </si>
  <si>
    <t>On the photochemical properties of the organometallic trans cyrhetrenyl chalcone (E). Deceleration of the photoisomerization and quenching of the luminescence effected by the photogenerated cis isomer (Z)</t>
  </si>
  <si>
    <t>INORGANICA CHIMICA ACTA</t>
  </si>
  <si>
    <t>The photoprocesses of two organometallic chalcone complexes: one trans (E) [(eta(5)-C5H4C(O)CH = CH-Ph) Re(CO)(3)], (1a), and the other functionalized with a macrocyclic trans (E) [(eta(5)-C5H4C(O)CH = CH-4-benzo-15-crown-5) Re(CO)(3)], (1b), were investigated in fluid solution. Isomerization from the trans (E isomer) to the cis (Z isomer) and a weak luminescence from (1b) were observed when deaerated solutions of (1a) and (1b) were respectively irradiated at 300 nm and 350 nm. A marked non-linear dependence of the product Z concentration on the irradiation time was observed. Similarly the intensity of the (1b) luminescence decreased non-linearly with the irradiation time. These departures form linearity have been rationalized on the basis of a mechanism incorporating a weak inner filter effect and an energy transfer reaction from an excited state of E to Z. Other effects on the photolysis regime were of a structural origin. The smaller isomerization quantum yield of (1b) relative to (1a) phi(isom) = 0.59 for (1b) vs. phi(isom) = 0.69 for (1a)) was attributed, to a large extent, to steric hindrance resulting from the appended macrocycle. Complexation of Ca2+ by the macrocycle in (1b) rises the quantum yield of isomerization to phi(isom) = 0.62, an effect associated with an inductive displacement of pi electronic density that weakens the chalcone's double bond and defeats the macrocycle's steric hindrance. (C) 2017 Elsevier B.V. All rights reserved.</t>
  </si>
  <si>
    <t>Godoy, Fernando/0000-0002-3916-4753; Maldonado Hernandez, Tamara/0000-0002-3863-3001</t>
  </si>
  <si>
    <t>0020-1693</t>
  </si>
  <si>
    <t>1873-3255</t>
  </si>
  <si>
    <t>JAN 1</t>
  </si>
  <si>
    <t>10.1016/j.ica.2017.09.022</t>
  </si>
  <si>
    <t>WOS:000416056400031</t>
  </si>
  <si>
    <t>Oyarce, P; Gurovich, L; Duarte, V</t>
  </si>
  <si>
    <t>Oyarce, Patricio; Gurovich, Luis; Duarte, Victor</t>
  </si>
  <si>
    <t>Experimental Evaluation of Agricultural Drains</t>
  </si>
  <si>
    <t>JOURNAL OF IRRIGATION AND DRAINAGE ENGINEERING</t>
  </si>
  <si>
    <t>Current models used to design agricultural drains assume that perforated pipes (field drains) are ideal drains, and some models do not include the water entrance resistance factor at pipe perforations. Drainage models used to design agricultural drains assume that perforated pipes (field drains) are ideal drains with no water entrance loss taking place at the drain perforations. However, this may not be a valid assumption for many drainage situations in which radial water flow into the drain is significant in relation to vertical and horizontal water flow. The convergence of streamlines toward the drilling of a real drain causes an additional input resistance (called entrance resistance) to flow and a pressure drop, as compared with an imaginary perfect flow drain. This work evaluates a PVC drains' structural mechanical conditions, as related to the drainage extraction area and the water entrance resistance factor, to maximize its water discharge performance. The effects of pipe perforation density, pipe diameter, substrate hydraulic characteristics, and the incorporation of an enveloping screen were studied in an experimental setup to define water extraction efficiency, water entrance resistance factor (alpha(e)), and pipe effective radius (r(ef)). This work proves that the water entrance resistance should be taken into account in drainage design because the optimal distance between parallel drains is significantly smaller if pipes are enclosed in a protective screen, compared with pipes without screen, for any drainage extraction area in different substrates. The effects of perforation density and envelope screens are determined by water extraction efficiency for small hydraulic head conditions. (C) 2016 American Society of Civil Engineers.</t>
  </si>
  <si>
    <t>0733-9437</t>
  </si>
  <si>
    <t>1943-4774</t>
  </si>
  <si>
    <t>10.1061/(ASCE)IR.1943-4774.0001134</t>
  </si>
  <si>
    <t>WOS:000398515100003</t>
  </si>
  <si>
    <t>Gambi, MO</t>
  </si>
  <si>
    <t>Olavarria Gambi, Mauricio</t>
  </si>
  <si>
    <t>Public Policy Implementation: Lessons for the Design. Analysis of Cases of Public Management Modernization and Health Care Reform in Chile</t>
  </si>
  <si>
    <t>REVISTA DEL CLAD REFORMA Y DEMOCRACIA</t>
  </si>
  <si>
    <t>The article analyzes public policy implementation on, public management modernization and health care reform occurred in Chile between 1990s and 2010s decades. The analysis is based on the framework provided by Hasenfeld and Brock (1991), whom identify the following main driving forces: the pursuit of rationality, the organization policy-fit, the bureaucratic discretion and adaptation, power relation, and leadership and competence. This work inquires whether those driving forces have been present in the implementation of the analyzed policies and, to do that, it concentrate on the political management of them, the readiness of the basic conditions, factors and necessary circumstances for the operation of the mentioned policies. The document identifies lessons to be considered for the design of public interventions. It concludes that driving forces influencing the public policy implementation process varies in correspondence to the government sector of activity they belong to. Because of that, implementation would not be a process that concrete in the same manner in the different areas of government activity. That implies that public policy design should consider this characteristic of the implementation process and, mainly, in the definition of the characteristics and profile of those who would be in charge of putting in practice the public policy. The unit of analysis is the inter-organizational network in which these public policies have been implemented. Information comes from official documents, press clippings, academic literature and 142 interviews to key actors of these policies.</t>
  </si>
  <si>
    <t>Olavarria-Gambi, Mauricio/K-9521-2019</t>
  </si>
  <si>
    <t>1315-2378</t>
  </si>
  <si>
    <t>WOS:000404947600004</t>
  </si>
  <si>
    <t>García-Martínez, L; Campos, F; Godoy-Guzmán, C; Sánchez-Quevedo, MD; Garzón, I; Alaminos, M; Campos, A; Carriel, V</t>
  </si>
  <si>
    <t>Garcia-Martinez, Laura; Campos, Fernando; Godoy-Guzman, Carlos; del Carmen Sanchez-Quevedo, Maria; Garzon, Ingrid; Alaminos, Miguel; Campos, Antonio; Carriel, Victor</t>
  </si>
  <si>
    <t>Encapsulation of human elastic cartilage-derived chondrocytes in nanostructured fibrin-agarose hydrogels</t>
  </si>
  <si>
    <t>HISTOCHEMISTRY AND CELL BIOLOGY</t>
  </si>
  <si>
    <t>The generation of elastic cartilage substitutes for clinical use is still a challenge. In this study, we investigated the possibility of encapsulating human elastic cartilage-derived chondrocytes (HECDC) in biodegradable nanostructured fibrin-agarose hydrogels (NFAH). Viable HECDC from passage 2 were encapsulated in NFAH and maintained in culture conditions. Constructs were harvested for histochemical and immunohistochemical analyses after 1, 2, 3, 4 and 5 weeks of development ex vivo. Histological results demonstrated that it is possible to encapsulate HECDC in NFAH, and that HECDC were able to proliferate and form cells clusters expressing S-100 and vimentin. Additionally, histochemical and immunohistochemical analyses of the extracellular matrix (ECM) showed that HECDC synthetized different ECM molecules (type I and II collagen, elastic fibers and proteoglycans) in the NFAH ex vivo. In conclusion, this study suggests that NFAH can be used to generate biodegradable and biologically active constructs for cartilage tissue engineering applications. However, further cell differentiation, biomechanical and in vivo studies are still needed.</t>
  </si>
  <si>
    <t>Godoy-Guzman, Carlos Ignacio/IUO-1065-2023; Campos, Fernando/MHQ-3038-2025; Carriel, Victor/H-9425-2018; ALAMINOS, MIGUEL/N-9960-2016</t>
  </si>
  <si>
    <t>Godoy-Guzman, Carlos/0000-0001-8451-7047; Campos, A/0000-0003-4061-8182; Garzon Bello, Ingrid Johanna/0000-0001-5944-0578; Sanchez-Quevedo, Maria del Carmen/0009-0002-9911-099X; Carriel, Victor/0000-0002-8114-5644; ALAMINOS, MIGUEL/0000-0003-4876-2672; Campos, Fernando/0000-0003-0034-9264</t>
  </si>
  <si>
    <t>0948-6143</t>
  </si>
  <si>
    <t>1432-119X</t>
  </si>
  <si>
    <t>10.1007/s00418-016-1485-9</t>
  </si>
  <si>
    <t>WOS:000392063000009</t>
  </si>
  <si>
    <t>Ferrer, A; Rivera, J; Zapata, C; Norambuena, J; Sandoval, A; Chávez, R; Orellana, O; Levicán, G</t>
  </si>
  <si>
    <t>Ferrer, Alonso; Rivera, Javier; Zapata, Claudia; Norambuena, Javiera; Sandoval, Alvaro; Chavez, Renato; Orellana, Omar; Levican, Gloria</t>
  </si>
  <si>
    <t>Cobalamin Protection against Oxidative Stress in the Acidophilic Iron-oxidizing Bacterium Leptospirillum Group II CF-1</t>
  </si>
  <si>
    <t>FRONTIERS IN MICROBIOLOGY</t>
  </si>
  <si>
    <t>Members of the genus Leptospirillum are aerobic iron-oxidizing bacteria belonging to the phylum Nitrospira. They are important members of microbial communities that catalyze the biomining of sulfidic ores, thereby solubilizing metal ions. These microorganisms live under extremely acidic and metal-loaded environments and thus must tolerate high concentrations of reactive oxygen species (ROS). Cobalamin (vitamin B-12) is a cobalt-containing tetrapyrrole cofactor involved in intramolecular rearrangement reactions and has recently been suggested to be an intracellular antioxidant. In this work, we investigated the effect of the exogenous addition of cobalamin on oxidative stress parameters in Leptospirillum group II strain CF-1. Our results revealed that the external supplementation of cobalamin reduces the levels of intracellular ROSs and the damage to biomolecules, and also stimulates the growth and survival of cells exposed to oxidative stress exerted by ferric ion, hydrogen peroxide, chromate and diamide. Furthermore, exposure of strain CF-1 to oxidative stress elicitors resulted in the transcriptional activation of the cbiA gene encoding CbiA of the cobalamin biosynthetic pathway. Altogether, these data suggest that cobalamin plays an important role in redox protection of Leptospirillum strain CF-1, supporting survival of this microorganism under extremely oxidative environmental conditions. Understanding the mechanisms underlying the protective effect of cobalamin against oxidative stress may help to develop strategies to make biomining processes more effective.</t>
  </si>
  <si>
    <t>Norambuena, Javiera/MTF-3983-2025; Levican, Gloria/R-5191-2019</t>
  </si>
  <si>
    <t>Chavez, Renato/0000-0003-1754-3610; Norambuena, Javiera/0000-0002-2992-4907; Levican, Gloria/0000-0002-1275-7399</t>
  </si>
  <si>
    <t>1664-302X</t>
  </si>
  <si>
    <t>MAY 23</t>
  </si>
  <si>
    <t>10.3389/fmicb.2016.00748</t>
  </si>
  <si>
    <t>WOS:000376277600001</t>
  </si>
  <si>
    <t>Benítez-Burraco, A; Herrera, E; Cuetos, F</t>
  </si>
  <si>
    <t>Benitez-Burraco, A.; Herrera, E.; Cuetos, F.</t>
  </si>
  <si>
    <t>A core deficit in Parkinson disease?</t>
  </si>
  <si>
    <t>NEUROLOGIA</t>
  </si>
  <si>
    <t>Introduction: Parkinson disease is a neurodegenerative condition involving motor, cognitive, and linguistic deficits. It is important to know why all these different deficits co-occur in the affected people. This paper aims to clarify whether these comorbid deficits result from the selective impairment of a computational primitive, namely, a context-sensitive computational ability according to Chomsky's Hierarchy (a well-established research tool in comparative neuroscience). Patients and methods: A total of 15 medicated subjects with Parkinson disease and 15 controls were selected. They were matched in age and education. A battery of tasks was designed to test 3 different domains (motor capacities, cognition, and language) and 2 different computational abilities (context-free and context-sensitive operations). Results: Significant differences between groups were observed only regarding the linguistic task involving context-sensitive computations (correferences). Conclusions: The observed deficits in our patients with Parkinson disease cannot be explained in terms of the selective impairment of one only unspecific, low-level computational process. At the same time, differences between patients and controls are expected to be greater if the former are not medicated. Moreover, we should pursue in the search of (this kind of) computational primitives than can be selectively impaired in people with Parkinson disease, because they may help to achieve an earlier diagnosis of this condition. (C) 2014 Sociedad Espanola de Neurologia. Published by Elsevier Espana, S.L.U. All rights reserved.</t>
  </si>
  <si>
    <t>Herrera, Elena/E-3603-2013; Cuetos, Fernando/B-4337-2011; Benitez-Burraco, Antonio/N-3339-2014</t>
  </si>
  <si>
    <t>Herrera, Elena/0000-0001-9942-5356; Benitez-Burraco, Antonio/0000-0003-4574-5666</t>
  </si>
  <si>
    <t>0213-4853</t>
  </si>
  <si>
    <t>1578-1968</t>
  </si>
  <si>
    <t>10.1016/j.nrl.2015.05.006</t>
  </si>
  <si>
    <t>WOS:000375636300002</t>
  </si>
  <si>
    <t>Pedernales, JS; Lizuain, I; Felicetti, S; Romero, G; Lamata, L; Solano, E</t>
  </si>
  <si>
    <t>Pedernales, J. S.; Lizuain, I.; Felicetti, S.; Romero, G.; Lamata, L.; Solano, E.</t>
  </si>
  <si>
    <t>Quantum Rabi Model with Trapped Ions</t>
  </si>
  <si>
    <t>SCIENTIFIC REPORTS</t>
  </si>
  <si>
    <t>We propose the quantum simulation of the quantum Rabi model in all parameter regimes by means of detuned bichromatic sideband excitations of a single trapped ion. We show that current setups can reproduce, in particular, the ultrastrong and deep strong coupling regimes of such a paradigmatic light-matter interaction. Furthermore, associated with these extreme dipolar regimes, we study the controlled generation and detection of their entangled ground states by means of adiabatic methods. Ion traps have arguably performed the first quantum simulation of the Jaynes-Cummings model, a restricted regime of the quantum Rabi model where the rotating-wave approximation holds. We show that one can go beyond and experimentally investigate the quantum simulation of coupling regimes of the quantum Rabi model that are difficult to achieve with natural dipolar interactions.</t>
  </si>
  <si>
    <t>Felicetti, Simone/X-3768-2019; Lamata, Lucas/B-2439-2009; Solano, Enrique/C-2895-2017; Simon Pedernales, Julen Jon/X-3181-2019; Romero, Guillermo/C-8245-2009; Lizuain, Ion/G-9712-2015; Lamata, Lucas/CAG-6488-2022; Felicetti, Simone/HDM-7753-2022</t>
  </si>
  <si>
    <t>Simon Pedernales, Julen Jon/0000-0003-4094-6266; SOLANO VILLANUEVA, ENRIQUE LEONIDAS/0000-0002-8602-1181; Romero, Guillermo/0000-0003-2917-7814; Lizuain, Ion/0000-0001-9207-4493; Lamata, Lucas/0000-0002-9504-8685; Felicetti, Simone/0000-0003-0447-5380</t>
  </si>
  <si>
    <t>2045-2322</t>
  </si>
  <si>
    <t>OCT 20</t>
  </si>
  <si>
    <t>10.1038/srep15472</t>
  </si>
  <si>
    <t>WOS:000363036800001</t>
  </si>
  <si>
    <t>Martínez, P; Rojas, G; Magaña, I</t>
  </si>
  <si>
    <t>Martinez, Pablo; Rojas, Graciela; Magana, Irene</t>
  </si>
  <si>
    <t>Ethnographic analysis at general practice waiting rooms: implications for postpartum depression detection and treatment</t>
  </si>
  <si>
    <t>TERAPIA PSICOLOGICA</t>
  </si>
  <si>
    <t>In Chile, universal screening and treatment for postpartum depression has been implemented at a national level, however it remains under-detected and under-treated. To describe and analyze barriers to postpartum depression detection and treatment implied in maternal-infant health care production at general practice waiting rooms, an ethnographic study was carried out at six primary care clinics belonging to the Metropolitan Area of Santiago, Chile. Discourses and practices on maternity enacted at waiting room, reveals a conflicting condition for postpartum women, implying a differential overburden with domestic work and care tasks, demanding constant mobilization between formal and informal health care sources. The grade of integration between remunerated work and women's self-care is debated.</t>
  </si>
  <si>
    <t>Martínez, Pablo/LZF-5853-2025</t>
  </si>
  <si>
    <t>Martinez, Pablo/0000-0003-4482-7993; Magana, Irene/0000-0002-0096-2432</t>
  </si>
  <si>
    <t>0718-4808</t>
  </si>
  <si>
    <t>10.4067/S0718-48082015000200001</t>
  </si>
  <si>
    <t>WOS:000365408400001</t>
  </si>
  <si>
    <t>Osorio, F; Roman, A; Ortiz, J</t>
  </si>
  <si>
    <t>IOP</t>
  </si>
  <si>
    <t>Osorio, F.; Roman, A.; Ortiz, J.</t>
  </si>
  <si>
    <t>Effects of ripening on rheological properties of avocado pulp (Persea americana mill. Cv. Hass)</t>
  </si>
  <si>
    <t>1ST INTERNATIONAL CONFERENCE ON RHEOLOGY AND MODELING OF MATERIALS (IC-RMM1)</t>
  </si>
  <si>
    <t>1st International Conference on Rheology and Modeling of Materials ((IC-RMM)</t>
  </si>
  <si>
    <t>OCT 07-11, 2013</t>
  </si>
  <si>
    <t>HUNGARY</t>
  </si>
  <si>
    <t>Int Assoc Study Clays,Associazione Italiana REOLOGIA,Biomaterials Network,European Soc Rheol,Groupe Francais Ceramique,Int Commiss Glass,Igrex Engn Serv Ltd,Academ Journals,Appl Rheol,Ceram Forum Int,Rheol Bulletin,Technologija Hrane,Moscow State Univ,Nordic Rheol Soc,Inst Strength Phys &amp; Mat Sci,Soc Rheol,Univ Miskolc, Miskolci Egyetem,Epitoanyag Journal Silicate Based &amp; Composite Mat,Refractiries World Forum,Int Sci Advisory Board,Int Org Board</t>
  </si>
  <si>
    <t>Avocado (Persea americana Mill) Hass variety is the most planted in Chile with a greater trade prospect. The aim of this study was to investigate the effect of maturity on rheological properties of Chilean Avocado Hass pulp. Fresh unripe avocados were washed and peeled, cut and stored at 3 different times; a portion was treated at 5 degrees C and the other was treated at 20 degrees C until it reached 2 1b puncture pressure. During maturation changes would develop due to temperature and time, with internal cellular structure changes. Preliminary results of the rheological characteristics of avocado puree show a Bingham plastic behavior.</t>
  </si>
  <si>
    <t>osorio, fernando/AAY-7304-2021</t>
  </si>
  <si>
    <t>osorio, fernando/0000-0001-7206-0924</t>
  </si>
  <si>
    <t>10.1088/1742-6596/602/1/012016</t>
  </si>
  <si>
    <t>WOS:000354704800016</t>
  </si>
  <si>
    <t>Lizama, C; Mesquita, JG; Ponce, R</t>
  </si>
  <si>
    <t>Lizama, Carlos; Mesquita, Jaqueline G.; Ponce, Rodrigo</t>
  </si>
  <si>
    <t>A connection between almost periodic functions defined on timescales and Double-struck capital R</t>
  </si>
  <si>
    <t>APPLICABLE ANALYSIS</t>
  </si>
  <si>
    <t>In this paper, we prove a strong connection between almost periodic functions on timescales and almost periodic functions on . An application to difference equations on is given.</t>
  </si>
  <si>
    <t>Mesquita, Jaqueline/A-2356-2012; Lizama, Carlos/E-5909-2011</t>
  </si>
  <si>
    <t>Lizama, Carlos/0000-0002-9807-1100; Ponce, Rodrigo/0000-0002-1337-8083</t>
  </si>
  <si>
    <t>0003-6811</t>
  </si>
  <si>
    <t>1563-504X</t>
  </si>
  <si>
    <t>DEC 2</t>
  </si>
  <si>
    <t>10.1080/00036811.2013.875161</t>
  </si>
  <si>
    <t>WOS:000343907200001</t>
  </si>
  <si>
    <t>Manosalva, L; Mutis, A; Díaz, J; Urzúa, A; Fajardo, V; Quiroz, A</t>
  </si>
  <si>
    <t>Manosalva, Loreto; Mutis, Ana; Diaz, Juan; Urzua, Alejandro; Fajardo, Victor; Quiroz, Andres</t>
  </si>
  <si>
    <t>Identification of isoquinoline alkaloids from Berberis microphylla by HPLC ESI-MS/MS</t>
  </si>
  <si>
    <t>BOLETIN LATINOAMERICANO Y DEL CARIBE DE PLANTAS MEDICINALES Y AROMATICAS</t>
  </si>
  <si>
    <t>Berberis microphylla (G.Forst) is a native plant growing in Patagonia. In recent years Patagonia Berberis are becoming important due to their interesting biological properties related to their alkaloids content. The aim of this study was determine the distribution and proportion of isoquinoline alkaloids in leaves, stems and roots of B. microphylla collected in two different climatic zones from Chilean Patagonia. Using by HPLC ESI-MS/MS isocorydine, jatrorrhizine, palmatine, reticuline, scoulerine, tetrahydroberberine and thalifendine were detected for the first time in this specie, and the presence of allocryptopine, berberine, calafatine and protopine, previously isolated in B. microphylla was corroborated. The alkaloids profile showed differences of compounds in samples collected in two climatic zones, where more compounds were detected in plants from Lago Deseado than Cerro Sombrero. Furthermore, a greater number of alkaloids were found in stem and root extracts and berberine and thalifendine were detected in higher proportion in these structures.</t>
  </si>
  <si>
    <t>Quiroz, Andres/I-2748-2018</t>
  </si>
  <si>
    <t>Urzua, Alejandro/0000-0003-2638-0921</t>
  </si>
  <si>
    <t>0717-7917</t>
  </si>
  <si>
    <t>WOS:000343600200003</t>
  </si>
  <si>
    <t>Rad, AE; Reyes, EG</t>
  </si>
  <si>
    <t>Rad, Anahita Eslami; Reyes, Enrique G.</t>
  </si>
  <si>
    <t>THE KADOMTSEV-PETVIASHVILI HIERARCHY AND THE MULASE FACTORIZATION OF FORMAL LIE GROUPS</t>
  </si>
  <si>
    <t>JOURNAL OF GEOMETRIC MECHANICS</t>
  </si>
  <si>
    <t>We present explicit formal solutions to the systems of equations in two independent variables t(m), x, m = 1, 2, ... , of the Kadomtsev-Petviashvili hierarchy. The main tools used are a Birkhoff-like factorization of formal Lie groups due to M. Mulase, and the classical theory of A. G. Reyman and M. A. Semenov-Tian-Shansky on the integration of Hamiltonian systems on coadjoint orbits using r-matrices. Our paper also contains full proofs of Mulase's results.</t>
  </si>
  <si>
    <t>Reyes, Enrique/AAD-1308-2019</t>
  </si>
  <si>
    <t>Reyes, Enrique G./0000-0001-8460-444X</t>
  </si>
  <si>
    <t>1941-4889</t>
  </si>
  <si>
    <t>1941-4897</t>
  </si>
  <si>
    <t>10.3934/jgm.2013.5.345</t>
  </si>
  <si>
    <t>WOS:000325011400005</t>
  </si>
  <si>
    <t>Lemus, L; Ferraudi, G; Lappin, AG</t>
  </si>
  <si>
    <t>Lemus, L.; Ferraudi, G.; Lappin, A. Graham</t>
  </si>
  <si>
    <t>A single- and double-flash flash photolysis study of the sequential biphotonic photoprocesses of Cu(I) phenanthrolines. Comparison of the helicate complex, [Cu2(1,3-bis(9-methyl-1,10-phenanthrolin-2-yl)propane)2]2+, and [Cu(2,9-dimethyl-1,10-phenanthroline)2]+ photoprocesses</t>
  </si>
  <si>
    <t>DALTON TRANSACTIONS</t>
  </si>
  <si>
    <t>Photochemical processes induced when two photons are sequentially absorbed by the helicate complex [Cu-2(mphenpr)(2)](2+), where mphenpr = 1,3-bis(9-methyl-1,10-phenanthrolin-2-yl) propane, and [Cu(dmp)(2)](+) were investigated in CH2Cl2 containing solvents. A strong resemblance was observed between the fs-ns photophysics of [Cu-2(mphenpr)(2)](2+) and Cu(I) phenanthroline complexes having a large steric hindrance. In the biphotonic regime, single-flash flash-photolyzed solutions were used for the determination of the product concentrations and quantum yields. The concentration of Cl-produced by the photoinduced decomposition of CH2Cl2 increases linearly with flash intensity as expected for a monophotonic process. In contrast, the concentration of a decomposed Cu(I) complex exhibits the quadratic dependence on flash intensity of a biphotonic process. Results of a sequential double-flash flash photolysis experiment are consistent with the decomposition of CH2Cl2 ahead of the flattened excited state formation and with the absorption of the second photon by the flattened MLCT excited state.</t>
  </si>
  <si>
    <t>LEMUS, LUIS/0000-0002-5499-8115</t>
  </si>
  <si>
    <t>1477-9226</t>
  </si>
  <si>
    <t>10.1039/c3dt50258a</t>
  </si>
  <si>
    <t>WOS:000319555400015</t>
  </si>
  <si>
    <t>Marinao, E; Chasco, C; Torres, E</t>
  </si>
  <si>
    <t>Marinao, Enrique; Chasco, Coro; Torres, Eduardo</t>
  </si>
  <si>
    <t>TRUST IN TOURIST DESTINATIONS. THE ROLE OF LOCAL INHABITANTS AND INSTITUTIONS</t>
  </si>
  <si>
    <t>ACADEMIA-REVISTA LATINOAMERICANA DE ADMINISTRACION</t>
  </si>
  <si>
    <t>The extent to which a tourist trusts a holiday destination has become an important factor when it comes to thinking about where to travel to. However, no previous studies measuring trust in a tourist destination have been found. We are proposing a multidimensional model to measure trust in a tourist destination, which proves the fundamental roles played by honesty, benevolence, and competence by both local inhabitants and institutions in developing trust. On the other hand, the image perceived works as a background factor, influenced by the familiarity and reputation of the place. The results of this study provide information for the different stakeholders from the destination on the factors influencing trust.</t>
  </si>
  <si>
    <t>Torres, Eduardo/LCD-7570-2024; Chasco, Coro/IUN-0313-2023; Marinao-Artigas, Enrique/CAF-2031-2022; Chasco, Coro/L-2577-2013</t>
  </si>
  <si>
    <t>Chasco, Coro/0000-0001-8098-9979</t>
  </si>
  <si>
    <t>1012-8255</t>
  </si>
  <si>
    <t>2056-5127</t>
  </si>
  <si>
    <t>WOS:000312977600005</t>
  </si>
  <si>
    <t>Junqueira-Gonçalves, MP; Tapia, A; Rodriguez, C; Roschzttardtz, FI; Valenzuela, X; Aguirre, P</t>
  </si>
  <si>
    <t>Junqueira-Goncalves, M. P.; Tapia, A.; Rodriguez, C.; Roschzttardtz, F. I.; Valenzuela, X.; Aguirre, P.</t>
  </si>
  <si>
    <t>EXTENSION OF STRAWBERRY SHELF-LIFE BY IRRADIATED EDIBLE COATING</t>
  </si>
  <si>
    <t>ITALIAN JOURNAL OF FOOD SCIENCE</t>
  </si>
  <si>
    <t>The aim of this work was to verify the influence of gamma irradiation on properties modification of a protein edible coating (calcium caseinate and whey protein isolated, added of potassium sorbate (PS) as an antimicrobial agent - film A) to enhance the shelf-life of fresh strawberries. The fruits were divided in four groups: (1) coated with film A without antimicrobial agent, (2) coated with film A, without irradiation (3) coated with film A, treated at 35.0 kGy and (4) uncoated fruits (control). The effects of gamma-irradiation on the structure of the edible coating were studied by SEM and rheology properties. In order to evaluate the fruits' shelf-life the following analysis were carried out: total counting of moulds and yeasts, color, weight loss, firmness and sensorial analyses. The results showed that PS was effective against Botrytis cinerea, increasing the shelf-life in 200% when compared with the control. The irradiation did not affect the antimicrobial agent. The irradiated coating improved significantly (p&lt;0.05) some quality parameters (color, firmness, weight loss and sensorial attributes) in the last day of storage when compared with the non-irradiated. The induced modification on the protein coating solution by gamma-irradiation can be an efficient alternative to improve the shelf-life of fresh strawberry.</t>
  </si>
  <si>
    <t>1120-1770</t>
  </si>
  <si>
    <t>2239-5687</t>
  </si>
  <si>
    <t>WOS:000208717100032</t>
  </si>
  <si>
    <t>Cordero, RR; Martinez, A; Rayas, JA; Labbe, F</t>
  </si>
  <si>
    <t>Cordero, Raul R.; Martinez, Amalia; Rayas, Juan A.; Labbe, Fernando</t>
  </si>
  <si>
    <t>Necking progression in tensile specimens monitored in real-time by using fringe projection</t>
  </si>
  <si>
    <t>OPTICS AND LASERS IN ENGINEERING</t>
  </si>
  <si>
    <t>A specimen subjected to uniaxial tensile tests undergoes a thickness reduction that leads to out-of-plane displacements. These can be approximated by monitoring the progression of the changes in shape induced on the specimen. The combination of the fringe projection technique and the Fourier transform method (FTM) allowed us to monitor in real-time the out-of-plane displacement fields, induced on a brass sheet specimen in different regions of the tensile test. These maps enabled us to detect different trends in the deformation process and nonlinear effects linked to the progression of the thickness necking. Methodological details are provided below. (C) 2010 Elsevier Ltd. All rights reserved.</t>
  </si>
  <si>
    <t>Cordero, Raul/M-7979-2017; Rayas, Juan/CAG-8266-2022</t>
  </si>
  <si>
    <t>Rayas, Juan Antonio/0000-0001-6809-2368; Cordero, Raul R./0000-0001-7607-7993</t>
  </si>
  <si>
    <t>0143-8166</t>
  </si>
  <si>
    <t>10.1016/j.optlaseng.2010.06.001</t>
  </si>
  <si>
    <t>WOS:000282456000020</t>
  </si>
  <si>
    <t>Fernández, MIT; Vásquez, OC; Martinic, JG</t>
  </si>
  <si>
    <t>Tarride Fernandez, Mario Ivan; Vasquez, Oscar C.; Gonzalez Martinic, Julia</t>
  </si>
  <si>
    <t>Computer modeling and simulation of the patient-visit network within a Chilean public health service</t>
  </si>
  <si>
    <t>REVISTA PANAMERICANA DE SALUD PUBLICA-PAN AMERICAN JOURNAL OF PUBLIC HEALTH</t>
  </si>
  <si>
    <t>Objective. To create a computerized model and simulation of the patient visit/referrals process for a health care services organization within Chile's public health care system. Methods. The study was performed with a system dynamics focus. Data were collected from the health care service centers, and a referrals model was created. Specialty areas to be modeled were chosen based on the length of their waiting times. Equations were defined for calculating care visits, referrals, and waiting times. Databases were designed and populated with centers' data. The model was programmed and validated through comparisons with actual data. Scenarios were simulated that would reduce patient waiting time by increasing staff hours or improving diagnostic resolution at the primary care and specialty centers, or both. Results. The modeling included 22 centers, 1 451 referral flows, and 12 medical specialty areas, in addition to general medicine. A total of 686 869 registered office visits, referrals, and waiting logs were processed. The validation yielded high determinant coefficients and a 10.43% percentage error regarding actual waiting time logs. Conclusions. This methodology proved to be useful for modeling a health care network. An auto-referral process was observed where options were available, with opportunities for improvement in diagnostic resolution at the primary health care centers, as well as at the specialty centers. Moderate increases in diagnostic accuracy and office hours would completely eliminate waiting times at the specialty centers.</t>
  </si>
  <si>
    <t>Vasquez, Oscar C./0000-0002-1393-4692</t>
  </si>
  <si>
    <t>1020-4989</t>
  </si>
  <si>
    <t>10.1590/S1020-49892010000300007</t>
  </si>
  <si>
    <t>WOS:000276904200006</t>
  </si>
  <si>
    <t>Bahamonde, V; Ahumada, H; Araya-Maturana, R; Weiss-López, BE</t>
  </si>
  <si>
    <t>Bahamonde, Victor; Ahumada, Hernan; Araya-Maturana, Ramiro; Weiss-Lopez, Boris E.</t>
  </si>
  <si>
    <t>Counterion Effects and Dynamics of Parathion in Anionic Lyomesophases</t>
  </si>
  <si>
    <t>AUSTRALIAN JOURNAL OF CHEMISTRY</t>
  </si>
  <si>
    <t>Ingestion of parathion produces catastrophic effects on mammals. Transformed into paraoxon, it inhibits acetylcholinesterase, producing acetylcholine accumulation. The distribution, orientation, and dynamics of parathion in different hydrophobic bilayer environments is interesting from both ecological and biological perspectives. A study of parathion-d(4) dissolved in two nematic discotic lyotropic liquid crystals made of sodium and cesium decylsulfate (CsDS and NaDS)/decanol (10% 1,1-dideuterodecanol)/water (0.1% D2O)/M2SO4 (M = Na+, Cs+), is presented. Deuterium quadrupole splittings and relaxation times of all deuteriated species were measured. Parathion is strongly attached to both aggregates, increasing the alignment of CsDS and decreasing the alignment of NaDS. Molecular dynamics trajectories were calculated for both mesophases. CsDS appears more neutralized than NaDS. Despite the surface charge, parathion is associated to both aggregates, located near the interface, with the nitro group oriented to the headgroups and the ethoxy chains toward the hydrophobic core. When included in the CsDS interface, it stabilizes the system by shielding repulsive electrostatic interactions among headgroups. Included in NaDS, parathion induces an increase in the distance among counterions and sulfate headgroups, thus decreasing the degree of order.</t>
  </si>
  <si>
    <t>Araya-Maturana, Ramiro/N-8747-2015</t>
  </si>
  <si>
    <t>Araya-Maturana, Ramiro/0000-0002-5082-9146</t>
  </si>
  <si>
    <t>0004-9425</t>
  </si>
  <si>
    <t>1445-0038</t>
  </si>
  <si>
    <t>10.1071/CH09423</t>
  </si>
  <si>
    <t>WOS:000273396200009</t>
  </si>
  <si>
    <t>Olivares, R; Tiledo, C; Vera, Y; Morgan, C; Pérez, H; Ortíz, A; Henríquez, M; Hernández, A; Cifuentes, F</t>
  </si>
  <si>
    <t>Olivares, R.; Tiledo, C.; Vera, Y.; Morgan, C.; Perez, H.; Ortiz, A.; Henriquez, M.; Hernandez, A.; Cifuentes, F.</t>
  </si>
  <si>
    <t>Density in Primary Visual Cortex (17 Visual Area) from Rats Subjected to Chronic Stress</t>
  </si>
  <si>
    <t>INTERNATIONAL JOURNAL OF MORPHOLOGY</t>
  </si>
  <si>
    <t>Stress can be understood as a threat to psychological or physiological integrity of the individual. Stress has previously shown to alter morphology and function of diverse structures of the Central Nervous System related to learning, memory and emotional response, such as hippocampus, amygdala and prefrontal cortex. In the current work we assessed the effect of chronic stress for immobilization on structure of primary visual cortex (area 17) in male adult Sprague-Dawley rats (n=9), of 3 months of age (250-350g.). Stressed rats (n=3) tended to show lower neuronal densities than control rats (n=3) and were significantly lower (p&lt;0.05) than recovered post-stress rats (n=3), which showed the highest neuronal densities observed. Since an inverse correlation between neuronal density and size of neuronal bodies and their respective dendrite branches, these changes might impact processing of visual information.</t>
  </si>
  <si>
    <t>Hernandez, Alejandro/M-4796-2019</t>
  </si>
  <si>
    <t>Hernandez, Alejandro/0000-0001-9222-6522</t>
  </si>
  <si>
    <t>0717-9502</t>
  </si>
  <si>
    <t>0717-9367</t>
  </si>
  <si>
    <t>WOS:000283274500030</t>
  </si>
  <si>
    <t>Cruchaga, MA; Celentano, DJ; Tezduyar, TE</t>
  </si>
  <si>
    <t>Cruchaga, Marcela A.; Celentano, Diego J.; Tezduyar, Tayfun E.</t>
  </si>
  <si>
    <t>Computational Modeling of the Collapse of a Liquid Column Over an Obstacle and Experimental Validation</t>
  </si>
  <si>
    <t>JOURNAL OF APPLIED MECHANICS-TRANSACTIONS OF THE ASME</t>
  </si>
  <si>
    <t>Mini-Symposium on Stabilized, Multiscale and Multiphysics Methods held at the ASME International Mechanical Engineering Congress</t>
  </si>
  <si>
    <t>NOV 05-10, 2006</t>
  </si>
  <si>
    <t>Chicago, IL</t>
  </si>
  <si>
    <t>ASME</t>
  </si>
  <si>
    <t>We present the numerical and experimental analyses of the collapse of a water column over an obstacle. The physical model consists of a water column initially confined by a closed gate inside a glass box. An obstacle is placed between the gate and the right wall of the box, inside the initially unfilled zone. Once the gate is opened, the liquid spreads in the container and over the obstacle. Measurements of the liquid height along the walls and a middle control section are obtained from videos. The computational modeling is carried out using a moving interface technique, namely, the edge-tracked interface locator technique, to calculate the evolution of the water-air interface. The analysis involves a water-column aspect ratio of 2, with different obstacle geometries. The numerical predictions agree reasonably well with the experimental trends. [DOI: 10.1115/1.3057439]</t>
  </si>
  <si>
    <t>Celentano, Diego/JQW-5027-2023; Cruchaga, Marcela/M-7522-2014; Tezduyar, Tayfun/F-6134-2012</t>
  </si>
  <si>
    <t>Cruchaga, Marcela/0000-0002-8708-2402; Tezduyar, Tayfun/0000-0001-8707-3162</t>
  </si>
  <si>
    <t>0021-8936</t>
  </si>
  <si>
    <t>10.1115/1.3057439</t>
  </si>
  <si>
    <t>WOS:000265821600003</t>
  </si>
  <si>
    <t>Villagra, D; López, R; Moya, SA; Claver, C; Bastero, A</t>
  </si>
  <si>
    <t>Villagra, Diego; Lopez, Rosa; Moya, Sergio A.; Claver, Carmen; Bastero, Amaia</t>
  </si>
  <si>
    <t>Dipyridophenazine as electronic tunable ligands for the palladium-catalyzed synthesis of polyketones</t>
  </si>
  <si>
    <t>ORGANOMETALLICS</t>
  </si>
  <si>
    <t>A series of Pd-methyl complexes, 1a-6a, with 11-R-dipyrido[3,2-a:2',3'-c]phenazine ligands (dppz-R) being electronically modified with an R substituent, efficiently catalyze CO/styrene copolymerization under mild conditions. Increased catalytic activity is observed on increasing the electron-donating character of the remote R substituent in the order R = NO2 &lt; COOH &lt; Cl &lt; H &lt; CH3 &lt; NH2.</t>
  </si>
  <si>
    <t>LOPEZ, ROSA/C-7645-2009; Moya, Sergio/I-1446-2015; Villagra, Diego/H-6694-2013; Claver, Carmen/L-3772-2014</t>
  </si>
  <si>
    <t>Claver, Carmen/0000-0002-2518-7401</t>
  </si>
  <si>
    <t>0276-7333</t>
  </si>
  <si>
    <t>MAR 24</t>
  </si>
  <si>
    <t>10.1021/om700524v</t>
  </si>
  <si>
    <t>WOS:000254085000001</t>
  </si>
  <si>
    <t>Avila, F; Matus, A; Fuentealba, D; Lissi, E; Friguet, B; Silva, E</t>
  </si>
  <si>
    <t>Avila, Felipe; Matus, Alex; Fuentealba, Denis; Lissi, Eduardo; Friguet, Bertrand; Silva, Eduardo</t>
  </si>
  <si>
    <t>Autosensitized oxidation of glycated bovine lens proteins irradiated with UVA-visible light at low oxygen concentration</t>
  </si>
  <si>
    <t>PHOTOCHEMICAL &amp; PHOTOBIOLOGICAL SCIENCES</t>
  </si>
  <si>
    <t>Advanced glycation endproducts (AGEs) are generated in lens proteins following ascorbic acid glycation. Autosensitized photo-processes induced by these AGEs exposed to UVA-visible light at low oxygen concentrations, such as those found in the eye lens, were studied in order to establish their photo-damaging potential. Ascorbic acid glycated bovine lens proteins, irradiated with UVA and/or visible light at 5% oxygen concentration showed an increase in the amount of carbonyl groups and an increase in the emission of chemiluminescence. Both are indicators of the occurrence of amino acid oxidation within the proteins. A good correlation was found between the chemiluminescence intensity and the extent of the glycation process. No modifications in the SDS-PAGE patterns were observed when 6-day glycated proteins were irradiated with UVA-visible light at low oxygen pressure, excluding the occurrence of photochemical crosslinking. When the same samples were derivatized with 2,4-dinitrophenylhydrazine and analyzed by Western blot, using polyclonal antibodies to the DNP moiety, an increase in the carbonyl content restricted to the AGE-crosslinked proteins fractions was observed. These results indicate that photo-oxidations are limited to the nearby environment of the sensitizers. On the contrary, when native lens proteins were irradiated in the presence of small molecular weight models of AGEs, prepared by incubating ascorbate with N alpha-acetylated lysine and arginine, the occurrence of both photochemically induced crosslinking and oxidative processes were observed, emphasizing the importance of the localization of the sensitizer. Taken together, these results provide information with respect to the actual photosensitizing ability of endogenous AGEs to induce photo-oxidative processes in lens proteins.</t>
  </si>
  <si>
    <t>Silva, Eduardo/KUC-8055-2024; Fuentealba, Denis/R-9880-2016</t>
  </si>
  <si>
    <t>Friguet, Bertrand/0000-0001-8085-1961; Fuentealba, Denis/0000-0003-4798-7204</t>
  </si>
  <si>
    <t>1474-905X</t>
  </si>
  <si>
    <t>1474-9092</t>
  </si>
  <si>
    <t>10.1039/b719167g</t>
  </si>
  <si>
    <t>WOS:000256451200010</t>
  </si>
  <si>
    <t>Monsalve, A; Páez, M; Toledano, M; Artigas, A; Sepúlveda, Y; Valencia, N</t>
  </si>
  <si>
    <t>Monsalve, A.; Paez, M.; Toledano, M.; Artigas, A.; Sepulveda, Y.; Valencia, N.</t>
  </si>
  <si>
    <t>S-N-P curves in 7075 T7351 and 2024 T3 aluminium alloys subjected to surface treatments</t>
  </si>
  <si>
    <t>FATIGUE &amp; FRACTURE OF ENGINEERING MATERIALS &amp; STRUCTURES</t>
  </si>
  <si>
    <t>The S-N-P (stress, number of cycles, failure probability) curves for 2024 T3 and 7075 T7 3 51 aluminium alloys were obtained. Previously, surface treatments of degreasing and different types of anodizing were applied to samples, evaluating the influence of these treatments on the fatigue life of the alloys. The determination of the S-N-P curves was done using Maennig's method. Rotary fatigue was used because this technique produces greater stress on the sample surfaces, the zone in which it is important to evaluate fatigue resistance. Both the transition range and the finite life range were evaluated, calculating the 1, 50 and 99% fracture probability. SEM was performed in order to characterize the fracture micromechanism. The conclusions were that Maermig's method is useful to evaluate fatigue life of these materials in a fast and efficient manner. Moreover, surface treatments produce a decrease in the fatigue life of both alloys, associating this effect with the surface damage produced on each sample during the treatment.</t>
  </si>
  <si>
    <t>Paez, Maritza/M-2010-2014</t>
  </si>
  <si>
    <t>Monsalve, Alberto/0000-0002-5772-8815; paez, maritza/0000-0001-5881-884X</t>
  </si>
  <si>
    <t>8756-758X</t>
  </si>
  <si>
    <t>10.1111/j.1460-2695.2007.01134.x</t>
  </si>
  <si>
    <t>WOS:000248685700008</t>
  </si>
  <si>
    <t>Enrione, JI; Hill, SE; Mitchell, JR</t>
  </si>
  <si>
    <t>Enrione, Javier I.; Hill, Sandra E.; Mitchell, John R.</t>
  </si>
  <si>
    <t>Sorption behavior of mixtures of glycerol and starch</t>
  </si>
  <si>
    <t>JOURNAL OF AGRICULTURAL AND FOOD CHEMISTRY</t>
  </si>
  <si>
    <t>Glycerol is often added to starches to plasticize the product, but the presence of glycerol may also affect the water content of the samples. To evaluate the effect of glycerol on the sorption properties of starches, waxy maize, rice, and wheat starch were thermomechanically extruded in the presence of glycerol. Sorption isotherms of these extruded samples were ascertained using dynamic vapor sorption (DVS). BET and GAB modeling showed a monolayer (m(o)) significantly higher for waxy maize than for rice and wheat. Glycerol inclusion changed the model values, indicating reduction in sorption energy at the monolayer and restructuring of the multilayer. An interaction factor (xi) based on weight fraction models was calculated. Differences in xi were obtained when glycerol was added, varying from similar to 0.9 for 5% glycerol to similar to 0.8 for 20% glycerol, supporting the hypothesis of interactions between starch and this polyol.</t>
  </si>
  <si>
    <t>Enrione, Javier/I-9225-2014; Hill, Sandra/AAQ-6540-2021</t>
  </si>
  <si>
    <t>Hill, Sandra/0000-0001-8797-7364; Enrione, Javier/0000-0002-3916-6775</t>
  </si>
  <si>
    <t>0021-8561</t>
  </si>
  <si>
    <t>APR 18</t>
  </si>
  <si>
    <t>10.1021/jf062186c</t>
  </si>
  <si>
    <t>WOS:000245600300029</t>
  </si>
  <si>
    <t>Deroin, B; Kleptsyn, V; Navas, A</t>
  </si>
  <si>
    <t>Deroin, Bertrand; Kleptsyn, Victor; Navas, Andres</t>
  </si>
  <si>
    <t>The unidimensional dynamic of intermediary regularity</t>
  </si>
  <si>
    <t>ACTA MATHEMATICA</t>
  </si>
  <si>
    <t>0001-5962</t>
  </si>
  <si>
    <t>10.1007/s11511-007-0020-1</t>
  </si>
  <si>
    <t>WOS:000252018700002</t>
  </si>
  <si>
    <t>Griveau, S; Albin, V; Pauporté, T; Zagal, JH; Bedioui, F</t>
  </si>
  <si>
    <t>Comparative study of electropolymerized cobalt porphyrin and phthalocyanine based films for the electrochemical activation of thiols</t>
  </si>
  <si>
    <t>JOURNAL OF MATERIALS CHEMISTRY</t>
  </si>
  <si>
    <t>We present a comparative study of the behavior of electrodes modified with electropolymerized cobalt porphyrins and cobalt phthalocyanine films towards the electro-oxidation of 2-mercaptoethanol (2-ME). First, we report here on the electrochemical formation of the complex-based films and their characterization by cyclic voltammetry and electrochemical quartz microbalance measurements. The obtained results clearly show that the accessibility to the redox centers within the electropolymerized films is limited to the external layers. In particular, this report focuses on the effect of polymer film thickness on the thiol electro-oxidation reaction. However, the electrocatalytic activity of the porphyrin-modified electrode depends on the film thickness, in contrast to the phthalocyanine-based ones: the greater the thickness the lower is the activation of the thiol in terms of current and of oxidation potential. This can be explained by the lower electronic conductivity of electropolymerized porphyrin films compared to the phthalocyanine-based ones, and the probable intervention of the Co-III form of the deposited complexes.</t>
  </si>
  <si>
    <t>zagal, jose/L-9648-2014; Bedioui, Fethi/N-3507-2014</t>
  </si>
  <si>
    <t>Bedioui, Fethi/0000-0002-0063-4412; Pauporte, Thierry/0000-0001-5906-8075</t>
  </si>
  <si>
    <t>0959-9428</t>
  </si>
  <si>
    <t>1364-5501</t>
  </si>
  <si>
    <t>10.1039/b106817b</t>
  </si>
  <si>
    <t>WOS:000173477300015</t>
  </si>
  <si>
    <t>Bollo, S; Núñez-Vergara, LJ; Bontá, M; Chauviere, G; Périé, J; Squella, JA</t>
  </si>
  <si>
    <t>Polarographic reduction of megazol and derivatives, and its polarographic, UV spectrophotometric, and HPLC determination</t>
  </si>
  <si>
    <t>Megazol (2-amino-5-(1-methyl-5-nitro-2-imidazolyl)-1,3,4-thiadiazol, CAS 19622-55-0), a highly active compound used against several of Trypanosoma cruzi, the causative agent of Chagas disease, is electrochemically studied to propose a new electroanalytical strains, of Try alternative for its quantitative determination. Megazol is shown to be polarographically reducible in protic and mixed media. The polarogram of megazol shows two signals, the main signal is due to the reduction of the nitroimidazole moiety, and the second one is due to the reduction of the thiadiazole moiety in the molecule. We have synthesized several related molecules to megazol in order to study the influence of structural changes in the reducibility of the nitro group. Also we have compared the polarographic behavior of megazol with the currently used antichagasic drug, benznidazole. Based on the linear relation between the peak current and the megazol concentrations a differential pulse polarographic method was developed. The linearity was maintained between 6 x 10(-6) and 1 x 10(-4) M with a quantitation and detection limits of 6.7 x 10(-6) and 3.2 x 10(-6) M, respectively. Precision and accuracy of the developed method was checked by recovery study. For comparative purposes spectrophotometric and HPLCuv methodologies were developed. From the pH dependence of the absorbance band at 276 nm. an apparrent pK(a) of 8.5 was determined for megazol.</t>
  </si>
  <si>
    <t>Bollo, Soledad/B-5257-2011; JA, Squella/A-5093-2009</t>
  </si>
  <si>
    <t>Bollo, Soledad/0000-0003-0868-4294</t>
  </si>
  <si>
    <t>10.1002/1521-4109(200107)13:11&lt;936::AID-ELAN936&gt;3.0.CO;2-9</t>
  </si>
  <si>
    <t>WOS:000170524600008</t>
  </si>
  <si>
    <t>Griveau, S; Pavez, J; Zagal, JH; Bedioui, F</t>
  </si>
  <si>
    <t>Electro-oxidation of 2-mercaptoethanol on adsorbed monomeric and electropolymerized cobalt tetra-aminophthalocyanine films. Effect of film thickness</t>
  </si>
  <si>
    <t>JOURNAL OF ELECTROANALYTICAL CHEMISTRY</t>
  </si>
  <si>
    <t>We have investigated the electrocatalytic activity of cobalt tetra-aminophthalocyanine (CoTAPc) for the one-electron oxidation of 2-mercaptoethanol (2-ME) using adsorbed monomeric CoTAPc and electropolymerized poly-CoTAPc films of different thickness on Vitreous carbon electrode. Our results show that the activity of poly-CoTAPc increases slightly with the thickness of the film, while the activity of the adsorbed monomeric CoTAPc is still greatest. The trend in activities, analysed by cyclic voltammetry, is the same for the electro-oxidation of 2-ME and for the electroreduction of the corresponding disulphide. Tafel plots obtained from rotating disk measurement for adsorbed CoTAPc and poly-CoTAPc film modified electrodes show slopes close to RT/F (ca. 70 mV) at low polarisation potentials which increase gradually with potential to values close to 2RT/F (120 mV). This suggests that at low polarisation the rate-determining step is a chemical step (formation of a metal complex-thiol adduct) preceded by a fast electron-transfer step involving the CoTAPc. At higher polarisations the one electron oxidation of the adduct to give the thiyl radical becomes rate controlling. Even though monomeric CoTAPc adsorbed on glassy carbon presents higher activity for the electro-oxidation of 2-ME, the high stability of the electropolymerized poly-CoTAPc makes them more attractive for applications in the activation and/or the amperometric detection of thiols. (C) 2001 Elsevier Science B.V. All rights reserved.</t>
  </si>
  <si>
    <t>zagal, jose/L-9648-2014; Bedioui, Fethi/N-3507-2014; PAVEZ, JORGE/K-6904-2014</t>
  </si>
  <si>
    <t>Bedioui, Fethi/0000-0002-0063-4412; PAVEZ, JORGE/0000-0002-5100-6707</t>
  </si>
  <si>
    <t>1572-6657</t>
  </si>
  <si>
    <t>1873-2569</t>
  </si>
  <si>
    <t>FEB 2</t>
  </si>
  <si>
    <t>10.1016/S0022-0728(00)00454-X</t>
  </si>
  <si>
    <t>WOS:000167193100009</t>
  </si>
  <si>
    <t>Cerda, E; Chaieb, S; Melo, F; Mahadevan, L</t>
  </si>
  <si>
    <t>Conical dislocations in crumpling</t>
  </si>
  <si>
    <t>NATURE</t>
  </si>
  <si>
    <t>A crumpled piece of paper is made up of cylindrically curved or nearly planar regions folded along line-like ridges, which themselves pivot about point-like peaks; most of the deformation and energy is focused into these localized objects. Localization of deformation in thin sheets is a diverse phenomenon(1-6), and is a consequence of the fact(7) that bending a thin sheet is energetically more favourable than stretching it. Previous studies(8-11) considered the weakly nonlinear response of peaks and ridges to deformation. Here we report a quantitative description of the shape, response and stability of conical dislocations, the simplest type of topological crumpling deformation. The dislocation consists of a stretched core, in which some of the energy resides, and a peripheral region dominated by bending. We derive scaling laws for the size of the core, characterize the geometry of the dislocation away from the core, and analyse the interaction between two conical dislocations in a simple geometry. Our results show that the initial stages of crumpling (characterized by the large deformation of a few folds) are dominated by bending only. By considering the response of a transversely forced conical dislocation, we show that it is dynamically unstable above a critical load threshold. A similar instability is found for the case of two interacting dislocations, suggesting that a cascade of related instabilities is responsible for the focusing of energy to progressively smaller scales during crumpling.</t>
  </si>
  <si>
    <t>Melo, Francisco/M-3923-2014; c, sahraoui/H-1272-2015</t>
  </si>
  <si>
    <t>Melo, Francisco Esteban/0000-0001-6818-5476</t>
  </si>
  <si>
    <t>0028-0836</t>
  </si>
  <si>
    <t>SEP 2</t>
  </si>
  <si>
    <t>10.1038/43395</t>
  </si>
  <si>
    <t>WOS:000082374400035</t>
  </si>
  <si>
    <t>Raff, U; Vargas, PF; Groves, BM</t>
  </si>
  <si>
    <t>Automated determination of left ventricular volume curves from bi-plane digital angiography without explicit use of edge detection algorithms</t>
  </si>
  <si>
    <t>INTERNATIONAL JOURNAL OF CARDIAC IMAGING</t>
  </si>
  <si>
    <t>Automated computation of left ventricular (LV) global and regional function using contrast angiography has not yet become a routine procedure with the advent of digital cardiac imaging systems. We describe a new technique to compute LV volume curves which does not require the use of manual or semi-automated detection of endocardial borders and provides on-line implementation of volumetric curves and computation of pressure volume loops during catheterization. The approach uses the concepts of variable entropy (or information) of left ventricular images throughout the cardiac cycle. LV volume curves are computed with an interpolation scheme using those LV volume curves of a patient data base which are associated with the closest variation in entropy in the RAO projection to the analyzed patient data according to a simple metric. Computed LV volume curves were correlated with those obtained with manual tracing. Left ventricular ejection fraction (LVBF), time to end systole (TES) and angiographic cardiac output (CO) were compared to those obtained with the manual method. Results using a data base of 365 patients revealed excellent correlation (r = 0.97) between manually derived volume curves and volume curves computed with the automated technique within a large range of LVEFs. In 87% of all cases the computed LVEF values were found within +/- 10% of the value obtained with the gold standard method. The systolic phase of the volume curves showed that 81% of all cases had the same accuracy. The TES showed much more variation due to undersampling of the cardiac cycle in time (r = 0.71).</t>
  </si>
  <si>
    <t>Vargas, Patricio/AAL-2633-2020</t>
  </si>
  <si>
    <t>vargas, patricio/0000-0001-9235-9747</t>
  </si>
  <si>
    <t>0167-9899</t>
  </si>
  <si>
    <t>10.1007/BF01798115</t>
  </si>
  <si>
    <t>WOS:A1996UE14100005</t>
  </si>
  <si>
    <t>Ritschel, WA; Paulos, C; Arancibia, A; Pezzani, M; Agrawal, M; Wetzelsberger, K; Lucker, PW</t>
  </si>
  <si>
    <t>Urinary excretion of meperidine and normeperidine in man upon acute and chronic exposure to high altitude</t>
  </si>
  <si>
    <t>METHODS AND FINDINGS IN EXPERIMENTAL AND CLINICAL PHARMACOLOGY</t>
  </si>
  <si>
    <t>The urinary excretion of unchanged meperidine (M) varies with change of pH and metabolism. Since exposure of man to high altitude (H) may cause significant physiologic changes, we investigated its effects on the urinary excretion of M. The study was carried out in 3 groups of healthy, male volunteers (ages 18-20 years): at sea level (L), at 4360 m the day after arrival at H(HA), and at 4360 m bt subjects residing for &gt;10 months at H(HC). Urine was collected for the periods of 0-4, 4-8, 8-12 and 12-24 h. Urinary pH was measured and the concentrations of M and normeperidine (N) were determined. The 24 h excretion of M and N was significantly decreased fort vs. HA and L vs. HC. Significance was also seen for the periods 0-4, 4-8 and 8-12 h. The ratio of amount excreted M/N for the 24 h period was highly significant for L vs. HA and L vs. HC. The urinary pH ranged from 5.3-5.9 for L, 5.9-7.0 for HA, and 5.1-5.7 for HC. The F-el (fraction of M eliminated in the unchanged form ill urine) significantly decreased fron L to HA and HC.</t>
  </si>
  <si>
    <t>Agrawal, Megha/AFT-1002-2022</t>
  </si>
  <si>
    <t>Paulos Arenas, Claudio/0000-0002-9857-0567</t>
  </si>
  <si>
    <t>0379-0355</t>
  </si>
  <si>
    <t>JAN-FEB</t>
  </si>
  <si>
    <t>WOS:A1996UA18700007</t>
  </si>
  <si>
    <t>ABUIN, E; LISSI, E; QUINA, F; PAREDES, S</t>
  </si>
  <si>
    <t>EFFECT OF SODIUM COUNTERION SUBSTITUTION BY LITHIUM ON THE INTERACTION OF DODECYL-SULFATE WITH POLY(ETHYLENE OXIDE) IN AQUEOUS-SOLUTION</t>
  </si>
  <si>
    <t>BOLETIN DE LA SOCIEDAD CHILENA DE QUIMICA</t>
  </si>
  <si>
    <t>The interaction of sodium dodecylsulfate (SPS) and lithium dodecylsulfate (LDS) with poly(ethylene oxide) in aqueous solution has been investigated by surface tension and fluorescence measurements, The critical concentrations for the onset of micellization of the surfactants on the polymer and the amount of the surfactant taken up by the polymer at saturation were determined. Experiments have been performed in salt-free solutions as well as in the presence of 0.1 M of alkaline halides containing the same cation as the surfactant counterion. For all the experimental conditions employed it is found that, upon substitution of sodium by lithium both of the characteristic parameters for the adsorption of the surfactant on the polymer are modified in a manner indicative of a stronger interaction with SDS than with LDS. The results are interpreted in terms of a surfactant interaction affected by the affinity of the counterion for complexation with the polymer.</t>
  </si>
  <si>
    <t>Quina, Frank/H-2255-2012</t>
  </si>
  <si>
    <t>Quina, Frank/0000-0003-2981-3390</t>
  </si>
  <si>
    <t>0366-1644</t>
  </si>
  <si>
    <t>WOS:A1995QV98900009</t>
  </si>
  <si>
    <t>VARANDA, EM; ZUNIGA, GE; SALATINO, A; ROQUE, NF; CORCUERA, LJ</t>
  </si>
  <si>
    <t>EFFECT OF URSOLIC ACID FROM EPICUTICULAR WAXES OF JACARANDA-DECURRENS ON SCHIZAPHIS-GRAMINUM</t>
  </si>
  <si>
    <t>JOURNAL OF NATURAL PRODUCTS</t>
  </si>
  <si>
    <t>Ursolic acid from jacaranda decurrens showed toxicity and feeding deterrency towards the greenbug Schizaphis graminum. Biological activity was determined by analyzing ursolic acid effects on the survival, reproductive index, and population growth rate of the greenbug. Survival and reproductive index decreased in direct proportion to ursolic acid content in the diet. The population growth rate decreased markedly when the aphids were fed on barley leaves sprayed with ursolic acid dissolved in DMSO, in comparison to leaves sprayed only with DMSO. The feeding behavior of the greenbug was also affected by ursolic acid. Ingestion time on diet with 0.1 mM was reduced about 30% in relation to the ingestion time on control diet.</t>
  </si>
  <si>
    <t>Corcuera, Luis/G-1714-2014; Zuñiga, Gustavo/P-8306-2015</t>
  </si>
  <si>
    <t>Zuniga, Gustavo/0000-0002-8286-9468</t>
  </si>
  <si>
    <t>0163-3864</t>
  </si>
  <si>
    <t>10.1021/np50084a015</t>
  </si>
  <si>
    <t>WOS:A1992HX56600015</t>
  </si>
  <si>
    <t>GRANIFO, J; VARGAS, ME; COSTAMAGNA, J; FRANCOIS, MA</t>
  </si>
  <si>
    <t>COORDINATION OF A POLYFUNCTIONAL CYCLIC LIGAND CONTAINING A P-P BOND TO THE FRAGMENT [MO(CO)3(NN)] (NN = 2,2'-BIPYRIDINE, 1,10-PHENANTHROLINE) - SPECTROSCOPIC AND ELECTROCHEMICAL CHARACTERIZATION</t>
  </si>
  <si>
    <t>10.1016/S0277-5387(00)81196-1</t>
  </si>
  <si>
    <t>WOS:A1988M804100010</t>
  </si>
  <si>
    <t>Riesco, F; Cosco-Salguero, GA; Nagles, E; Penagos-Llanos, J; Segura, R; Hurtado, J</t>
  </si>
  <si>
    <t>Riesco, Fernando; Cosco-Salguero, Gloria A.; Nagles, Edgar; Penagos-Llanos, Johisner; Segura, Rodrigo; Hurtado, John</t>
  </si>
  <si>
    <t>New Screen-Printed Carbon Electrodes Molecularly Modified with Methylphenidate Film for Electrochemical Determination of Dopamine by Linear Scan Voltammetry</t>
  </si>
  <si>
    <t>The development of new sensors for dopamine (DP) detection is crucial due to its role as one of the most important neurotransmitters for maintaining mental health. In this context, a novel and simple 2D screen-printed carbon electrode (SPCE) molecularly modified electrode with a methylphenidate film was developed. This electrode exhibited notable activity in DP oxidation at potential values below 0.3 V, achieving a 300% increase in anodic current compared to the unmodified SPCE in an acidic environment (pH 3.0) with phosphate buffer solution. Cyclic voltammetry and electrochemical impedance spectroscopy were used to characterize the electrode's electrochemical behavior. The electrode achieved a DP detection limit of 0.15 mu mol/L using linear scan voltammetry. Interference studies with ascorbic acid and uric acid confirmed the electrode's selectivity for DP detection. The sensor's effectiveness was validated using real human urine samples, demonstrating accurate and reliable performance.</t>
  </si>
  <si>
    <t>Segura, Rodrigo/J-6696-2016</t>
  </si>
  <si>
    <t>Segura, Rodrigo/0000-0001-5747-2357; , Johisner Penagos Llanos/0000-0003-0517-474X; Hurtado, John/0000-0002-0511-9719; Nagles Vidal, Edgar Orlando/0000-0002-2957-2817</t>
  </si>
  <si>
    <t>e12028</t>
  </si>
  <si>
    <t>10.1002/elan.12028</t>
  </si>
  <si>
    <t>WOS:001421409400001</t>
  </si>
  <si>
    <t>de Lima, RN; Ledesma, CET; Nóbrega, AB; Prado, H</t>
  </si>
  <si>
    <t>de Lima, Romildo N.; Ledesma, Cesar E. T.; Nobrega, Alannio B.; Prado, Humberto</t>
  </si>
  <si>
    <t>On dual cone theory for Euclidean Bosonic equations</t>
  </si>
  <si>
    <t>JOURNAL OF FIXED POINT THEORY AND APPLICATIONS</t>
  </si>
  <si>
    <t>In this paper we get the existence of nodal solutions and we will study some bifurcation properties for the following class of nonlo cal problems { -Delta e - y Delta u + u = g(x, u ) , in R N lim|x|-&gt;infinity u(x) = 0, where N &gt;= 3, c &gt; 0, g : R N x R -&gt; R is a C 1 -function, Delta is the euclidean Laplacian and the linear operator e - y Delta is defined by the Fourier transform on a certain Hilbert space. This class of problems arises as models in the mathematical physics literature.</t>
  </si>
  <si>
    <t>Nobrega, Alannio/G-7285-2019; Torres Ledesma, César/O-9036-2015</t>
  </si>
  <si>
    <t>1661-7738</t>
  </si>
  <si>
    <t>1661-7746</t>
  </si>
  <si>
    <t>10.1007/s11784-024-01146-3</t>
  </si>
  <si>
    <t>WOS:001347696400001</t>
  </si>
  <si>
    <t>Lauzurique, Y; Segura, S; Guerra, S; Carvajal, A; Huilinir, C; Poblete-Castro, I</t>
  </si>
  <si>
    <t>Lauzurique, Yeney; Segura, Sofia; Guerra, Silvana; Carvajal, Andrea; Huilinir, Cesar; Poblete-Castro, Ignacio</t>
  </si>
  <si>
    <t>Enhancing methane production using various forms of steel shavings and their effect on microbial consortia during anaerobic digestion of swine wastewater</t>
  </si>
  <si>
    <t>Addressing the increasing demand for renewable energy while efficiently treating large volumes of industrial wastewater is imperative for mitigating climate change. In this sense, the addition of various forms of iron to the anaerobic digestion process of industrial wastewaters has shown improvements in methane production to varying extents. A promising waste rich in iron is steel shavings (SS) from the steel industry. However, the effect of the SS form, whether as metal powder or Fe ions, and their concentration on methane production and microbial composition during the biodigestion of swine wastewater remains poorly understood. This study investigates batch biodigesters supplemented with either raw SS or SS dissolved in HCl (as iron ions) at various concentrations. Results indicate that adding 0.13 mM of Fe from raw SS and 0.01 mM of SS as Fe ions, methane production increased by 35 % (277 mL CH4 g VS- 1) compared to control systems, with SS as Fe ions resulting in a higher methane production rate. The addition of raw SS promotes syntrophic bacteria, including acetogenic Candidatus Cloacamonas (39.4 %) and Clostridium sensu stricto (11.7 %), Synthrophomonas (9.7 %), and acetoclastic archaea Methanosaeta (0.26 %). Conversely, Proteobacteria Advenella (45.7 %) was the most prominent in biodigesters enriched with SS as Fe ions. This study is the first to demonstrate that the form of SS significantly affects the relative abundance of microorganisms using SS. Additionally, it shows that minimal supplementation of raw SS (7.26 mg/L) is sufficient to significantly enhance methane production, unlike the use of other waste iron materials.</t>
  </si>
  <si>
    <t>Poblete-Castro, Ignacio/J-2755-2019; Huilinir, Cesar/IYS-6899-2023; Guevara, Andrea/G-1602-2011</t>
  </si>
  <si>
    <t>Poblete-Castro, Ignacio/0000-0001-6649-0389</t>
  </si>
  <si>
    <t>2213-2929</t>
  </si>
  <si>
    <t>10.1016/j.jece.2024.113764</t>
  </si>
  <si>
    <t>WOS:001297075100001</t>
  </si>
  <si>
    <t>Cabezas, R; González-Revuelta, D; Zurob, E; Olea, F; Quijada-Maldonado, E; Gorri, D</t>
  </si>
  <si>
    <t>Cabezas, R.; Gonzalez-Revuelta, D.; Zurob, E.; Olea, F.; Quijada-Maldonado, E.; Gorri, D.</t>
  </si>
  <si>
    <t>PEBAX polymer inclusion hydrophobic deep eutectic solvent membranes for pervaporation of biobutanol: Mass transfer and COSMO-RS analysis</t>
  </si>
  <si>
    <t>JOURNAL OF MOLECULAR LIQUIDS</t>
  </si>
  <si>
    <t>Deep Eutectic Solvent(DES) and specifically Hydrophobic Deep Eutectic Solvents (HDES) are considered a relatively novel class of solvents, which show good features to include them in pervaporation membranes. Polymer inclusion HDES membranes offer a separation media, which shows a faster molecular diffusion than polymeric membranes, combining the best properties of liquid and polymer membranes, such a high selectivity with high burst pressure and durability. The aim of this work focuses on the development of different PEBAX/ lidocaine-thymol [2:1] (Lidol HDES) membranes by the temperature-induced phase-inversion technique to be used in the pervaporation process to recover butanol from ABE model solution. The mass transfer modeling through the membrane using the resistances-in-series approach was implemented to find the mass transfer resistance distribution. The polymer inclusion membranes showed improved results for the butanol/water selectivity compared to the single PEBAX membrane used as a reference. The flux of butanol obtained with the 30 % w/w Lidol HDES membrane was 0.112 kg m(-2) hr(-1). The flux of water was 0.445 kg m(-2) hr(-1) showing a selectivity value for butanol/water of 20 % bigger than single PEBAX membrane. The improvement in the selectivity can be explained by the synergic effect of the HDES in the membrane. After use, the polymer inclusion membrane consistently demonstrated a stable performance in effectively separating butanol from the ABE solution. It was seen that the overall resistance decreases as the liquid flow rate increases; regarding the liquid side resistance, it becomes important at smaller flow rates and is almost negligible for turbulent regimen.</t>
  </si>
  <si>
    <t>Cabezas, Rene/HAR-6189-2022; Gorri, Daniel/D-9552-2012</t>
  </si>
  <si>
    <t>Quijada-Maldonado, Esteban/0000-0003-1411-4327; Cabezas, Rene/0000-0002-4162-3429; Gorri, Daniel/0000-0002-5403-1545; Zurob, Elsie/0000-0002-5396-5960</t>
  </si>
  <si>
    <t>0167-7322</t>
  </si>
  <si>
    <t>1873-3166</t>
  </si>
  <si>
    <t>10.1016/j.molliq.2023.123909</t>
  </si>
  <si>
    <t>WOS:001158011100001</t>
  </si>
  <si>
    <t>Espinoza-Contreras, N; Bayona-Roa, C; Castillo, E; Gándara, T; Moraga, NO</t>
  </si>
  <si>
    <t>Espinoza-Contreras, Nicolas; Bayona-Roa, Camilo; Castillo, Ernesto; Gandara, Tomas; Moraga, Nelson O.</t>
  </si>
  <si>
    <t>Hyperreduced-order modeling of thermally coupled flows</t>
  </si>
  <si>
    <t>APPLIED MATHEMATICAL MODELLING</t>
  </si>
  <si>
    <t>This article presents a full and reduced-order methodology based on the finite element method that allows the characterization of convective-dominant conjugate heat transfer flows. Reduced-order modeling (ROM) allows the description of several degrees of freedom problems, referred to as full-order modeling (FOM), through a reduced-order surrogate representation based on a Petrov-Galerkin projection onto a reduced subspace. The FOM and ROM problems are stabilized through the Variational Multi-Scale (VMS) method, which ensures stability in dominant convective problems and allows equal interpolation spaces for the pressure, velocity, and temperature. The proposed methodology is validated solving natural heat convection in a differentially heated square cavity, considering air as the working fluid and Rayleigh numbers in the interval 10(4) &lt;= Ra &lt;= 10(8). In this problem, the benefit of using a ROM approximation for the three unknown fields, i.e., velocity, pressure, and temperature, is compared against ROM approximation only in the velocity and pressure fields and a FOM type approximation for temperature. The benefit of using mesh-based hyperreduction and its computational performance and precision are also analyzed. Subsequently, the method simulates a conjugate heat transfer problem that includes natural heat convection, allowing the inclusion of different rheologies between the working fluids. The results verify the precision and speed up of the calculations by more than three hundred times with respect to the time necessary to solve a full-order formulation, emerging it as a great potential tool in the resolution of thermally coupled flows.</t>
  </si>
  <si>
    <t>; Castillo, Ernesto/D-1612-2015</t>
  </si>
  <si>
    <t>Gandara Imilqueo, Tomas A./0000-0002-7947-8570; Bayona Roa, Camilo/0000-0001-9508-1779; Castillo, Ernesto/0000-0001-7013-6008</t>
  </si>
  <si>
    <t>0307-904X</t>
  </si>
  <si>
    <t>1872-8480</t>
  </si>
  <si>
    <t>A</t>
  </si>
  <si>
    <t>10.1016/j.apm.2023.08.028</t>
  </si>
  <si>
    <t>WOS:001078967700001</t>
  </si>
  <si>
    <t>Candia, CP; Imbarack, E; Silva, CP; Olguín, CF; Jara, G; Fuentes, S; Zagal, JH; Agurto, N; Pavez, J</t>
  </si>
  <si>
    <t>Candia, Carolina P.; Imbarack, Elizabeth; Silva, Carlos P.; Olguin, Camila F.; Jara, Geraldine; Fuentes, Sandra; Zagal, Jose H.; Agurto, Nicolas; Pavez, Jorge</t>
  </si>
  <si>
    <t>Covalent modification of glassy carbon surface via radical-induced grafting from electrochemical oxidation of imine derivatives</t>
  </si>
  <si>
    <t>The selective surface modification and functionalization methods through organic or inorganic grafting are a permanent challenge for constructing custom-made molecular interfaces with high performance as part of electroactive surfaces. We report the novel use of imine derivatives as a source of radical species for modifying a glassy carbon (GC) surface using electrochemical grafting. Based on the above work related to imine compounds, we designed and synthesized two structural isomers, ferrocenyl-nitro imine derivatives. These electroactive ferrocenyl and nitro functional groups served as redox signaling. In order to identify which part of the imine derivatives was grafted on the GC surface, they were subjected to electrolysis at a constant potential to monitor changes in its imine fragment response. Electrochemical and spectroelectrochemical results suggested that just one of two synthesized isomers (15-C5H4-CH=N-C6H4-NO2)Fe(15-C5H5) produced a radical species by electrochemical oxidation of the imine with bond cleavage. After the electrolysis process, the cyclic voltammetry and spectroscopic studies showed that a covalent modification of GC surfaces took place via forming a new bond from a nitro-aryl species on the GC surface. Due to imine bond cleavage, the ferrocenyl scissioned fragment was lost far from the electrode surface.</t>
  </si>
  <si>
    <t>Silva, Carlos/IQS-5583-2023; zagal, jose/L-9648-2014; Fuentes, Sandra/LLL-2264-2024; PAVEZ, JORGE/K-6904-2014</t>
  </si>
  <si>
    <t>Agurto, Nicolas/0000-0002-8316-3555; Imbarack, Elizabeth/0000-0003-3501-9388; PAVEZ, JORGE/0000-0002-5100-6707; Silva, Carlos P./0000-0001-5344-042X</t>
  </si>
  <si>
    <t>1873-3859</t>
  </si>
  <si>
    <t>AUG 10</t>
  </si>
  <si>
    <t>10.1016/j.electacta.2023.142544</t>
  </si>
  <si>
    <t>MAY 2023</t>
  </si>
  <si>
    <t>WOS:000999154500001</t>
  </si>
  <si>
    <t>Almeida-Naranjo, CE; Guerrero, VH; Villamar-Ayala, CA</t>
  </si>
  <si>
    <t>Almeida-Naranjo, Cristina E.; Guerrero, Victor H.; Villamar-Ayala, Cristina Alejandra</t>
  </si>
  <si>
    <t>Emerging Contaminants and Their Removal from Aqueous Media Using Conventional/Non-Conventional Adsorbents: A Glance at the Relationship between Materials, Processes, and Technologies</t>
  </si>
  <si>
    <t>WATER</t>
  </si>
  <si>
    <t>Emerging contaminants (ECs) are causing negative effects on the environment and even on people, so their removal has become a priority worldwide. Adsorption and the associated technologies where this process occurs (filtration/biofiltration) have gained great interest, due to its low cost, easy operation, and effectiveness mainly in the removal (up to 100%) of lipophilic ECs (log K-ow &gt; 4). Activated carbon continues to be the most efficient material in the removal of ECs (&gt;850 mg/g). However, other conventional materials (activated carbon, clays, zeolites) and non-conventional materials (agro-industrial/forestry/industrial residues, nanomaterials, among others) have shown efficiencies greater than 90%. Adsorption depends on the physicochemical properties of the materials and ECs. Thus, physical/chemical/thermal modifications and nanomaterial synthesis are the most used procedures to improve adsorption capacity. A material with good adsorptive properties could be used efficiently in filtration/biofiltration technologies. Agro-industrial residues are promising alternatives to be used in these technologies, due to their high availability, low toxicity, and adsorption capacities (up to 350 mg/g). In filtration/biofiltration technologies, the material, in addition to acting as adsorbent, plays a fundamental role in operation and hydraulics. Therefore, selecting the appropriate material improves the efficiency/useful life of the filter/biofilter.</t>
  </si>
  <si>
    <t>Guerrero, Victor/AAP-1606-2021; Villamar, Cristina-Alejandra/AAB-4154-2019</t>
  </si>
  <si>
    <t>Almeida Naranjo, Cristina Elizabeth/0000-0002-1066-6661; Guerrero, Victor/0000-0002-5656-2606; Villamar, Cristina Alejandra/0000-0003-4654-0670</t>
  </si>
  <si>
    <t>2073-4441</t>
  </si>
  <si>
    <t>10.3390/w15081626</t>
  </si>
  <si>
    <t>WOS:000979586900001</t>
  </si>
  <si>
    <t>Valencia, J; Sanchez-Velasco, OA; Saavedra-Olavarria, J; Hermosilla-Ibanez, P; Perez, EG; Insuasty, D</t>
  </si>
  <si>
    <t>Valencia, Jhesua; Sanchez-Velasco, Oriel A.; Saavedra-Olavarria, Jorge; Hermosilla-Ibanez, Patricio; Perez, Edwin G.; Insuasty, Daniel</t>
  </si>
  <si>
    <t>N-Arylation of 3-Formylquinolin-2(1H)-ones Using Copper(II)-Catalyzed Chan-Lam Coupling</t>
  </si>
  <si>
    <t>3-formyl-2-quinolones have attracted the scientific community's attention because they are used as versatile building blocks in the synthesis of more complex compounds showing different and attractive biological activities. Using copper-catalyzed Chan-Lam coupling, we synthesized 32 new N-aryl-3-formyl-2-quinolone derivatives at 80 degrees C, in air and using inexpensive phenylboronic acids as arylating agents. 3-formyl-2-quinolones and substituted 3-formyl-2-quinolones can act as substrates, and among the products, the p-methyl derivative 9a was used as a substrate to obtain different derivatives such as alcohol, amine, nitrile, and chalcone.</t>
  </si>
  <si>
    <t>Perez, Edwin/KVY-5791-2024; Sanchez-Velasco, Oriel A/ITV-7977-2023; Hermosilla-Ibanez, Patricio/Y-7454-2018</t>
  </si>
  <si>
    <t>Perez, Edwin/0000-0002-3777-6297; sanchez, oriel/0000-0003-3460-6177; Saavedra-Olavarria, Jorge/0000-0002-2536-3065; Insuasty, Daniel/0000-0001-9662-9505; Hermosilla-Ibanez, Patricio/0000-0002-2272-9690</t>
  </si>
  <si>
    <t>10.3390/molecules27238345</t>
  </si>
  <si>
    <t>WOS:000897348200001</t>
  </si>
  <si>
    <t>Chan, C; Fernández-Ossandón, R</t>
  </si>
  <si>
    <t>Chan, Carol; Fernandez-Ossandon, Rosario</t>
  </si>
  <si>
    <t>'Companerismo': Care and Power in Affective Labor Relations</t>
  </si>
  <si>
    <t>CRITICAL SOCIOLOGY</t>
  </si>
  <si>
    <t>Many Chilean women employers desire domestic workers who are also 'partners' or 'someone to do life with'. Taking 'partnership' or 'companerismo' seriously, this paper draws on an affective labor framework and economic sociology to examine how care and power operate in affective and highly commodified labor relations between Chilean women employers and migrant Filipina domestic workers. We contextualize this discussion within historical relations of servitude in Chile and salient demands for more horizontal social and gender relations. We show that rather than reinforcing power or control, employers' emphases on affective aspects of the labor relation enable their willful ignorance of power hierarchies, through normalizing the racialized presence of the worker in the household. However, explicit talk about money exposes the material conditions of affect and care in this racialized affective relationship. This reveals the uneven distribution and production of both care and power in the household, and highlights the disruptive nature of care work as affective labor.</t>
  </si>
  <si>
    <t>Chan, Carol/JBS-1978-2023; Fernandez Ossandon, Rosario/GWQ-3876-2022</t>
  </si>
  <si>
    <t>Fernandez Ossandon, Rosario/0000-0003-3724-8678</t>
  </si>
  <si>
    <t>0896-9205</t>
  </si>
  <si>
    <t>1569-1632</t>
  </si>
  <si>
    <t>4-5</t>
  </si>
  <si>
    <t>10.1177/08969205221100268</t>
  </si>
  <si>
    <t>JUN 2022</t>
  </si>
  <si>
    <t>WOS:000808358400001</t>
  </si>
  <si>
    <t>Negrete-Vergara, C; Alvarez-Alcalde, D; Moya, SA; Paredes-García, V; Fuentes, S; Venegas-Yazigi, D</t>
  </si>
  <si>
    <t>Negrete-Vergara, Camila; Alvarez-Alcalde, Damian; Moya, Sergio A.; Paredes-Garcia, Veronica; Fuentes, Sandra; Venegas-Yazigi, Diego</t>
  </si>
  <si>
    <t>Selective Hydrogenation of Aromatic Nitro Compounds Using Unsupported Nickel Catalysts</t>
  </si>
  <si>
    <t>CHEMISTRYSELECT</t>
  </si>
  <si>
    <t>Hydrogenation of nitroarenes has attracted renewed attention since it was discovered that non-noble metal catalysts could selectively reduce nitroarenes with sensitive reducible groups. Here, we report the results of the chemoselective catalytic hydrogenation of nitroarenes with unsupported Ni NPs. Initial catalytic assessments showed high activity and selectivity, reaching conversions up to 99 % and 100 % selectivity towards the substituted anilines containing reducible groups such as halogens and nitrile. The recyclability test showed impressive stability of the catalyst up to the fifth run for the target product. Preliminary studies on the catalytic mechanism of the Ni NPs indicate that the nitrosobenzene might not participate as an intermediate in this reaction. Instead, a hydroxylamino adsorbed on the Ni surface is proposed. This work displays an accessible approach for synthesizing an active and selective catalyst for reducing nitroarenes in the presence of facile reducible substituents.</t>
  </si>
  <si>
    <t>Negrete, Camila/GQZ-2620-2022; Paredes-Garcia, Veronica/C-4415-2011; Fuentes, Sandra/LLL-2264-2024; Venegas-Yazigi, Diego/C-5022-2009</t>
  </si>
  <si>
    <t>Venegas-Yazigi, Diego/0000-0001-7816-2841; Alvarez Alcalde, Damian/0009-0005-7608-0689; Negrete Vergara, Camila/0000-0003-1488-9106</t>
  </si>
  <si>
    <t>2365-6549</t>
  </si>
  <si>
    <t>MAY 25</t>
  </si>
  <si>
    <t>e202200220</t>
  </si>
  <si>
    <t>10.1002/slct.202200220</t>
  </si>
  <si>
    <t>WOS:000797943200001</t>
  </si>
  <si>
    <t>Vera, J; Fuentealba, D; Lopez, M; Ponce, H; Zariquiey, R</t>
  </si>
  <si>
    <t>Vera, Javier; Fuentealba, Diego; Lopez, Mario; Ponce, Hector; Zariquiey, Roberto</t>
  </si>
  <si>
    <t>On the von Neumann entropy of language networks: Applications to cross-linguistic comparisons</t>
  </si>
  <si>
    <t>EPL</t>
  </si>
  <si>
    <t>Words are not isolated entities within a language. In this paper, we measure the number of choices transmitted in natural language by means of the von Neumann entropy of language networks. This quantity, introduced in Quantum Information accounts, provides a detailed characterization of network complexities. The simulations are based on a large parallel corpus of 362 languages across 55 linguistic families (focusing on the sub-sample of 85 languages from the Americas). With this, we constructed language networks as a simple way to describe word connectivity patterns for each language. We studied several aspects of the von Neumann entropy of language networks. First, we discovered large groups of languages with low average degree and high von Neumann entropy. The results suggested also that large von Neumann entropy is associated with word entropy (as a proxy for morphological complexity), and is inversely related to degree regularity. This means that there are pressures at play that keep a balance between word morphological complexity and patterns of connections between words. We suggested also a strong influence of functional words on low von Neumann entropy languages. Our approach is thus a simple network-based contribution to establish cross-linguistic language comparisons from textual data. Copyright (C) 2022 EPLA</t>
  </si>
  <si>
    <t>Fuentealba, Diego/AAM-8509-2020; Zariquiey, Roberto/LSL-9639-2024; Ponce, Hector/H-9545-2019</t>
  </si>
  <si>
    <t>Fuentealba, Diego/0000-0001-5284-0448; Zariquiey, Roberto/0000-0002-1421-1314; Lopez, Mario/0000-0003-0909-7702</t>
  </si>
  <si>
    <t>0295-5075</t>
  </si>
  <si>
    <t>1286-4854</t>
  </si>
  <si>
    <t>10.1209/0295-5075/ac39ee</t>
  </si>
  <si>
    <t>WOS:000773440900003</t>
  </si>
  <si>
    <t>Rivas-Astroza, M; Paredes, I; Guerrero, K; Mau, S; Quintero, J; Gentina, JC; Conejeros, R; Aroca, G</t>
  </si>
  <si>
    <t>Rivas-Astroza, Marcelo; Paredes, Ivan; Guerrero, Karlo; Mau, Silvia; Quintero, Julian; Gentina, Juan Carlos; Conejeros, Raul; Aroca, German</t>
  </si>
  <si>
    <t>Kinetic model of Clostridium beijerinckii's Acetone-Butanol-Ethanol fermentation considering metabolically diverse cell types</t>
  </si>
  <si>
    <t>JOURNAL OF BIOTECHNOLOGY</t>
  </si>
  <si>
    <t>Clostridium beijerinckii population branches into metabolically diverse cell types in batch cultures. Here, we present a new kinetic model of C. beijerinckii's Acetone-Butanol-Ethanol fermentation that considers three cell types: producers of acids (acidogenic), consumer of acids and producers of solvents (solventogenic), and spores cells. The model accurately recapitulates batch culture data. Also, the model estimates cell type-specific kinetic parameters, which can be helpful to improve the operation of the ABE fermentation and give a framework to study acidogenic and solventogenic metabolic pathways. To exemplify the latter, we used a constraint-based model to study how the ABE pathways are used among acidogenic and solventogenic cell types. We found that among both cell types, glycolytic production of ATP and consumption of NAD+ varies widely during the fermentation, with their maximum production/consumption rates happening when acidogenic and solventogenic growth rates were at their highest. However, acidogenic cells use the ABE pathway to contribute with an extra 12.5% of the total production of ATP, whereas solventogenic cell types use the ABE pathway to supply more than 75% of the demand for NAD+, alternating between the production of lactate and butyrate, being both coupled to the production of NAD+.</t>
  </si>
  <si>
    <t>Guerrero, Karlo/LZE-6955-2025; Quintero, Julian/KHY-7891-2024; Aroca, German/ABG-6714-2020; Gentina, Juan/A-2492-2011; Conejeros, Raul/ABG-5517-2020; Aroca, German/B-3798-2011</t>
  </si>
  <si>
    <t>Mau Inchaustegui, Silvia/0000-0002-9775-7442; Guerrero Munoz, Karlo Antonio/0000-0002-4849-536X; Rivas-Astroza, Marcelo/0000-0003-1809-3922; Aroca, German/0000-0003-1376-7940</t>
  </si>
  <si>
    <t>0168-1656</t>
  </si>
  <si>
    <t>1873-4863</t>
  </si>
  <si>
    <t>10.1016/j.jbiotec.2021.09.021</t>
  </si>
  <si>
    <t>OCT 2021</t>
  </si>
  <si>
    <t>WOS:000712543200001</t>
  </si>
  <si>
    <t>Ramírez, CP; Reyes, HO; Lillo, SG; Garcés, G</t>
  </si>
  <si>
    <t>Pena Ramirez, Camilo; Olmi Reyes, Hernan; Gutierrez Lillo, Sebastian; Garces, Gonzalo</t>
  </si>
  <si>
    <t>Design of a course in e-Learning mode under the Project-Based Learning methodology</t>
  </si>
  <si>
    <t>REVISTA EDUCACION EN INGENIERIA</t>
  </si>
  <si>
    <t>This article describes a project aimed at designing a course under the e-learning modality, applying the methodology called Project-Based Learning (PBL) and knowledge management techniques. It is a qualitative research of descriptive level, which analyzes six subjects equivalent to the Project Design and Evaluation course, operating in e-learning modality during the period of analysis 2020-2021, due to the health contingency of COVID-19. Recommendations are provided to improve the capacity of analysis of the teaching-learning process and the preparation of the course under the e-learning modality by the educator. As well as an appropriate rubric design sequence for the chosen strategy. A contribution is the use of the platform as a model of technological prospection, which could be transferred to transversal and integrative subjects with experiential learning strategy. Future works should deepen the role of the tutor in virtual learning modality, applying PBL, and also the use of hybrid architecture models of virtual learning systems, with systematic feedback processes.</t>
  </si>
  <si>
    <t>Peña-Ramírez, Camilo/AAD-3756-2021</t>
  </si>
  <si>
    <t>1900-8260</t>
  </si>
  <si>
    <t>AUG-FEB</t>
  </si>
  <si>
    <t>10.26507/rei.v16n31.1161</t>
  </si>
  <si>
    <t>WOS:000637332100004</t>
  </si>
  <si>
    <t>Tortolini, C; Tasca, F; Venneri, MA; Marchese, C; Antiochia, R</t>
  </si>
  <si>
    <t>Tortolini, Cristina; Tasca, Federico; Venneri, Mary Anna; Marchese, Cinzia; Antiochia, Riccarda</t>
  </si>
  <si>
    <t>Gold Nanoparticles/Carbon Nanotubes and Gold Nanoporous as Novel Electrochemical Platforms for L-Ascorbic Acid Detection: Comparative Performance and Application</t>
  </si>
  <si>
    <t>CHEMOSENSORS</t>
  </si>
  <si>
    <t>Herein, the effects of nanostructured modifications of a gold electrode surface in the development of electrochemical sensors for L-ascorbic acid detection have been investigated. In particular, a bare gold electrode has been modified by electrodeposition of gold single-walled carbon nanotubes (Au/SWCNTs) and by the formation of a highly nanoporous gold (h-nPG) film. The procedure has been realized by sweeping the potential between +0.8 V and 0 V vs. Ag/AgCl for 25 scans in a suspension containing 5 mg /mL of SWCNTs in 10 mM HAuCl4 and 2.5 M NH4Cl solution for Au/SWCNTs modified gold electrode. A similar procedure was applied for a h-nPG electrode in a 10 mM AuCl4 solution containing 2.5 M NH4Cl, followed by applying a fixed potential of -4 V vs. Ag/AgCl for 60 s. Cyclic voltammetry and electrochemical impedance spectroscopy were used to characterize the properties of the modified electrodes. The developed sensors showed strong electrocatalytic activity towards ascorbic acid oxidation with enhanced sensitivities of 1.7 x 10(-2) mu A mu M-1 cm(-2) and 2.5 x 10(-2) mu A mu M-1 cm(-2) for Au/SWCNTs and hnPG modified electrode, respectively, compared to bare gold electrode (1.0 x 10(-2) mu A mu M-1 cm(-2)). The detection limits were estimated to be 3.1 and 1.8 mu M, respectively. The h-nPG electrode was successfully used to determine ascorbic acid in human urine with no significant interference and with satisfactory recovery levels.</t>
  </si>
  <si>
    <t>Tasca, Federico/J-4134-2015; Marchese, Cinzia/J-1323-2018</t>
  </si>
  <si>
    <t>MARCHESE, CINZIA/0000-0002-9280-8917; Tasca, Federico/0000-0002-4111-4624; VENNERI, MARY ANNA/0000-0002-0687-8135; ANTIOCHIA, RICCARDA/0000-0001-8990-8506</t>
  </si>
  <si>
    <t>2227-9040</t>
  </si>
  <si>
    <t>10.3390/chemosensors9080229</t>
  </si>
  <si>
    <t>WOS:000688863600001</t>
  </si>
  <si>
    <t>Gallegos, CA; Grau, R; Mesquita, JG</t>
  </si>
  <si>
    <t>Gallegos, Claudio A.; Grau, Rogelio; Mesquita, Jaqueline G.</t>
  </si>
  <si>
    <t>Stability, asymptotic and exponential stability for various types of equations with discontinuous solutions via Lyapunov functionals</t>
  </si>
  <si>
    <t>In this paper, we are interested in investigating stability results for generalized ordinary differential equa-tions (generalized ODEs in short), and their applications to measure differential equations and dynamic equations on time scales. First, we establish stability, asymptotic and exponential stability for the triv-ial solution of generalized ODEs. Secondly, we use the well known correspondence between solutions of generalized ODEs and solutions of measure differential equations, obtaining analogues results for the last equations. Finally, we apply some of these results for dynamic equations on time scales. (c) 2021 Elsevier Inc. All rights reserved.</t>
  </si>
  <si>
    <t>Mesquita, Jaqueline/A-2356-2012</t>
  </si>
  <si>
    <t>Grau Acuna, Rogelio/0000-0002-4630-4101; Gallegos, Claudio A./0000-0002-6410-8470</t>
  </si>
  <si>
    <t>OCT 25</t>
  </si>
  <si>
    <t>10.1016/j.jde.2021.07.012</t>
  </si>
  <si>
    <t>JUL 2021</t>
  </si>
  <si>
    <t>WOS:000686058600009</t>
  </si>
  <si>
    <t>Roa, K; Oyarce, E; Boulett, A; Alsamman, M; Oyarzun, D; Pizarro, GDC; Sanchez, J</t>
  </si>
  <si>
    <t>Roa, Karina; Oyarce, Estefania; Boulett, Andres; Alsamman, Mohammad; Oyarzun, Diego; Pizarro, Guadalupe Del C.; Sanchez, Julio</t>
  </si>
  <si>
    <t>Lignocellulose-based materials and their application in the removal of dyes from water: A review</t>
  </si>
  <si>
    <t>SUSTAINABLE MATERIALS AND TECHNOLOGIES</t>
  </si>
  <si>
    <t>The search for new technologies and eco-sustainable materials for wastewater treatment has been increasing, and adsorption technology stands out because of its simple and low-cost process. This review discuss adsorbents based on lignocellulosic biomass (LB) because of their availability in nature, attractive chemical composition (lignin, cellulose and hemicellulose) and structural composition (various functional groups capable of capturing molecules of organic dyes in aqueous solution). LB allows for the elaboration of a diverse range of efficient, reusable, economical and environmentally friendly lignocellulosic materials (LM) that may present competitive dye adsorption abilities. In addition, this review also discuss the stabilization of metallic nanoparticles or metallic oxides in lignocellulosic matrices or their derivatives and their ability to degrade the organic dyes previously adsorbed in the material has attracted considerable scientific attention due to their simplicity, reusability, and high catalytic activity and because they do not generate byproducts that pollute the environment.</t>
  </si>
  <si>
    <t>Sanchez, Julio/AEO-4360-2022; PIZARRO, GUADALUPE/V-3353-2017; Oyarzun, Diego/MTF-4062-2025</t>
  </si>
  <si>
    <t>2214-9937</t>
  </si>
  <si>
    <t>e00320</t>
  </si>
  <si>
    <t>10.1016/j.susmat.2021.e00320</t>
  </si>
  <si>
    <t>WOS:000692534100006</t>
  </si>
  <si>
    <t>Osorio, M; Carvajal, M; Vergara, A; Butassi, E; Zacchino, S; Mascayano, C; Montoya, M; Mejías, S; Martín, MCS; Vásquez-Martínez, Y</t>
  </si>
  <si>
    <t>Osorio, Mauricio; Carvajal, Marcela; Vergara, Alejandra; Butassi, Estefania; Zacchino, Susana; Mascayano, Carolina; Montoya, Margarita; Mejias, Sophia; Martin, Marcelo Cortez-San; Vasquez-Martinez, Yesseny</t>
  </si>
  <si>
    <t>Prenylated Flavonoids with Potential Antimicrobial Activity: Synthesis, Biological Activity, and In Silico Study</t>
  </si>
  <si>
    <t>INTERNATIONAL JOURNAL OF MOLECULAR SCIENCES</t>
  </si>
  <si>
    <t>Prenylated flavonoids are an important class of naturally occurring flavonoids with important biological activity, but their low abundance in nature limits their application in medicines. Here, we showed the hemisynthesis and the determination of various biological activities of seven prenylated flavonoids, named 7-13, with an emphasis on antimicrobial ones. Compounds 9, 11, and 12 showed inhibitory activity against human pathogenic fungi. Compounds 11, 12 (flavanones) and 13 (isoflavone) were the most active against clinical isolated Staphylococcus aureus MRSA, showing that structural requirements as prenylation at position C-6 or C-8 and OH at positions C-5, 7, and 4 ' are key to the antibacterial activity. The combination of 11 or 12 with commercial antibiotics synergistically enhanced the antibacterial activity of vancomycin, ciprofloxacin, and methicillin in a factor of 10 to 100 times against drug-resistant bacteria. Compound 11 combined with ciprofloxacin was able to decrease the levels of ROS generated by ciprofloxacin. According to docking results of S enantiomer of 11 with ATP-binding cassette transporter showed the most favorable binding energy; however, more studies are needed to support this result.</t>
  </si>
  <si>
    <t>CARVAJAL, MARCELA/LXU-5350-2024; Butassi, Estefanía/GQY-6872-2022; Zacchino, Susana/JYO-4044-2024; mejias, sophia/ABD-3938-2020</t>
  </si>
  <si>
    <t>Montoya, Margarita/0000-0002-6268-1118; CARVAJAL, MARCELA/0000-0003-3500-5242; Mascayano Collado, Carolina Lorena/0000-0002-3488-9309; Osorio-Olivares, Mauricio/0000-0003-4391-1739</t>
  </si>
  <si>
    <t>1661-6596</t>
  </si>
  <si>
    <t>1422-0067</t>
  </si>
  <si>
    <t>10.3390/ijms22115472</t>
  </si>
  <si>
    <t>WOS:000660238900001</t>
  </si>
  <si>
    <t>Arcos-LeBert, G; Aravena-Hidalgo, T; Figueroa, JA; Jaksic, FM; Castro, SA</t>
  </si>
  <si>
    <t>Arcos-LeBert, Gabriela; Aravena-Hidalgo, Tamara; Figueroa, Javier A.; Jaksic, Fabian M.; Castro, Sergio A.</t>
  </si>
  <si>
    <t>Native trees provide more benefits than exotic trees when ecosystem services are weighted in Santiago, Chile</t>
  </si>
  <si>
    <t>TREES-STRUCTURE AND FUNCTION</t>
  </si>
  <si>
    <t>Urban forests are conformed by a variable representation of native and exotic species. Because these species differ in the morpho-functional traits that possess, they may have a differential participation in the provision of ecosystem services in cities. Here, we compare ecosystem services inferred from morpho-functional traits of native and exotic tree species present in Santiago, Chile. Five traits associated with ecosystem services valuation (V-i) were scored (1 versus 0), and compared between native and exotic tree species, weighting those ecosystem services according to multi-criteria decision analysis procedure (MCDA). We found that native and exotic species did not have significant differences in the ecosystem services provided to urban dwellers (F = 1.2; P &gt; 0.05); but these results were obtained when ecosystem services were not weighted according to their demand in Santiago. When weights were pondered, native species provided more ecosystem services than did exotic trees (F = 7.1; P &lt; 0.008). Complementarily, we also found that the ecosystem services ranked for native and exotic species did not correlate with their spatial distribution (occupancy, O-i). These results highlight the need to use criteria based on ecosystem services to tree planting in Santiago, prioritizing native species because, in comparison to exotic ones, they provide more ecosystem services demanded city dwellers.</t>
  </si>
  <si>
    <t>Jaksic, Fabian M./G-1705-2014</t>
  </si>
  <si>
    <t>Jaksic, Fabian M./0000-0003-0098-0291</t>
  </si>
  <si>
    <t>0931-1890</t>
  </si>
  <si>
    <t>1432-2285</t>
  </si>
  <si>
    <t>10.1007/s00468-021-02144-5</t>
  </si>
  <si>
    <t>MAY 2021</t>
  </si>
  <si>
    <t>WOS:000655941200002</t>
  </si>
  <si>
    <t>Peralta-Hernández, JM; Coso, EB; González, RS</t>
  </si>
  <si>
    <t>Manuel Peralta-Hernandez, Juan; Brillas Coso, Enric; Salazar Gonzalez, Ricardo</t>
  </si>
  <si>
    <t>Recent advances in the treatment of organic pollutants in synthetic and real wastewaters using photo-assisted electrochemical processes</t>
  </si>
  <si>
    <t>Salazar, Ricardo/L-7870-2013</t>
  </si>
  <si>
    <t>10.1016/j.chemosphere.2021.130581</t>
  </si>
  <si>
    <t>APR 2021</t>
  </si>
  <si>
    <t>WOS:000659971200097</t>
  </si>
  <si>
    <t>Alaniz, AJ; Carvajal, MA; Fierro, A; Vergara-Rodríguez, V; Toledo, G; Ansaldo, D; Moreira-Arce, D; Rojas-Osorio, A; Vergara, PM</t>
  </si>
  <si>
    <t>Alaniz, Alberto J.; Carvajal, Mario A.; Fierro, Andres; Vergara-Rodriguez, Valentina; Toledo, Gisela; Ansaldo, Diego; Moreira-Arce, Dario; Rojas-Osorio, Alejandro; Vergara, Pablo M.</t>
  </si>
  <si>
    <t>Remote-sensing estimates of forest structure and dynamics as indicators of habitat quality for Magellanic woodpeckers</t>
  </si>
  <si>
    <t>ECOLOGICAL INDICATORS</t>
  </si>
  <si>
    <t>Bridging remote-sensing ecosystem indices with biodiversity conservation implies converting these indices into habitat quality indicators for species playing an important role in communities and ecosystems, such as woodpeckers. However, an ecologically reliable estimation of habitat quality necessarily involves an assessment of fitness components ultimately responsible for population persistence. Here, we assessed the relationship between remote-sensing indices of forest structure, dynamics and composition with the breeding performance of Magellanic woodpeckers in conservation areas of southern Chile. We used a Bayesian-spatial model based on age and sex information from woodpecker?s social group data collected seasonally in seven years. The probability of a young remaining in the group decreased with the mean group size during the previous year, with group size fluctuating temporally in all conservation areas. Tree senescence had a positive effect on the pairing probability of woodpeckers, but this effect became more marked in sites of higher altitude. Paired woodpeckers were more likely to be observed in sites supporting more than 69% of forest cover. The probability of the young remaining in the territory was positively affected by the interaction between forest canopy continuity and altitude, with retention of the young being more likely in sites located higher than 1000 masl. Social groups were larger in sites where the continuity of canopy increased over time. Those findings suggest that remote sensing indices representing the structure and dynamics of forest ecosystems are important indicators of the habitat quality for woodpeckers. Thus, forest biodiversity that depends on the woodpecker?s engineering function may be conserved through the retention of senescent trees and the maintaining of critical levels of forest cover ensuring high habitat-quality for breeding woodpeckers.</t>
  </si>
  <si>
    <t>Carvajal, Mario/GYU-2659-2022; Vergara, Pablo/F-2519-2010; Alaniz, Alberto/J-3104-2019; Moreira-Arce, Dario/ABG-2898-2021</t>
  </si>
  <si>
    <t>Moreira Arce, Dario/0000-0002-1188-496X; Ansaldo Torres, Diego/0000-0001-5433-1647; Vergara, Pablo/0000-0002-0024-1678; Vergara Rodriguez, Valentina/0000-0002-4007-4333; Alaniz, Alberto J./0000-0003-4878-8848</t>
  </si>
  <si>
    <t>1470-160X</t>
  </si>
  <si>
    <t>1872-7034</t>
  </si>
  <si>
    <t>10.1016/j.ecolind.2021.107634</t>
  </si>
  <si>
    <t>MAR 2021</t>
  </si>
  <si>
    <t>WOS:000647802900002</t>
  </si>
  <si>
    <t>El Aiss, H; Barbosa, KA; El Hajjaji, A; Hmamed, A</t>
  </si>
  <si>
    <t>El Aiss, Hicham; Barbosa, Karina A.; El Hajjaji, Ahmed; Hmamed, Abdelaziz</t>
  </si>
  <si>
    <t>Admissibility Analysis of Descriptor Delay Systems: Transformation Model</t>
  </si>
  <si>
    <t>2021 60TH IEEE CONFERENCE ON DECISION AND CONTROL (CDC)</t>
  </si>
  <si>
    <t>IEEE Conference on Decision and Control</t>
  </si>
  <si>
    <t>60th IEEE Conference on Decision and Control (CDC)</t>
  </si>
  <si>
    <t>DEC 13-17, 2021</t>
  </si>
  <si>
    <t>IEEE,IEEE CSS</t>
  </si>
  <si>
    <t>This paper deals with the admissibility analysis of continuous-time descriptor systems with a constant delay. A transformation-based model is used to convert the original system into a delay-free system. As a result, new regularity and impulse-free characteristics, depending on a constant-delay, have been presented. Based on the generalized Lyapunov function, a necessary and sufficient condition has been presented to ensure that the delay-descriptor system is asymptotically stable. The obtained conditions are formulated as a set of linear matrix inequalities. Finally, an example is presented to test the merit and validity of the proposed method.</t>
  </si>
  <si>
    <t>El Aiss, Hicham/AAD-6510-2022; Barbosa, Karina/A-2236-2014; El Hajjaji, Ahmed/D-6459-2016</t>
  </si>
  <si>
    <t>EL AISS, hicham/0000-0003-1098-275X; El Hajjaji, Ahmed/0000-0002-7564-3620</t>
  </si>
  <si>
    <t>0743-1546</t>
  </si>
  <si>
    <t>2576-2370</t>
  </si>
  <si>
    <t>978-1-6654-3659-5</t>
  </si>
  <si>
    <t>10.1109/CDC45484.2021.9682819</t>
  </si>
  <si>
    <t>WOS:000781990304026</t>
  </si>
  <si>
    <t>Fernández-Verdejo, R; Suárez-Reyes, M</t>
  </si>
  <si>
    <t>Fernandez-Verdejo, Rodrigo; Suarez-Reyes, Monica</t>
  </si>
  <si>
    <t>Physical inactivity versus sedentariness: analysis of the chilean national health survey 2016-2017</t>
  </si>
  <si>
    <t>REVISTA MEDICA DE CHILE</t>
  </si>
  <si>
    <t>Background: Physical inactivity and sedentariness are independent risk factors for mortality. Physical inactivity is defined as engaging in insufficient moderate/vigorous physical activity (i.e. not meeting the WHO's recommendations). Sedentariness is defined according to sedentary behavior; evidence suggests that &gt; 8 h/d could serve to consider a person as sedentary. The Chilean National Health Survey 2016-2017 (NHS), using a single question (Question-NHS), considered as sedentary those who did not engage in sports or physical activity for &gt;= 30 min, &gt;= 3 times/wk. Thus, it attempted to estimate sedentariness without considering sedentary behavior. Aim: To determine the prevalence of physical inactivity and sedentariness in Chile, and to contrast such results with the Question-NHS. Material and Methods: We analyzed data from 5564 participants of the 2016-2017 NHS, aged &gt;= 18 years. The Global Physical Activity Questionnaire was used to determine moderate/vigorous physical activity and sedentary behavior. We defined physical inactivity as having &lt; 600 MET x min/wk of moderate/vigorous physical activity, and sedentariness as having &gt; 8 h/d of sedentary behavior. Results: The prevalences [95% confidence intervals] of physical inactivity and sedentariness were 32% [29-34] and 6% [5-7] respectively, while 3% [2-4] were both physically inactive and sedentary. The Question-NHS classified 88% [86-89] as sedentary, but among them, 35% were physically inactive and 6% were sedentary. Conclusions: One third of adults are inactive, one out of ten is sedentary, and one out of twenty is inactive and sedentary. The Question-NHS overestimates the population at risk.</t>
  </si>
  <si>
    <t>Fernández-Verdejo, Rodrigo/ITV-7233-2023; Suárez- Reyes, Mónica/GYE-3153-2022</t>
  </si>
  <si>
    <t>Fernandez-Verdejo, Rodrigo/0000-0002-5948-2281</t>
  </si>
  <si>
    <t>0034-9887</t>
  </si>
  <si>
    <t>0717-6163</t>
  </si>
  <si>
    <t>WOS:000652089600012</t>
  </si>
  <si>
    <t>Marifil, TP; Sepulveda, DC; Lorca, RT; Poblete-Aro, C; Cadagan, C; Castillo-Paredes, A</t>
  </si>
  <si>
    <t>Marifil, Thamara Palma; Sepulveda, Daniel Carroza; Lorca, Romina Torres; Poblete-Aro, Carlos; Cadagan, Cynthia; Castillo-Paredes, Antonio</t>
  </si>
  <si>
    <t>Changes in the symptoms of inattention, hyperactivity and impulsivity in children and adolescents with ADHD through Sports. A review</t>
  </si>
  <si>
    <t>RETOS-NUEVAS TENDENCIAS EN EDUCACION FISICA DEPORTE Y RECREACION</t>
  </si>
  <si>
    <t>Attention Deficit Disorder with Hyperactivity is a disorder associated with inattention, hyperactivity and impulsivity and can persist into adulthood, affecting social, academic and functional deterioration. Physical exercise has proven to be favorable for generating positive changes in the person suffering from any disease, thus improving their quality of life. However, sports games do not have a consensus as a therapeutic tool in this disorder. Objective:The objective of this research is to determine the effect of pre-sport games in children and adolescents between 5 and 18 years old with Attention Deficit Disorder with Hyperactivity on impulsivity, inattention, hyperactivity and self-control through a review of the literature. Methodology: A search was carried out in different databases PubMed, Scopus, WoS and Scielo (articles in English and Spanish) with the keywords ('Child' OR 'Adolescent') AND ('Sport') AND ('attention deficit disorder with hyperactivity OR' Attention deficit hyperactivity disorder'). Articles were included from 2010 to 2020 and it was carried out on December 10, 2020. Results: Out of a total of 392 articles found in the databases, only five articles met the inclusion and exclusion criteria, of which three articles show improvements in social behavior, two show improvements in aggressiveness, while in the variable of hyperactivity, one article showed significant improvements while another did not. Conclusion: Individual or group physical sports activities provide benefits to students who suffer from attention deficit hyperactivity disorder.</t>
  </si>
  <si>
    <t>Castillo-Paredes, Antonio/HLP-6825-2023; Poblete, Carlos/HOF-8260-2023</t>
  </si>
  <si>
    <t>Castillo Paredes, Antonio/0000-0002-7239-960X</t>
  </si>
  <si>
    <t>1579-1726</t>
  </si>
  <si>
    <t>1988-2041</t>
  </si>
  <si>
    <t>WOS:000621789400001</t>
  </si>
  <si>
    <t>Calvo, M; Gonzalez, LM; Madrid, R; Bennett, D</t>
  </si>
  <si>
    <t>Calvo, Margarita; Martin Gonzalez, Luis; Madrid, Rodolfo; Bennett, David</t>
  </si>
  <si>
    <t>Contribution of Kv1.6 channels to neuropathic pain modulation in vivo &amp; modulation of spontaneous activity on damaged sensory myelinated axons in vitro</t>
  </si>
  <si>
    <t>JOURNAL OF THE PERIPHERAL NERVOUS SYSTEM</t>
  </si>
  <si>
    <t>Virtual Conference of Peripheral-Nerve-Society</t>
  </si>
  <si>
    <t>Peripheral Nerve Soc</t>
  </si>
  <si>
    <t>Calvo, Margarita/AGE-6129-2022; Madrid, Rodolfo/MCJ-4974-2025</t>
  </si>
  <si>
    <t>1085-9489</t>
  </si>
  <si>
    <t>1529-8027</t>
  </si>
  <si>
    <t>WOS:000596008100171</t>
  </si>
  <si>
    <t>Pino-Rios, R; Vásquez-Espinal, A; Alvarez-Thon, L; Tiznado, W</t>
  </si>
  <si>
    <t>Pino-Rios, Ricardo; Vasquez-Espinal, Alejandro; Alvarez-Thon, Luis; Tiznado, William</t>
  </si>
  <si>
    <t>Relativistic effects on the aromaticity of E3M3H3 (E = C-Pb; M = N-Bi) benzene analogues</t>
  </si>
  <si>
    <t>The relativistic effects on the aromaticity of a set of benzene analogues, E3M3H3 (E = C-Pb; M = N-Bi) heterocycles, using magnetically induced current density (MICD) and the NICSzz component of the conventional nucleus independent chemical shift (NICS), is hereby examined. The relativistic effects were evaluated by means of four-component relativistic MICD, and two-component NMR relativistic shielding tensor methods. MICD and NICS were also computed in a non-relativistic fashion, to assess the influence of scalar-relativistic and spin-orbit effects. Most of the studied compounds exhibit a net diatropic ring current (aromatic), excluding the nitrogen-containing compounds which are non-aromatic (except for C3N3H3), in agreement with their higher E-N electronegativity difference. Only in the case of bismuth compounds, E3Bi3H3, aromaticity is substantially decreased when relativistic effects are included (mainly due to the spin-orbit contribution). The larger the mass of the system, the larger the magnitude of this change, in line with the expected relativistic effects for heavier elements. The analysis based on the NICSzz computations agrees with that of the MICD, thus supporting both the magnetic behavior and the aromatic character of these compounds.</t>
  </si>
  <si>
    <t>; Vasquez-Espinal, Alejandro/X-7300-2019; Tiznado, William/G-7479-2014</t>
  </si>
  <si>
    <t>Alvarez-Thon, Luis/0000-0001-6347-1342; Vasquez-Espinal, Alejandro/0000-0003-3501-7905; Pino Rios, Ricardo/0000-0003-4756-1115; Tiznado, William/0000-0002-6061-8879</t>
  </si>
  <si>
    <t>OCT 28</t>
  </si>
  <si>
    <t>10.1039/d0cp04446f</t>
  </si>
  <si>
    <t>WOS:000581596800013</t>
  </si>
  <si>
    <t>Villalba, ML; Mazzucco, MB; Lopes, CA; Ganga, MA; Sangorrín, MP</t>
  </si>
  <si>
    <t>Leticia Villalba, Maria; Belen Mazzucco, Maria; Ariel Lopes, Christian; Angelica Ganga, Maria; Paula Sangorrin, Marcela</t>
  </si>
  <si>
    <t>Purification and characterization of Saccharomyces eubayanus killer toxin: Biocontrol effectiveness against wine spoilage yeasts</t>
  </si>
  <si>
    <t>Microbiological contamination by spoilage yeasts species are frequent during winemaking, and biological control using antagonistic yeasts is considered a more beneficial alternative to conventional synthetic antimicrobials. Saccharomyces eubayanus killer toxin (SeKT) was produced and purified in a synthetic optimized medium. Purification procedure allowed the identification of SeKT as protein with an apparent molecular mass of 70 kDa and activity at physicochemical conditions suitable for winemaking process. Purified SeKT reduced the levels of volatile phenols produced by the spoilage yeasts Brettanomyces bruxellensis, Pichia membranifaciens, Meyerozyma guilliermondii and Pichia manshurica in wine-like medium. The putative mode of action of SeKT on sensitive yeast strains comprises cell wall disruption through beta-glucanase and chitinase activities as well as necrotic and apoptotic death in a toxin dose dependent manner. Thus, SeKT appears to be a promising biocontrol agent against spoilage yeasts during wine aging and storing.</t>
  </si>
  <si>
    <t>Ganga, Maria/S-8176-2019</t>
  </si>
  <si>
    <t>Ganga, Maria Angelica/0000-0001-5921-7448; Mazzucco, Maria Belen/0000-0002-4927-9036</t>
  </si>
  <si>
    <t>10.1016/j.ijfoodmicro.2020.108714</t>
  </si>
  <si>
    <t>WOS:000566409900017</t>
  </si>
  <si>
    <t>Canales, J; Cruz, P; Díaz, N; Riquelme, D; Leiva-Salcedo, E; Cerda, O</t>
  </si>
  <si>
    <t>Canales, Jimena; Cruz, Pablo; Diaz, Nicolas; Riquelme, Denise; Leiva-Salcedo, Elias; Cerda, Oscar</t>
  </si>
  <si>
    <t>K+ Channel Tetramerization Domain 5 (KCTD5) Protein Regulates Cell Migration, Focal Adhesion Dynamics and Spreading through Modulation of Ca2+ Signaling and Rac1 Activity</t>
  </si>
  <si>
    <t>CELLS</t>
  </si>
  <si>
    <t>Cell migration is critical for several physiological and pathophysiological processes. It depends on the coordinated action of kinases, phosphatases, Rho-GTPases proteins, and Ca2+ signaling. Interestingly, ubiquitination events have emerged as regulatory elements of migration. Thus, the role of proteins involved in ubiquitination processes could be relevant to a complete understanding of pro-migratory mechanisms. KCTD5 is a member of Potassium Channel Tetramerization Domain (KCTD) proteins that have been proposed as a putative adaptor for Cullin3-E3 ubiquitin ligase and a novel regulatory protein of TRPM4 channels. Here, we study whether KCTD5 participates in cell migration-associated mechanisms, such as focal adhesion dynamics and cellular spreading. Our results show that KCTD5 CRISPR/Cas9- and shRNA-based depletion in B16-F10 cells promoted an increase in cell migration and cell spreading, and a decrease in the focal adhesion area, consistent with an increased focal adhesion disassembly rate. The expression of a dominant-negative mutant of Rho-GTPases Rac1 precluded the KCTD5 depletion-induced increase in cell spreading. Additionally, KCTD5 silencing decreased the serum-induced Ca2+ response, and the reversion of this with ionomycin abolished the KCTD5 knockdown-induced decrease in focal adhesion size. Together, these data suggest that KCTD5 acts as a regulator of cell migration by modulating cell spreading and focal adhesion dynamics through Rac1 activity and Ca2+ signaling, respectively.</t>
  </si>
  <si>
    <t>Cruz, Pablo/S-9452-2017; Cerda, Oscar/N-3895-2018</t>
  </si>
  <si>
    <t>Cruz, Pablo/0000-0002-1389-2162</t>
  </si>
  <si>
    <t>2073-4409</t>
  </si>
  <si>
    <t>10.3390/cells9102273</t>
  </si>
  <si>
    <t>WOS:000584235200001</t>
  </si>
  <si>
    <t>Pizarro, J; Flores, E; Jimenez, V; Maldonado, T; Saitz, C; Vega, A; Godoy, F; Segura, R</t>
  </si>
  <si>
    <t>Pizarro, Jaime; Flores, Erick; Jimenez, Victor; Maldonado, Tamara; Saitz, Claudio; Vega, Andres; Godoy, Fernando; Segura, Rodrigo</t>
  </si>
  <si>
    <t>Synthesis and characterization of the first cyrhetrenyl-appended calix[4] arene macrocycle and its application as an electrochemical sensor for the determination of Cu(II) in bivalve mollusks using square wave anodic stripping voltammetry</t>
  </si>
  <si>
    <t>SENSORS AND ACTUATORS B-CHEMICAL</t>
  </si>
  <si>
    <t>An electrochemical sensor for the determination of Cu(II) in bivalve mollusks using a glassy carbon electrode modified with p-tert-butylcalix [4]arene-bis-cyrhetrenylimine (Cy-2(Calix [4])) by square wave anodic stripping voltammetry (SWASV) has been developed. The organometallic compound was synthesized from cyrhetrene-carboxaldehyde and 25,26-bis-(2-aminoethoxy)-26,28-dihydrocalix [4] arene through a condensation reaction. Metalloligand (Cy-2(Calix [4])) was characterized by FT-IR and H-1-C-13 2D NMR spectroscopies and monocrystal X-ray diffraction and was obtained as a single isolated isomer (E). The optimum chemical and electrochemical conditions for the modified electrode were optimized and the methodology was applied in different samples of bivalve mollusks with satisfactory results. A cooperative effect between the organometallic fragment and the calixarene macrocycle improves the preconcentration capacity of the electrochemical sensor, creating a new opportunity to perform rapid and sensitive analyses in the detection of copper in marine resources.</t>
  </si>
  <si>
    <t>Vega, Andres/B-2122-2010; Flores, Erick/GPK-2155-2022; Segura, Rodrigo/J-6696-2016</t>
  </si>
  <si>
    <t>Godoy, Fernando/0000-0002-3916-4753; Vega, Andres/0000-0001-6501-4161; Segura, Rodrigo/0000-0001-5747-2357; Maldonado Hernandez, Tamara/0000-0002-3863-3001; Flores, Dr. Erick/0000-0002-2573-6650; Jimenez-Arevalo, Victor Manuel/0000-0001-8099-4022</t>
  </si>
  <si>
    <t>0925-4005</t>
  </si>
  <si>
    <t>10.1016/j.snb.2018.09.099</t>
  </si>
  <si>
    <t>WOS:000455021500015</t>
  </si>
  <si>
    <t>Campos, C; Vasco, D; Angulo, C; Burdiles, PA; Cardemil, J; Palza, H</t>
  </si>
  <si>
    <t>Campos, Carlos; Vasco, Diego; Angulo, Carolina; Burdiles, Patricio A.; Cardemil, Jose; Palza, Humberto</t>
  </si>
  <si>
    <t>About the relevance of particle shape and graphene oxide on the behavior of direct absorption solar collectors using metal based nanofluids under different radiation intensities</t>
  </si>
  <si>
    <t>ENERGY CONVERSION AND MANAGEMENT</t>
  </si>
  <si>
    <t>Nanofluids based on spherical gold, silver, and copper nanoparticles, nonspherical silver nanoparticles, layered graphene oxides (GO), and GO/silver hybrid structures, were synthesized to analyze their effect on the thermal behavior of direct absorption solar collectors. The thermal conductivities at room temperature of all the nanofluids were similar, with values 4% higher than pure water, meaning up to three orders of magnitude differences compared to the values expected from the Maxwell model. Photothermal conversion experiments under simulated solar radiation with 1 Sun (= 1 kW/m(2)) of intensity showed that all the spherical metal nanofluids presented up to 5 K higher temperatures and 35% increase of the efficiencies than pure water after 3000 s of irradiation. A much larger effect was seen with nonspherical silver and GO/silver hybrid particles, as these nanofluids presented around 20% higher efficiencies than pure spherical silver nanofluids. The large effect of silver morphology and the addition of GO led to further tests of these nanofluids under natural solar radiation using a parabolic dish mirror with a concentration ratio of 60. Under this high radiation, nanofluids showed up to 50 K higher temperatures and 100% increase in the efficiencies than pure water. Indeed, a boiling process after just 200 s was seen in nanofluids, while in pure water this phase change did not occur. Non-spherical silver nanofluids and GO/silver hybrid structures produced steam faster than spherical silver nanofluids. Our results confirm the relevance of the nanoparticles on the thermal conversion of nanofluids, with nonspherical silver nanofluids and GO/silver hybrid nanofluids presenting the best behaviors under low and high solar radiation.</t>
  </si>
  <si>
    <t>Vasco, Diego/Y-2934-2019; Angulo-Pineda, Carolina/AAT-2580-2020; Palza, Humberto/H-2782-2014; Cardemil, Jose M./K-4375-2013</t>
  </si>
  <si>
    <t>Angulo-Pineda, Carolina/0000-0002-6760-5659; Palza, Humberto/0000-0001-5246-6791; Vasco, Diego Andres/0000-0001-7456-4683; Cardemil, Jose M./0000-0002-9022-8150; Burdiles, Patricio Alfonso/0000-0001-8571-9732</t>
  </si>
  <si>
    <t>0196-8904</t>
  </si>
  <si>
    <t>1879-2227</t>
  </si>
  <si>
    <t>10.1016/j.enconman.2018.12.007</t>
  </si>
  <si>
    <t>WOS:000458221800021</t>
  </si>
  <si>
    <t>Verdugo, D; Rojas, F; Lillo, J; Diaz, M; Pereda, J; Gatica, G</t>
  </si>
  <si>
    <t>Verdugo, Diego; Rojas, Felix; Lillo, Jonathan; Diaz, Matias; Pereda, Javier; Gatica, Gustavo</t>
  </si>
  <si>
    <t>Phase-shifted Pulse Width Modulation with alternate zeros voltage for parallel connection of H-Bridges for High-Current Low-Voltage applications</t>
  </si>
  <si>
    <t>Phase-Shifted Modulation (PSM) applied to multilevel converters is an effective method for reducing the output THD. In this paper, a new unipolar PSM method is proposed to control internal circulating current of a high-current low-voltage power converter, composed of parallel connected H-Bridges. The proposed method reduces the H-bridge currents distortions and the power losses of the overall converter. Simulation results comparing the standard unipolar modulation with the proposed unipolar modulation technique are performed to demonstrate its effectiveness.</t>
  </si>
  <si>
    <t>Rojas, Felix/U-3305-2019; Diaz, Matias/R-7570-2018; Pereda Torres, Javier/F-8244-2013</t>
  </si>
  <si>
    <t>Diaz, Matias/0000-0003-4489-9532; Pereda Torres, Javier/0000-0002-3407-5233; Rojas, Felix/0000-0001-6145-2826</t>
  </si>
  <si>
    <t>WOS:000522050601156</t>
  </si>
  <si>
    <t>Santagapita, PR; Matiacevich, SB; Buera, MD</t>
  </si>
  <si>
    <t>Santagapita, Patricio R.; Matiacevich, Silvia B.; del Pilar Buera, Maria</t>
  </si>
  <si>
    <t>Non-enzymatic browning kinetics in sucrose-glycine aqueous and dehydrated model systems in presence of MgCl2</t>
  </si>
  <si>
    <t>FOOD RESEARCH INTERNATIONAL</t>
  </si>
  <si>
    <t>The development of non-enzymatic browning in the presence of MgCl2 was evaluated in liquid and dehydrated sucrose-glycine model systems, in relation to interactions of the salt with water and/or with sucrose. In both systems, browning was accelerated by the presence of MgCl2 because of the increased sugar hydrolysis (ten times faster) and the reduction of water mobility (H-1 NMR T-2 relaxation times) caused by this salt (between 6 and 14% lower), counteracting the inhibitory effect of water on the Maillard reaction. MgCl2 also provoked a 40% reduction on the fluorophores quantum yield, responsible also of the fluctuations observed in the fluorescence development as a function of time after 50 h at 70 degrees C. Molecular and supramolecular effects of the presence of MgCl2 have been observed on the Maillard reaction kinetics. These results are of high technological interest when strategies to control the Maillard reaction rate are required for a particular application.</t>
  </si>
  <si>
    <t>Santagapita, Patricio/HPH-3800-2023; Buera, Pilar/AAZ-7866-2020</t>
  </si>
  <si>
    <t>Buera, Pilar/0000-0001-9290-7299; Santagapita, Patricio/0000-0003-1898-2199</t>
  </si>
  <si>
    <t>0963-9969</t>
  </si>
  <si>
    <t>1873-7145</t>
  </si>
  <si>
    <t>10.1016/j.foodres.2018.07.049</t>
  </si>
  <si>
    <t>WOS:000450134400012</t>
  </si>
  <si>
    <t>Alvarado Barrios, G; Peña, FJ; Albarrán-Arriagada, F; Vargas, P; Retamal, JC</t>
  </si>
  <si>
    <t>Alvarado Barrios, Gabriel; Pena, Francisco J.; Albarran-Arriagada, Francisco; Vargas, Patricio; Carlos Retamal, Juan</t>
  </si>
  <si>
    <t>Quantum Mechanical Engine for the Quantum Rabi Model</t>
  </si>
  <si>
    <t>ENTROPY</t>
  </si>
  <si>
    <t>We consider a purely mechanical quantum cycle comprised of adiabatic and isoenergetic processes. In the latter, the system interacts with an energy bath keeping constant the expectation value of the Hamiltonian. In this work, we study the performance of the quantum cycle for a system described by the quantum Rabi model for the case of controlling the coupling strength parameter, the resonator frequency, and the two-level system frequency. For the cases of controlling either the coupling strength parameter or the resonator frequency, we find that it is possible to closely approach to maximal unit efficiency when the parameter is sufficiently increased in the first adiabatic stage. In addition, for the first two cases the maximal work extracted is obtained at parameter values corresponding to high efficiency, which constitutes an improvement over current proposals of this cycle.</t>
  </si>
  <si>
    <t>Alvarado, Gabriel/GLS-6513-2022; Vargas, Patricio/AAL-2633-2020; Retamal, Juan/G-6425-2010</t>
  </si>
  <si>
    <t>Albarran-Arriagada, Francisco/0000-0001-8899-3673; /0000-0002-8684-4209; Retamal Abarzua, Juan Carlos/0000-0002-7174-7879</t>
  </si>
  <si>
    <t>1099-4300</t>
  </si>
  <si>
    <t>10.3390/e20100767</t>
  </si>
  <si>
    <t>WOS:000448545700048</t>
  </si>
  <si>
    <t>Sandoval-Yañez, C; Mascayano, C; Martínez-Araya, JI</t>
  </si>
  <si>
    <t>Sandoval-Yanez, Claudia; Mascayano, Carolina; Martinez-Araya, Jorge I.</t>
  </si>
  <si>
    <t>A theoretical assessment of antioxidant capacity of flavonoids by means of local hyper-softness</t>
  </si>
  <si>
    <t>ARABIAN JOURNAL OF CHEMISTRY</t>
  </si>
  <si>
    <t>A theoretical reactivity descriptor to estimate local reactivity on molecules was tested to assess the antioxidant capability of some flavonoids. It was validated by comparison with experimental precedents published already by Firuzi et al. (2005). The aforementioned reactivity index is called local hyper-softness (LHS). This parameter was applied on HO-substituent groups on the same set of flavonoids within each subclassification: flavones (apigenin and baicalein), flavonols (fisetin, galangin, 3-OH flavone, kaempferol, myricetin, and quercetin), flavanones (hesperetin, naringenin, taxifolin) and isoflavones (daidzein and genistein). Experimental values of both techniques, ferric reducing antioxidant power (FRAP) and anodic oxidation potential (E-ap) were retrieved from Firuzi et al. (2005) with the purpose of validating the calculated LHS values. Excepting myricetin, the LHS values of all these compounds matched in a similar order relationship experimentally obtained by means of Eap and FRAP from Firuzi et al. (2005). Our results revealed that LHS is a suitable theoretical parameter to get an insight concerning to the antioxidant capacity of these compounds, in particular, LHS allows explaining experimentally obtained values of FRAP along with E-ap values in terms of reactivity of HO-substituent groups belonging these molecules theoretically computed without including experimental parametes. (C) 2017 The Authors. Production and hosting by Elsevier B.V. on behalf of King Saud University. This is an open access article under theCCBY-NC-NDlicense (http://creativecommons.org/licenses/by-nc-nd/4.0/).</t>
  </si>
  <si>
    <t>sandoval, claudia/AAT-1665-2020; Martínez-Araya, Jorge/GMW-4102-2022; Martinez-Araya, Jorge Ignacio/F-3294-2016</t>
  </si>
  <si>
    <t>Sandoval, Claudia/0000-0002-9498-4156; Mascayano Collado, Carolina Lorena/0000-0002-3488-9309; Martinez-Araya, Jorge Ignacio/0000-0002-2769-7640</t>
  </si>
  <si>
    <t>1878-5352</t>
  </si>
  <si>
    <t>1878-5379</t>
  </si>
  <si>
    <t>10.1016/j.arabjc.2017.10.011</t>
  </si>
  <si>
    <t>WOS:000438122800011</t>
  </si>
  <si>
    <t>Dorta, E; Fuentes-Lemus, E; Speisky, H; Lissi, E; López-Alarcón, C</t>
  </si>
  <si>
    <t>Apak, R; Capanoglu, E; Shahidi, F</t>
  </si>
  <si>
    <t>Dorta, Eva; Fuentes-Lemus, Eduardo; Speisky, Hernan; Lissi, Eduardo; Lopez-Alarcon, Camilo</t>
  </si>
  <si>
    <t>Evaluation of the antioxidant capacity of food samples: a chemical examination of the oxygen radical absorbance capacity assay</t>
  </si>
  <si>
    <t>MEASUREMENT OF ANTIOXIDANT ACTIVITY &amp; CAPACITY: RECENT TRENDS AND APPLICATIONS</t>
  </si>
  <si>
    <t>Functional Foods Science and Technology</t>
  </si>
  <si>
    <t>Lopez, Camilo/J-5770-2013; Pérez, Dorta/T-7820-2019; Fuentes Lemus, Eduardo/X-4292-2019</t>
  </si>
  <si>
    <t>978-1-119-13535-7</t>
  </si>
  <si>
    <t>10.1002/9781119135388</t>
  </si>
  <si>
    <t>WOS:000431990300003</t>
  </si>
  <si>
    <t>Navia, P; Osorio, R</t>
  </si>
  <si>
    <t>Navia, Patricio; Osorio, Rodrigo</t>
  </si>
  <si>
    <t>Make the Economy Scream'? Economic, Ideological and Social Determinants of Support for Salvador Allende in Chile, 1970-3</t>
  </si>
  <si>
    <t>JOURNAL OF LATIN AMERICAN STUDIES</t>
  </si>
  <si>
    <t>With polling and municipal level data, we analyse the determinants of Salvador Allende's presidential election victory in 1970 and the change in political and electoral support for his government (1970-3). Support for Allende is explained by ideology more than by social class, socio-demographic variables or the economic performance of the country. Allende won in 1970 as an opposition candidate when the outgoing Frei administration enjoyed high approval and the country was experiencing favourable economic conditions. In 1973, when Allende had 49.7% approval, ideology remained the strongest determinant of presidential approval. Economic variables and social class are less important in explaining electoral support for Allende and for his Popular Unity coalition.</t>
  </si>
  <si>
    <t>; Navia, Patricio/B-1052-2009</t>
  </si>
  <si>
    <t>Osorio, Rodrigo/0000-0002-7365-5054; Navia, Patricio/0000-0001-9398-8393</t>
  </si>
  <si>
    <t>0022-216X</t>
  </si>
  <si>
    <t>1469-767X</t>
  </si>
  <si>
    <t>10.1017/S0022216X17000037</t>
  </si>
  <si>
    <t>WOS:000413167000003</t>
  </si>
  <si>
    <t>Castillo, E; Codina, R</t>
  </si>
  <si>
    <t>Castillo, Ernesto; Codina, Ramon</t>
  </si>
  <si>
    <t>NUMERICAL ANALYSIS OF A STABILIZED FINITE ELEMENT APPROXIMATION FOR THE THREE-FIELD LINEARIZED VISCOELASTIC FLUID PROBLEM USING ARBITRARY INTERPOLATIONS</t>
  </si>
  <si>
    <t>ESAIM-MATHEMATICAL MODELLING AND NUMERICAL ANALYSIS-MODELISATION MATHEMATIQUE ET ANALYSE NUMERIQUE</t>
  </si>
  <si>
    <t>In this paper we present the numerical analysis of a three-field stabilized finite element formulation recently proposed to approximate viscoelastic flows. The three-field viscoelastic fluid flow problem may suffer from two types of numerical instabilities: on the one hand we have the two inf-sup conditions related to the mixed nature problem and, on the other, the convective nature of the momentum and constitutive equations may produce global and local oscillations in the numerical approximation. Both can be overcome by resorting from the standard Galerkin method to a stabilized formulation. The one presented here is based on the subgrid scale concept, in which unresolvable scales of the continuous solution are approximately accounted for. In particular, the approach developed herein is based on the decomposition into their finite element component and a subscale, which is approximated properly to yield a stable formulation. The analyzed problem corresponds to a linearized version of the Navier-Stokes/Oldroyd-B case where the advection velocity of the momentum equation and the non-linear terms in the constitutive equation are treated using a fixed point strategy for the velocity and the velocity gradient. The proposed method permits the resolution of the problem using arbitrary interpolations for all the unknowns. We describe some important ingredients related to the design of the formulation and present the results of its numerical analysis. It is shown that the formulation is stable and optimally convergent for small Weissenberg numbers, independently of the interpolation used.</t>
  </si>
  <si>
    <t>Codina, Ramon/I-2311-2014; Castillo, Ernesto/D-1612-2015</t>
  </si>
  <si>
    <t>Codina, Ramon/0000-0002-7412-778X; Castillo, Ernesto/0000-0001-7013-6008</t>
  </si>
  <si>
    <t>0764-583X</t>
  </si>
  <si>
    <t>1290-3841</t>
  </si>
  <si>
    <t>JUL-AUG</t>
  </si>
  <si>
    <t>10.1051/m2an/2016068</t>
  </si>
  <si>
    <t>WOS:000410567200012</t>
  </si>
  <si>
    <t>Paucar, MAV; Vásquez, AED; Mayaute, LME; Acuña, WT</t>
  </si>
  <si>
    <t>Villalta Paucar, Marco Antonio; Delgado Vasquez, Ana Esther; Escurra Mayaute, Luis Miguel; Torres Acuna, William</t>
  </si>
  <si>
    <t>Resilience and Academic Performance of Lima and Santiago de Chile Adolescents from Vulnerable Social Level</t>
  </si>
  <si>
    <t>The aim of the study is to propose measuring instruments resilience related to school performance valid for adolescents from vulnerable social groups in urban areas of two South American countries. The research method is based on analysis of the statistical results of the items and dimensions of the resilience of the SV-RES Scale in 764 adolescents from vulnerable urban areas of Lima, Peru and 1,145 from Santiago de Chile with high and low academic performance of sectors with social vulnerability. Exploratory Factor Analysis (AFE), convergent and discriminant validity analysis was performed. The results suggest new different dimensions of resilience linked to academic performance on adolescents of Lima and Santiago de Chile.</t>
  </si>
  <si>
    <t>Villalta, Marco/B-9555-2012; Vásquez, Ana/AAA-8548-2021; Mayaute, Luis/AAA-8549-2021</t>
  </si>
  <si>
    <t>10.11144/Javeriana.upsy16-4.rrea</t>
  </si>
  <si>
    <t>WOS:000422765000008</t>
  </si>
  <si>
    <t>Monsalve,, A; Guzmán, A; De Barbieri, F; Artigas, A; Carvajal, L; Bustos, O; Garza-Montes-De Oca, NF; Colás, R</t>
  </si>
  <si>
    <t>Monsalve, Alberto; Guzman, Alexis; De Barbieri, Flavio; Artigas, Alfredo; Carvajal, Linton; Bustos, Oscar; Garza-Montes-De Oca, Nelson F.; Colas, Rafael</t>
  </si>
  <si>
    <t>Mechanical and Microstructural Characterization of an Aluminum Bearing Trip Steel</t>
  </si>
  <si>
    <t>METALLURGICAL AND MATERIALS TRANSACTIONS A-PHYSICAL METALLURGY AND MATERIALS SCIENCE</t>
  </si>
  <si>
    <t>The mechanical properties and microstructural characteristics of a steel able to sustain the TRIP-effect were studied. The material was prepared by taking in mind the partial substitution of silicon by aluminum following a processing route that included hot forging, hot and cold rolling, intercritical annealing, and a final bainitic isothermal treatment. The mechanical properties that were obtained resulted to be above those of commercial a 780 TRIP steel. The TRIP phenomenon was confirmed by the change in retained austenite before and after deforming the steel; X-ray diffraction was used to evaluate the volume content of retained austenite. Formability of the steel under study can be rationalized in terms of the texture developed in the material.</t>
  </si>
  <si>
    <t>Artigas, Alfredo/Y-1185-2019; De Barbieri, Flavio/AGQ-8546-2022</t>
  </si>
  <si>
    <t>De Barbieri, Flavio/0000-0001-6088-1901; Monsalve, Alberto/0000-0002-5772-8815; Carvajal Ortega, Linton Patricio/0000-0002-5414-2755; Colas, Rafael/0000-0001-6017-7244</t>
  </si>
  <si>
    <t>1073-5623</t>
  </si>
  <si>
    <t>1543-1940</t>
  </si>
  <si>
    <t>47A</t>
  </si>
  <si>
    <t>10.1007/s11661-016-3435-5</t>
  </si>
  <si>
    <t>WOS:000375330700050</t>
  </si>
  <si>
    <t>Jáuregui, C; Duarte-Mermoud, MA; Oróstica, R; Travieso-Torres, JC; Beytía, O</t>
  </si>
  <si>
    <t>Jauregui, Cristian; Duarte-Mermoud, Manuel A.; Orostica, Rodrigo; Carlos Travieso-Torres, Juan; Beytia, Orlando</t>
  </si>
  <si>
    <t>Experimental Evaluation of Conical Tank Level Control using Fractional PID</t>
  </si>
  <si>
    <t>2016 12TH IEEE INTERNATIONAL CONFERENCE ON CONTROL AND AUTOMATION (ICCA)</t>
  </si>
  <si>
    <t>IEEE International Conference on Control and Automation ICCA</t>
  </si>
  <si>
    <t>12th IEEE International Conference on Control and Automation (ICCA)</t>
  </si>
  <si>
    <t>JUN 01-03, 2016</t>
  </si>
  <si>
    <t>Kathmandu, NEPAL</t>
  </si>
  <si>
    <t>In this paper, experimental results on the conical tank level control are presented. PI/PID controllers of integer order (IO) as well as of fractional order (FO) are studied and compared. The tuning parameters are obtained first by using Root Locus (RL) method, for comparison purposes. Next, Particle Swarm Optimization (PSO) is employed to determine the controllers' parameters using as fitness function the integral of the absolute value of tracking error (IAE). From the experimental results it is concluded that PI/FOPI are the controllers presenting the lowest. IAE indexes, whereas PID/FOPID controllers present the lowest energy consumption by the control signal.</t>
  </si>
  <si>
    <t>Duarte-Mermoud, Manuel/I-2693-2013; Travieso Torres, Juan carlos/N-6437-2019</t>
  </si>
  <si>
    <t>Travieso Torres, Juan carlos/0000-0002-9246-4827</t>
  </si>
  <si>
    <t>1948-3449</t>
  </si>
  <si>
    <t>978-1-5090-1738-6</t>
  </si>
  <si>
    <t>WOS:000381734900051</t>
  </si>
  <si>
    <t>Pavez, C; Pedreros, J; Tarifeño-Saldivia, A; Soto, L</t>
  </si>
  <si>
    <t>Pavez, Cristian; Pedreros, Jose; Tarifeno-Saldivia, Ariel; Soto, Leopoldo</t>
  </si>
  <si>
    <t>Observation of plasma jets in a table top plasma focus discharge</t>
  </si>
  <si>
    <t>PHYSICS OF PLASMAS</t>
  </si>
  <si>
    <t>In the last years, medium size Z-pinch experiments operating at tens of kJ are being used to create supersonic plasma jets. Those experiments are produced with wire arrays and radial foils, and they are conducted in generators based on water-filled transmission lines. Also plasma jets have been observed in small X-pinch experiments operating at 1 kJ. In this work, observations of plasma jets produced in a table top plasma focus device by means of optical and digital interferometry are shown. The device was operated at only similar to 70J, achieving 50 kA in 150 ns. The plasma jets were observed after the pinch, in the region close and on the anode, along the axis. The electron density measured from the jets is in the range 10(24)-10(25) m(-3). From two consecutive plasma images separated 18 ns, the axial jet velocity was measured in the order of 4 x 10(4) m/s. (C) 2015 AIP Publishing LLC.</t>
  </si>
  <si>
    <t>Pavez, Cristian/A-7441-2012; Soto, Leopoldo/A-7084-2012; Tarifeno-Saldivia, Ariel/A-7583-2012</t>
  </si>
  <si>
    <t>Tarifeno-Saldivia, Ariel/0000-0001-8552-5030</t>
  </si>
  <si>
    <t>1070-664X</t>
  </si>
  <si>
    <t>1089-7674</t>
  </si>
  <si>
    <t>10.1063/1.4919260</t>
  </si>
  <si>
    <t>WOS:000353837200006</t>
  </si>
  <si>
    <t>Górka, P; Pons, DJ; Reyes, EG</t>
  </si>
  <si>
    <t>Gorka, Przemyslaw; Pons, Daniel J.; Reyes, Enrique G.</t>
  </si>
  <si>
    <t>Equations of Camassa-Holm type and the geometry of loop groups</t>
  </si>
  <si>
    <t>JOURNAL OF GEOMETRY AND PHYSICS</t>
  </si>
  <si>
    <t>We recall some of Arnold's classical work on the Riemannian geometry of diffeomorphism groups, we provide easily computable formulae for the sectional curvature in the case of the diffeomorphism group of the circle, and we observe that this group has a CR-manifold structure. We also present examples of bona fide hamiltonian equations in infinitely many derivatives. (C) 2014 Elsevier B.V. All rights reserved.</t>
  </si>
  <si>
    <t>Gorka, Przemyslaw/0000-0002-1943-383X; Reyes, Enrique G./0000-0001-8460-444X</t>
  </si>
  <si>
    <t>0393-0440</t>
  </si>
  <si>
    <t>1879-1662</t>
  </si>
  <si>
    <t>10.1016/j.geomphys.2014.07.028</t>
  </si>
  <si>
    <t>WOS:000347760000015</t>
  </si>
  <si>
    <t>Pérez-Hernández, CG; Vergara, PM; Saura, S; Hernández, J</t>
  </si>
  <si>
    <t>Perez-Hernandez, Christian G.; Vergara, Pablo M.; Saura, Santiago; Hernandez, Jaime</t>
  </si>
  <si>
    <t>Do corridors promote connectivity for bird-dispersed trees? The case of Persea lingue in Chilean fragmented landscapes</t>
  </si>
  <si>
    <t>LANDSCAPE ECOLOGY</t>
  </si>
  <si>
    <t>Disentangling the contribution of corridors to landscape connectivity is crucial for adopting efficient measures in conservation, but their actual role in heterogeneous landscapes is not yet fully understood. We assessed the hypothesis that corridors, consisting of hedgerows and riparian vegetation strips, are important landscape elements promoting functional connectivity for the lingue (Persea lingue), a tree endemic to southern Chile and Argentina whose seeds are mainly dispersed by the habitat generalist austral thrush (Turdus falcklandii). For this purpose, we used empirical estimates of seed production, fruit consumption and bird movement patterns, in combination with a seed dispersal model and a graph-theoretical approach for network connectivity analysis. We found that for this plant-animal interaction, the hypothesis mentioned above is not supported. Functional connectivity decreased as the structural connectivity provided by corridors increased, and stepping stones were much more effective connectivity providers than corridors. Our findings are not generalizable to other situations because thrushes contribute to the dispersal of seeds along narrow and sinuous corridors, which provide unsuitable conditions for the establishment of lingues. We conclude that (a) the effectiveness of corridors for promoting connectivity and successful dispersal is landscape- and species-specific; and that (b) effective conservation of Chilean forest biodiversity involves a tradeoff between enhancing the availability of stepping stones and providing corridors of sufficient width and appropriate shape to meet the needs and dispersal modalities of different species.</t>
  </si>
  <si>
    <t>Hernandez, H./J-9995-2013; Vergara, Pablo/F-2519-2010; Saura, Santiago/A-9994-2008</t>
  </si>
  <si>
    <t>Saura, Santiago/0000-0002-5239-0763; Vergara, Pablo/0000-0002-0024-1678</t>
  </si>
  <si>
    <t>0921-2973</t>
  </si>
  <si>
    <t>1572-9761</t>
  </si>
  <si>
    <t>10.1007/s10980-014-0111-2</t>
  </si>
  <si>
    <t>WOS:000347284600007</t>
  </si>
  <si>
    <t>Stanghellini, G; Rossi, R</t>
  </si>
  <si>
    <t>Stanghellini, Giovanni; Rossi, Rodolfo</t>
  </si>
  <si>
    <t>Pheno-phenotypes: a holistic approach to the psychopathology of schizophrenia</t>
  </si>
  <si>
    <t>CURRENT OPINION IN PSYCHIATRY</t>
  </si>
  <si>
    <t>Purpose of reviewMental disorders are mainly characterized via symptom assessment. Symptoms are state-like macroscopic anomalies of behaviour, experience, and expression that are deemed relevant for diagnostic purposes. An alternative approach is based on the concept of endophenotypes, which are physiological or behavioural measures occupying the terrain between symptoms and risk genotypes. We will critically discuss these two approaches, and later focus on the concept of pheno-phenotype as it is revealed by recent phenomenological research on schizophrenia.Recent findingsSeveral studies have been recently published on the schizophrenic pheno-phenotype mainly addressing self-disorders, as well as disorders of time and bodily experience.SummaryThe mainstream approach to psychopathological phenotypes is focussed on easy-to-assess operationalizable symptoms. Thinness of phenotypes and simplification of clinical constructs are the consequences of this. Also, this approach has not been successful in investigating the biological causes of mental disorders. An integrative approach is based on the concept of endophenotype'. Endophenotypes were conceptualized as a supportive tool for the genetic dissection of psychiatric disorders. The underlying rationale states that disease-specific phenotypes should be the upstream phenotypic manifestation of a smaller genotype than the whole disease-related genotype.Psychopathological phenotypes can also be characterized in terms of pheno-phenotypes. This approach aims at delineating the manifold phenomena experienced by patients in all of their concrete and distinctive features, so that the features of a pathological condition emerge, while preserving their peculiar feel, meaning, and value for the patient. Systematic explorations of anomalies in the patients' experience, for example, of time, space, body, self, and otherness, may provide a useful integration to the symptom-based and endophenotype-based approaches. These abnormal phenomena can be used as pointers to the fundamental alterations of the structure of subjectivity characterizing each mental disorder.</t>
  </si>
  <si>
    <t>stanghellini, giovanni/G-6009-2014; Rossi, Rodolfo/P-9228-2019</t>
  </si>
  <si>
    <t>stanghellini, Giovanni/0000-0001-5164-7013; Rossi, Rodolfo/0000-0002-6857-898X</t>
  </si>
  <si>
    <t>0951-7367</t>
  </si>
  <si>
    <t>1473-6578</t>
  </si>
  <si>
    <t>10.1097/YCO.0000000000000059</t>
  </si>
  <si>
    <t>WOS:000335349500012</t>
  </si>
  <si>
    <t>Manzo, V; Navarro, O; Honda, L; Sánchez, K; Toral, MI; Richter, P</t>
  </si>
  <si>
    <t>Manzo, Valentina; Navarro, Orielle; Honda, Luis; Sanchez, Karen; Ines Toral, M.; Richter, Pablo</t>
  </si>
  <si>
    <t>Determination of crystal violet in water by direct solid phase spectrophotometry after rotating disk sorptive extraction</t>
  </si>
  <si>
    <t>TALANTA</t>
  </si>
  <si>
    <t>The microextraction of crystal violet (CV) from water samples into polydimethylsiloxane (PDMS) using the rotating disk sorptive extraction (RDSE) technique was performed. The extracting device was a small Teflon disk that had an embedded miniature magnetic stirring bar and a PDMS (560 mu L) film attached to one side of the disk using double-sided tape. The extraction involves a preconcentration of CV into the PDMS, where the analyte is then directly quantified using solid phase spectrophotometry at 600 nm. Different chemical and extraction device-related variables were studied to achieve the best sensitivity for the determination. The optimum extraction was performed at pH 14 because under this condition, CV is transformed to the neutral and colorless species carbinol, which can be quantitatively transferred to the PDMS phase. Although the colorless species is the chemical form extracted in the PDMS, an intense violet coloration appeared in the phase because the -OH bond in the carbinol molecule is weakened through the formation of hydrogen bonds with the oxygen atoms of the PDMS, allowing the resonance between the three benzene rings to compensate for the charge deficit on the central carbon atom of the molecule. The accuracy and precision of the method were evaluated in river water samples spiked with 10 and 30 mu gL(-1) of CV, yielding a relative standard deviation of 6.2% and 8.4% and a recovery of 98.4% and 99.4%, respectively. The method detection limit was 1.8 mu gL(-1) and the limit of quantification was 5.4 mu gL(-1), which can be decreased if the sample volume is increased. (C) 2012 Elsevier B.V. All rights reserved.</t>
  </si>
  <si>
    <t>Richter, Pablo/0000-0002-7978-0657</t>
  </si>
  <si>
    <t>0039-9140</t>
  </si>
  <si>
    <t>1873-3573</t>
  </si>
  <si>
    <t>MAR 15</t>
  </si>
  <si>
    <t>10.1016/j.talanta.2012.11.004</t>
  </si>
  <si>
    <t>WOS:000319088600045</t>
  </si>
  <si>
    <t>Verdejo, H; Vargas, L; Kliemann, W</t>
  </si>
  <si>
    <t>Proppe, C; Bourinet, JM</t>
  </si>
  <si>
    <t>Verdejo, Humberto; Vargas, Luis; Kliemann, Wolfgang</t>
  </si>
  <si>
    <t>' Stability radii via Lyapunov exponents for large stochastic systems</t>
  </si>
  <si>
    <t>IUTAM SYMPOSIUM ON MULTISCALE PROBLEMS IN STOCHASTIC MECHANICS</t>
  </si>
  <si>
    <t>Procedia IUTAM</t>
  </si>
  <si>
    <t>IUTAM Symposium on Multiscale Problems in Stochastic Mechanics</t>
  </si>
  <si>
    <t>JUN 25-29, 2012</t>
  </si>
  <si>
    <t>Karlsruhe Inst Technol, Karlsruhe, GERMANY</t>
  </si>
  <si>
    <t>IUTAM,German Res Assoc,German French Univ</t>
  </si>
  <si>
    <t>Karlsruhe Inst Technol</t>
  </si>
  <si>
    <t>This paper considers nonlinear stochastic systems subject to random Markovian perturbations as the size of the perturbations increases. At an operating point of the system, its exponential stability can be assessed via the Lyapunov exponents. We define an index, the stability radius, which uses the Lyapunov exponents to determine the optimal system parameters for stabilization so that the system can withstand perturbations of maximal magnitude. (C) 2013 The Authors. Published by Elsevier B. V. Selection and/or peer review under responsibility of Karlsruhe Institute of Technology (KIT) Institute of the Engineering Mechanics.</t>
  </si>
  <si>
    <t>vargas, luis/A-2109-2011</t>
  </si>
  <si>
    <t>vargas, Luis/0000-0001-6539-1768</t>
  </si>
  <si>
    <t>2210-9838</t>
  </si>
  <si>
    <t>10.1016/j.piutam.2013.01.021</t>
  </si>
  <si>
    <t>WOS:000326281100021</t>
  </si>
  <si>
    <t>Enrione, J; Osorio, F; López, D; Weinstein-Oppenheimer, C; Fuentes, MA; Ceriani, R; Brown, DI; Albornoz, F; Sánchez, E; Villalobos, P; Somoza, RA; Young, ME; Acevedo, CA</t>
  </si>
  <si>
    <t>Enrione, Javier; Osorio, Fernando; Lopez, Daniel; Weinstein-Oppenheimer, Caroline; Fuentes, Miguel A.; Ceriani, Ricardo; Brown, Donald I.; Albornoz, Fernando; Sanchez, Elizabeth; Villalobos, Patricio; Somoza, Rodrigo A.; Young, Manuel E.; Acevedo, Cristian A.</t>
  </si>
  <si>
    <t>Characterization of a Gelatin/Chitosan/Hyaluronan scaffold-polymer</t>
  </si>
  <si>
    <t>ELECTRONIC JOURNAL OF BIOTECHNOLOGY</t>
  </si>
  <si>
    <t>Gelatin, chitosan and hyaluronic acid are natural components used to prepare polymeric scaffold in tissue engineering. The physical properties of these materials confer an appropriate microenvironment for cells, which can be used as a regeneration system for skin and cartilage. In this work, we prepared and characterized a Gelatin/Chitosan/Hyaluronan lyophilized-polymer. Physical properties of lyophilized-polymer changed slightly with moisture, but when polymer was totally hydrated the elasticity changed significantly. Thermophysical characterisation indicated that temperatures higher than 30 degrees C could modify irreversibly the polymeric matrix probably due to protein denaturation. Besides, we used the polymer as scaffold to prepare a biosynthetic-skin, reporting biological behaviour and its mechanical properties.</t>
  </si>
  <si>
    <t>Weinstein-Oppenheimer, Caroline/ADV-2270-2022; Somoza, Rodrigo/C-8823-2011; Acevedo, Cristian/D-5133-2011; López, Daniel/N-1119-2019; Enrione, Javier/I-9225-2014; Fuentes, Miguel/AAN-7676-2020; osorio, fernando/AAY-7304-2021</t>
  </si>
  <si>
    <t>Weinstein-Oppenheimer, Caroline Ruth/0000-0001-5435-2587; Lopez Angulo, Daniel/0000-0001-5287-1391; Enrione, Javier/0000-0002-3916-6775; osorio, fernando/0000-0001-7206-0924; Somoza, Rodrigo/0000-0001-8050-357X</t>
  </si>
  <si>
    <t>0717-3458</t>
  </si>
  <si>
    <t>10.2225/vol13-issue5-fulltext-15</t>
  </si>
  <si>
    <t>WOS:000288175900015</t>
  </si>
  <si>
    <t>Yeguas, V; Cárdenas-Jirón, GI; Menéndez, MI; López, R</t>
  </si>
  <si>
    <t>Yeguas, Violeta; Ines Cardenas-Jiron, Gloria; Isabel Menendez, Maria; Lopez, Ramon</t>
  </si>
  <si>
    <t>A computational study on the stability-aromaticity correlation of triply N-confused porphyrins: CMMSE-09</t>
  </si>
  <si>
    <t>JOURNAL OF MATHEMATICAL CHEMISTRY</t>
  </si>
  <si>
    <t>9th International Conference of Computational and Mathematical Methods in Science and Engineering (CMMSE 2009)</t>
  </si>
  <si>
    <t>JUN 30-JUL 03, 2009</t>
  </si>
  <si>
    <t>Gijon, SPAIN</t>
  </si>
  <si>
    <t>The B3LYP density functional theory methodology in conjunction with the 6-31G(d,p) basis set has been used to characterize triply N-confused meso-tetraphenylporphyrins. According to our computations, there is no a direct correlation between stability and aromaticity as already found for non-substituted confused porphyrins. The inclusion of these substituents in the calculations provokes a decrease of the planarity and aromaticity of these macrocycles along with a notable rise of their relative stability with respect to the non-substituted case. Steric repulsions, both among phenyl rings and beta atoms in the pyrrolic rings, and among H atoms in the core of the macrocycles, dominate over aromaticity in the establishment of the most stable conformation of each isomer.</t>
  </si>
  <si>
    <t>LOPEZ, RAMON/H-5078-2015; Menendez, M. Isabel/B-7698-2009; Cardenas-Jiron, Gloria/H-9508-2012</t>
  </si>
  <si>
    <t>Cardenas-Jiron, Gloria/0000-0003-4305-8088; Yeguas, Violeta/0000-0003-0559-316X</t>
  </si>
  <si>
    <t>0259-9791</t>
  </si>
  <si>
    <t>1572-8897</t>
  </si>
  <si>
    <t>10.1007/s10910-009-9643-0</t>
  </si>
  <si>
    <t>WOS:000278580400016</t>
  </si>
  <si>
    <t>Chávez, R; Roa, A; Navarrete, K; Trebotich, J; Espinosa, Y; Vaca, I</t>
  </si>
  <si>
    <t>Chavez, Renato; Roa, Amanda; Navarrete, Katherinne; Trebotich, Jovanka; Espinosa, Yeison; Vaca, Inmaculada</t>
  </si>
  <si>
    <t>Evaluation of properties of several cheese-ripening fungi for potential biotechnological applications</t>
  </si>
  <si>
    <t>MYCOSCIENCE</t>
  </si>
  <si>
    <t>Strains of Penicillium camemberti and Penicillium roqueforti were tested for properties that could be important for future biotechnological applications of these fungi. Penicillium camemberti CECT 2267 and P. roqueforti NRRL 849 showed the most promising performances in terms of growth, protoplast production, and protoplast regeneration abilities. Transformation of these strains with a plasmid containing gene encoding phleomycin resistance showed that they also have a high transformation frequency. In addition, both strains showed low extracellular proteolytic activity. Thus, these strains have all the characteristics to make them suitable for future genetic improvement, recombinant protein production, and other potential biotechnological applications.</t>
  </si>
  <si>
    <t>Vaca, Inmaculada/I-2758-2013</t>
  </si>
  <si>
    <t>Vaca, Inmaculada/0000-0002-8952-9036; Chavez, Renato/0000-0003-1754-3610</t>
  </si>
  <si>
    <t>1340-3540</t>
  </si>
  <si>
    <t>1618-2545</t>
  </si>
  <si>
    <t>10.1007/s10267-009-0004-4</t>
  </si>
  <si>
    <t>WOS:000274518400012</t>
  </si>
  <si>
    <t>Thibault, J; Alvarez, PI; Blasco, R; Vega, R</t>
  </si>
  <si>
    <t>Thibault, Jules; Alvarez, Pedro I.; Blasco, Roman; Vega, Rolando</t>
  </si>
  <si>
    <t>Modeling the Mean Residence Time in a Rotary Dryer for Various Types of Solids</t>
  </si>
  <si>
    <t>DRYING TECHNOLOGY</t>
  </si>
  <si>
    <t>4th Inter-American Drying Conference</t>
  </si>
  <si>
    <t>AUG 23-27, 2009</t>
  </si>
  <si>
    <t>Montreal, CANADA</t>
  </si>
  <si>
    <t>The residence time in a pilot-scale rotary dryer was determined experimentally for four types of solids (fish meal, sand, soy meal, and sawdust) while varying the solids flow rate, the slope of the dryer, the speed of rotation, and the flow rate of gas with the objective to develop a correlation to predict the mean residence time for inclined and horizontal rotating dryers and to compare the developed models to the experimental data. Three models, two based on the product of operating variables and a neural network, are presented and compared. Results show that all models provide good estimates of the mean residence time, with the neural network providing more accurate predictions.</t>
  </si>
  <si>
    <t>0737-3937</t>
  </si>
  <si>
    <t>1532-2300</t>
  </si>
  <si>
    <t>PII 927860148</t>
  </si>
  <si>
    <t>10.1080/07373937.2010.483045</t>
  </si>
  <si>
    <t>WOS:000282689200004</t>
  </si>
  <si>
    <t>Poblete, A; López-Alarcón, C; Lissi, E; Campos, AM</t>
  </si>
  <si>
    <t>Poblete, A.; Lopez-Alarcon, C.; Lissi, E.; Campos, A. M.</t>
  </si>
  <si>
    <t>OXYGEN RADICAL ANTIOXIDANT CAPACITY (ORAC) VALUES OF HERBAL TEAS OBTAINED EMPLOYING DIFFERENT METHODOLOGIES CAN PROVIDE COMPLEMENTARY DATA</t>
  </si>
  <si>
    <t>The antioxidant capacity of six herbal tea infusions (Mentha piperita, Erythroxylum coca, Rosa moschata, Tilia spp, Plantago major, and Aloysia citriodora) was measured by ORAC type methodologies employing fluorescein (ORAC-FL) and pyrogallol red (ORAC-PGR) as target compounds. Probe consumption profiles were widely different, with neat induction times when FL is employed as target. Relative ORAC values of different herbal infusions depend upon the test molecule employed. Relative ORAC-PGR values follow the order: Rosa moschata &gt; Mentha piperita &gt; Tilia spp &gt; Plantago major &gt; Aloysia citriodora &gt; Erythroxylum coca. while ORAC-F1 values order is: Mentha piperita &gt; Aloysia citriodora &gt; Erythroxylum coca &gt; Rosa moschata &gt; Tilia spp &gt; Plantago major: These differences are related to the different relevance of the parameters (amount of phenols and reactivity) that determine ORAC values for different target molecules. In particular, ORAC-FL values are associated with the polyphenolic levels present in the sample and, hence, correlate with the Folin index of the infusion. On the other hand, ORAC-PGR values are determined by the quantity and average quality of the antioxidants present in the tested sample. From these results, it is proposed that the ratio ORAC-PGR/ORAC-FL could be employed as a rough measure of the antioxidant average quality of the phenols present in the tested infusion.</t>
  </si>
  <si>
    <t>Lopez, Camilo/J-5770-2013</t>
  </si>
  <si>
    <t>Lopez, Camilo/0000-0002-0174-8972</t>
  </si>
  <si>
    <t>0717-9707</t>
  </si>
  <si>
    <t>10.4067/S0717-97072009000200013</t>
  </si>
  <si>
    <t>WOS:000268073400013</t>
  </si>
  <si>
    <t>Madrid, R; de la Pena, E; Donovan-Rodriguez, T; Belmonte, C; Viana, F</t>
  </si>
  <si>
    <t>Madrid, Rodolfo; de la Pena, Elvira; Donovan-Rodriguez, Tansy; Belmonte, Carlos; Viana, Felix</t>
  </si>
  <si>
    <t>Variable Threshold of Trigeminal Cold-Thermosensitive Neurons Is Determined by a Balance between TRPM8 and Kv1 Potassium Channels</t>
  </si>
  <si>
    <t>JOURNAL OF NEUROSCIENCE</t>
  </si>
  <si>
    <t>Molecular determinants of threshold differences among cold thermoreceptors are unknown. Here we show that such differences correlate with the relative expression of I-KD, a current dependent on Shaker-like Kv1 channels that acts as an excitability brake, and I-TRPM8, a cold-activated excitatory current. Neurons responding to small temperature changes have high functional expression of TRPM8 (transient receptor potential cation channel, subfamily M, member 8) and low expression of IKD. In contrast, neurons activated by lower temperatures have a lower expression of TRPM8 and a prominent IKD. Otherwise, both subpopulations have nearly identical membrane and firing properties, suggesting that they belong to the same neuronal pool. Blockade of IKD shifts the threshold of cold-sensitive neurons to higher temperatures and augments cold-evoked nocifensive responses in mice. Similar behavioral effects of IKD blockade were observed in TRPA1(-/-) mice. Moreover, only a small percentage of trigeminal cold-sensitive neurons were activated by TRPA1 agonists, suggesting that TRPA1 does not play a major role in the detection of low temperatures by uninjured somatic cold-specific thermosensory neurons under physiological conditions. Collectively, these findings suggest that innocuous cooling sensations and cold discomfort are signaled by specific low- and high-threshold cold thermoreceptor neurons, differing primarily in their relative expression of two ion channels having antagonistic effects on neuronal excitability. Thus, although TRPM8 appears to function as a critical cold sensor in the majority of peripheral sensory neurons, the expression of Kv1 channels in the same terminals seem to play an important role in the peripheral gating of cold-evoked discomfort and pain.</t>
  </si>
  <si>
    <t>Madrid, Rodolfo/MCJ-4974-2025; Viana, Felix/U-8533-2017; De la Pena Garcia, Elvira/O-7380-2015</t>
  </si>
  <si>
    <t>Viana, Felix/0000-0003-1439-949X; Madrid, Rodolfo/0000-0002-8623-5761; De la Pena Garcia, Elvira/0000-0001-5961-5067</t>
  </si>
  <si>
    <t>0270-6474</t>
  </si>
  <si>
    <t>10.1523/JNEUROSCI.4778-08.2009</t>
  </si>
  <si>
    <t>WOS:000264093200014</t>
  </si>
  <si>
    <t>Alarcón, E; Edwards, AM; Garcia, AM; Muñoz, M; Aspée, A; Borsarelli, CD; Lissi, EA</t>
  </si>
  <si>
    <t>Alarcon, Emilio; Edwards, Ana Maria; Garcia, Angelica M.; Munoz, Marcelo; Aspee, Alexis; Borsarelli, Claudio D.; Lissi, Eduardo A.</t>
  </si>
  <si>
    <t>Photophysics and photochemistry of zinc phthalocyanine/bovine serum albumin adducts</t>
  </si>
  <si>
    <t>Zinc phthalocyanine (ZnPc) is a well known Type II (singlet oxygen mediated) hydrophobic photosensitizer with potential use in PDT. We have found that the presence of bovine serum albumin diminishes the aggregation degree of ZnPc in aqueous solution, indicating that albumins could be potentially useful carriers for this type of photosensitizer in PDT. In order to explore the photochemical and photophysical behavior of ZnPc associated to the protein, we have evaluated triplet excited state lifetime and yield, dye bleaching, oxygen consumption, formation of carbonyls and peroxides, and the spontaneous chemiluminiscence emitted after photolysis. The results show that dye association to BSA modifies the photophysics and photochemistry of ZnPC. In particular the decreased yield of long lived triplets suggests singlet state and/or static triplet quenching of the bound dye by the host protein.</t>
  </si>
  <si>
    <t>Alarcon, Emilio/A-7285-2011; Munoz, Marcelo/ABR-8932-2022; Borsarelli, Claudio/O-3525-2019; GARCIA, ANGELICA/KNG-9393-2024; Borsarelli, Claudio Dario/I-4216-2012</t>
  </si>
  <si>
    <t>Borsarelli, Claudio Dario/0000-0003-0120-645X; Edwards-Mujica, Ana M./0000-0002-4637-1013; Munoz, Marcelo/0000-0001-7748-4996</t>
  </si>
  <si>
    <t>10.1039/b815726j</t>
  </si>
  <si>
    <t>WOS:000263113000017</t>
  </si>
  <si>
    <t>Escrig, J; Allende, S; Altbir, D; Bahiana, M</t>
  </si>
  <si>
    <t>Escrig, J.; Allende, S.; Altbir, D.; Bahiana, M.</t>
  </si>
  <si>
    <t>Magnetostatic interactions between magnetic nanotubes</t>
  </si>
  <si>
    <t>APPLIED PHYSICS LETTERS</t>
  </si>
  <si>
    <t>The investigation of interactions between magnetic nanotubes is complex and often involves substantial simplifications. In this letter an analytical expression for the magnetostatic interaction, taking into account the geometry of the tubes, has been obtained. This expression allows for the definition of a critical vertical separation for relative magnetization between nanotubes and can be used for tailoring barcode-type nanostructures with prospective applications such as biological separation and transport. (C) 2008 American Institute of Physics.</t>
  </si>
  <si>
    <t>Escrig, Juan/N-4304-2015; Altbir, Dora/R-6781-2018</t>
  </si>
  <si>
    <t>Escrig, Juan/0000-0002-3958-8185; Altbir, Dora/0000-0002-2945-4909</t>
  </si>
  <si>
    <t>0003-6951</t>
  </si>
  <si>
    <t>JUL 14</t>
  </si>
  <si>
    <t>10.1063/1.2956681</t>
  </si>
  <si>
    <t>WOS:000257796100078</t>
  </si>
  <si>
    <t>Dark energy interacting with two fluids</t>
  </si>
  <si>
    <t>A cosmological model of dark energy interacting with dark matter and another general component of the universe is investigated. We found general constraints on these models imposing an. accelerated expansion. The same is also studied in the case for holographic dark energy. (c) 2008 Elsevier B.V. All rights reserved.</t>
  </si>
  <si>
    <t>MAY 29</t>
  </si>
  <si>
    <t>10.1016/j.physletb.2008.04.035</t>
  </si>
  <si>
    <t>WOS:000256463400011</t>
  </si>
  <si>
    <t>Juri, C; Viviani, P; Chaná, P</t>
  </si>
  <si>
    <t>Juri, Carlos; Viviani, Paola; Chana, Pedro</t>
  </si>
  <si>
    <t>Features associated with the development of non-motor manifestations in Parkinson's disease</t>
  </si>
  <si>
    <t>ARQUIVOS DE NEURO-PSIQUIATRIA</t>
  </si>
  <si>
    <t>Parkinson's disease (PD) is a neurodegenerative disorder, predominantly characterized by the presence of motor symptoms. However, the non motor manifestations (NMM) are a frequent complaint in the PD patients. There is a lack of information about the risk factors associated with the NMM in these patients. The aim of this study is to evaluate the prevalence of the more common NMM in a population of PD patients and to determine the features associated with its development. We! studied 124 ambulatory PD patients. NMM were defined by the presence of neuropsychiatric manifestations, cognitive disorder, autonomic dysfunction or sleep related problems. In a multivariate analysis we found that the years of evolution of the PD and the presence of cognitive dysfunction are the risk factors for the neuropsychiatric and autonomic manifestations, whereas axial impairment is a risk factor for cognitive disorders and dyskinesias is for sleep related problems. In conclusion, this study shows that the features related to the PD progression appear as the main risk factors associated with NMM.</t>
  </si>
  <si>
    <t>Chana, Pedro/ABG-9944-2020; Juri, Carlos/B-6213-2008</t>
  </si>
  <si>
    <t>Viviani, Paola/0000-0003-2886-5228; Juri, Carlos/0000-0002-1939-5976</t>
  </si>
  <si>
    <t>0004-282X</t>
  </si>
  <si>
    <t>10.1590/S0004-282X2008000100006</t>
  </si>
  <si>
    <t>WOS:000254580100006</t>
  </si>
  <si>
    <t>Juri-Clavería, C; Aguirre-M, C; Viviani-G, P; Chaná-Cuevas, P</t>
  </si>
  <si>
    <t>Juri-Claveria, C.; Aguirre-M, C.; Viviani-G, P.; Chana-Cuevas, P.</t>
  </si>
  <si>
    <t>Risk factors associated with the development of motor complications in Parkinson's disease.: A study in a chilean population</t>
  </si>
  <si>
    <t>Introduction. The treatment of Parkinson's disease (PD) is based on the use of levodopa and/or dopaminergic agonists. This treatment is associated with motor complications in around 50% of the patients over 5 years of treatment. Numerous risk factors have been related to the onset of this motor complications. Aim. To describe the prevalence and risk factors associated with the occurrence of motor complications in our population. Patients and methods. PD patients in control in a movement disorders center were consecutively recruited. Using a multivariate logistic regression model the risk factors associated with the onset of MC were determined. Results. 124 patients were evaluated. Mean age was 66,2 +/- 10,1 years, the years of PD evolution were 8,1 +/- 5,2 years, the oil UPDRS score was 27,7 +/- 14,8 points. A 62% of the patients presented at least one motor complication, a 52% with wearing off and a 47,2% dyskinesias. Both motor complications were present in 39%. The multivariate analysis showed that that female sex and the dose of levodopa equivalents were the risk factors for the occurrence of dyskinesias. For the wearing off the main risk factor were the years of evolution of the PD. Conclusions. This study shows that the time of evolution of the PD is the main risk factor for the wearing off and the female sex and the dose of levodopa equivalents are the risk factor for the development of dyskinesias. These results are in agreement with the previously reported in the literature for other populations.</t>
  </si>
  <si>
    <t>Chana-Cuevas, Pedro/AAM-8215-2020; Juri, Carlos/B-6213-2008</t>
  </si>
  <si>
    <t>Viviani, Paola/0000-0003-2886-5228; Juri, Carlos/0000-0002-1939-5976; Valdivia, Gonzalo/0000-0001-5368-6745</t>
  </si>
  <si>
    <t>1576-6578</t>
  </si>
  <si>
    <t>JUL 16</t>
  </si>
  <si>
    <t>10.33588/rn.4502.2006599</t>
  </si>
  <si>
    <t>WOS:000253131000004</t>
  </si>
  <si>
    <t>Chong, HJ; Rosario, NA; Solé, D; Mallol, J</t>
  </si>
  <si>
    <t>Chong Neto, Herberto Jose; Rosario, Nelson Augusto; Sole, Dirceu; Mallol, Javier</t>
  </si>
  <si>
    <t>Prevalence of recurrent wheezing in infants</t>
  </si>
  <si>
    <t>JORNAL DE PEDIATRIA</t>
  </si>
  <si>
    <t>Objective: To identify the prevalence of recurrent wheezing in infants in the city of Curitiba, PR, Brazil. Methods: A cross-sectional study carried out by means of administering questionnaires to the parents of infants aged 12 to 15 months attending health centers for immunization during the period between August 2005 and December 2006. This is a standardized and validated instrument consisting of questions on demographic characteristics, wheezing, respiratory infections and risk factors. At the time of the study the City Health Department had 107 health centers, 35 of which were selected by lots and distributed homogeneously across the municipal territory. Results: A total of 1,364 infants (45.4%) had episodes of wheezing during their first 12 months of life, with onset at 5.5+/-3.1 months (mean +/- standard deviation), and 678 (22.6%) had had three or more episodes. In 84.6% of the wheezing children treatment was with beta(2)-agonists, with inhaled corticosteroids in 18.5%, oral corticosteroids in 24.3% and leukotriene receptor antagonists were used with 5.4%. The wheezing children exhibited nocturnal symptoms, intense difficulty breathing and visits to emergency services in the proportions of 58.9, 46.2 and 57.6%, respectively; 12.7% were admitted to hospital for asthma and 10.9% had had a medical diagnosis of asthma. Nocturnal symptoms, visits to emergency, severity of symptoms, hospital admissions for asthma and medical diagnoses of asthma were all more common among those who had suffered three or more crises (p &lt; 0.001). Conclusions: There is an elevated prevalence of wheezing among the infants of Curitiba, with early onset and elevated morbidity. It is possible that these infants represent a large contingent of asthmatics.</t>
  </si>
  <si>
    <t>rosario, nelson/K-7205-2012; Solé, Dirceu/JAO-0340-2023</t>
  </si>
  <si>
    <t>Mallol, Javier/0000-0003-2528-8672</t>
  </si>
  <si>
    <t>0021-7557</t>
  </si>
  <si>
    <t>1678-4782</t>
  </si>
  <si>
    <t>10.2223/JPED.1679</t>
  </si>
  <si>
    <t>WOS:000254506500012</t>
  </si>
  <si>
    <t>Pérez-Won, M; Barraza, M; Cortés, F; Madrid, D; Cortés, P; Roco, T; Osorio, F; Tabilo-Munizaga, G</t>
  </si>
  <si>
    <t>Perez-Won, M.; Barraza, M.; Cortes, F.; Madrid, D.; Cortes, P.; Roco, T.; Osorio, F.; Tabilo-Munizaga, G.</t>
  </si>
  <si>
    <t>Textural characteristics of frozen blue squat lobster (Cervimunida johni) tails as measured by instrumental and sensory methods</t>
  </si>
  <si>
    <t>Instrumental and sensory textural characteristics of frozen blue squat lobster (Cervimunida johni) tails stored at -22C for 0, 15 and 60 days were evaluated. The influence of fishing area (north or south) was also studied. Instrumental texture was evaluated by shear and compression testing using a Warner-Bratzler blade for firmness and a flat plunger with two-cycle compression for texture profile analysis (TPA) testing. A trained panel was utilized to evaluate textural attributes using the score method. Results showed that fishing area and frozen storage did not affect the textural quality of blue squat lobster tails. However, a strong correlation (r &gt; 0.9) between sensory and instrumental texture parameters was observed. Instrumental chewiness (r = 0.91), cohesiveness (r = 0.96) and sensory hardness (r &gt; 0.84) obtained the strongest correlations. In this way, the use of instrumental analysis may be useful as an alternative to sensory analyses to evaluate the textural characteristics of blue squat lobster tails.</t>
  </si>
  <si>
    <t>Tabilo-Munizaga, Gipsy/AAM-5457-2021; Cortes, Fermin/AAC-5050-2019; Madrid, Daniela/KSL-6942-2024; osorio, fernando/AAY-7304-2021</t>
  </si>
  <si>
    <t>osorio, fernando/0000-0001-7206-0924; Cortes, Pablo/0000-0003-3076-0804</t>
  </si>
  <si>
    <t>10.1111/j.1745-4530.2006.00077.x</t>
  </si>
  <si>
    <t>WOS:000240661700006</t>
  </si>
  <si>
    <t>von Bernhardi, R; Eugenín, J</t>
  </si>
  <si>
    <t>Microglial reactivity to β-amyloid is modulated by astrocytes and proinflammatory factors</t>
  </si>
  <si>
    <t>BRAIN RESEARCH</t>
  </si>
  <si>
    <t>The brains of Alzheimer's disease (AD) patients present activated glial cells, amyloid plaques and dystrophic neurites. The core of amyloid plaques is composed of aggregated amyloid peptide (A), a peptide known to activate glial cells and to have neurotoxic effects. We evaluated the capability of glial cells to mediate Abeta(1-42) cytotoxicity in hippocampal cultures. Conditioned media obtained from microglial cultures exposed to Abeta induced apoptosis of hippocampal cells. This pro-apoptotic effect was not observed in hippocampal cultures exposed to conditioned media obtained from mixed glial (astrocytes and microglia) cultures that had been exposed to Abeta. Microglia exposed to Abeta responded with reactive morphological changes, induction of NOS, elevated nitric oxide production and decreased reductive metabolism. All these responses were attenuated by the presence of astrocytes. This astrocyte modulation was however, not observed when glial cells were exposed to proinflammatory factors (LPS+Interferon-gamma) alone or in combination with Abeta. Our results suggest that astrocytes and proinflammatory molecules are determining factors in the response of microglia to A. (C) 2004 Elsevier B.V All rights reserved.</t>
  </si>
  <si>
    <t>0006-8993</t>
  </si>
  <si>
    <t>1872-6240</t>
  </si>
  <si>
    <t>OCT 29</t>
  </si>
  <si>
    <t>10.1016/j.brainres.2004.07.084</t>
  </si>
  <si>
    <t>WOS:000224682700022</t>
  </si>
  <si>
    <t>Soto-Suazo, M; San Martin, S; Zorn, TMT</t>
  </si>
  <si>
    <t>Collagen and tenascin-C expression along the migration pathway of mouse primordial germ cells</t>
  </si>
  <si>
    <t>Primordial germ cells (PGCs) are the progenitor cells of the vertebrate germ line. These cells originate outside of the embryo and, through separation, migration, and colonization, arrive at the genital ridge, contributing to gonad development. Diverse extracellular matrix molecules are present along the PGC migratory pathway, permitting or inhibiting PGC displacement. Collagens and tenascin form the substratum for in vitro migration of neural crest cells and PGCs. However, little is known about the expression and distribution of these molecules during in situ PGC migration. Using immunohistochemistry, we identified tenascin-C and types I, III, and V collagen along the mouse PGC migration pathway. These molecules were spatiotemporally expressed in basement membranes of hindgut, coelomic epithelia, and mesonephric tubules and mesenchyme throughout the study. Our results complement previous data from our laboratory and contribute to building comprehension of the composition of the mouse PGC migratory pathway extracellular matrix, thereby enhancing understanding of the process.</t>
  </si>
  <si>
    <t>Zorn, Telma/C-4065-2008; San Martin, Sebastian/S-5268-2019</t>
  </si>
  <si>
    <t>San Martin, Sebastian/0000-0002-2569-1114</t>
  </si>
  <si>
    <t>10.1007/s00418-004-0621-0</t>
  </si>
  <si>
    <t>WOS:000189202100009</t>
  </si>
  <si>
    <t>Suárez, AM; Duarte-Mermoud, MA; Beltrán, NH; Bassi, DF</t>
  </si>
  <si>
    <t>Neural network control for teaching purposes</t>
  </si>
  <si>
    <t>INTERNATIONAL JOURNAL OF ENGINEERING EDUCATION</t>
  </si>
  <si>
    <t>The comparison of four control schemes based on neural networks for teaching purposes is studied in this paper. The inverse model, inverse model loop, direct scheme with and without models are investigated and compared. The study is based on computer simulations of linear and nonlinear single-input single-output (SISO) typical plants and take into account different aspects such as the training period, the training method (on-line, off-line, simple or with epochs, etc.) network configuration and training signals amongst others. This set of experiences can be used in an advanced control course in the Electrical Engineering curricula, to teach different aspects of neural control.</t>
  </si>
  <si>
    <t>Duarte-Mermoud, Manuel A./I-2693-2013</t>
  </si>
  <si>
    <t>Duarte-Mermoud, Manuel A./0000-0003-2367-4553</t>
  </si>
  <si>
    <t>0949-149X</t>
  </si>
  <si>
    <t>WOS:000220507900012</t>
  </si>
  <si>
    <t>Pizarro, C; Escudey, M; Fabris, JD; de Almeida, AB</t>
  </si>
  <si>
    <t>Effects of sodium hydroxide - Selective chemical treatment on samples from some Chilean soils</t>
  </si>
  <si>
    <t>COMMUNICATIONS IN SOIL SCIENCE AND PLANT ANALYSIS</t>
  </si>
  <si>
    <t>The 5 M sodium hydroxide (NaOH) chemical treatment was applied to the silt and clay fractions of three Chilean fertilized soils derived from volcanic materials tone Ultisol and two Andisols) in order to selectively concentrate iron oxides. The treatment was sequentially applied and results were followed by x-ray diffraction and Mossbauer spectroscopy. In all samples, dissolution chemical treatment concentrated iron oxides in variable degrees; and both, Mossbauer spectra and x-ray diffraction patterns were significantly improved after three successive hot NaOH treatments. Best results were obtained for the Ultisol sample which is the oldest soil with the lowest organic matter content. The Mossbauer spectrum after three NaOH treatments of Ultisol silt fraction reveals characteristic features of partially oxidized magnetite, leading to two probability profiles of the hyper-fine field distribution: one of them due to mixed valence iron (Fe3+/2+) ions in octahedral sites [delta =0.59 mm s(-1), 2 epsilon (Q)=0.02 mm s(-1), with a maximum hyper-fine field at B-hf(max)=46.2 tesla]; the other distribution profile encompasses contribution from Fe3+ in tetrahedral sites [delta =0.30 mm s(-1), 2 epsilon (Q)=-0.04 mm s(-1), and B-hf(max)=48.2 tesla].</t>
  </si>
  <si>
    <t>Fabris, José/H-4121-2012</t>
  </si>
  <si>
    <t>Pizarro, Carmen/0000-0003-4927-5681</t>
  </si>
  <si>
    <t>0010-3624</t>
  </si>
  <si>
    <t>19-20</t>
  </si>
  <si>
    <t>10.1080/00103620009370654</t>
  </si>
  <si>
    <t>WOS:000165321900012</t>
  </si>
  <si>
    <t>ENCINAS, MV; PREVITALI, CM; BERTOLOTTI, SG; NEUMANN, MG</t>
  </si>
  <si>
    <t>THE INTERACTION OF THE EXCITED-STATES OF SAFRANINE-T WITH ALIPHATIC-AMINES IN ORGANIC-SOLVENTS</t>
  </si>
  <si>
    <t>PHOTOCHEMISTRY AND PHOTOBIOLOGY</t>
  </si>
  <si>
    <t>The reactions of the excited states of safranine T with aliphatic amines have been studied in methanol and acetonitrile. Quenching of the singlet and triplet states occurs by different mechanisms. Whereas the former excited state is quenched by a charge-transfer mechanism, the triplet state is quenched through proton transfer from the excited dye to the amine. This process leads to the unprotonated form of the dye in the triplet state, which is later quenched by amines to form the corresponding semireduced species. The monoprotonated triplet also undergoes self-quenching in both solvents (k = 1.2 X 10(8) M(-1) s(-1)).</t>
  </si>
  <si>
    <t>Encinas, Maria/L-9686-2014; Neumann, Miguel/AAM-1395-2021</t>
  </si>
  <si>
    <t>0031-8655</t>
  </si>
  <si>
    <t>10.1111/j.1751-1097.1995.tb05240.x</t>
  </si>
  <si>
    <t>WOS:A1995RJ71000010</t>
  </si>
  <si>
    <t>DELARCO, M; CARRAZAN, SRG; RIVES, V; GILLLAMBIAS, FJ; MALET, P</t>
  </si>
  <si>
    <t>SOLID-STATE REACTION BETWEEN MOLYBDENA AND ALUMINA - EFFECT OF WATER-VAPOR PRESSURE ON THE DISPERSION AND NATURE OF THE SUPPORTED PHASES</t>
  </si>
  <si>
    <t>1st International Conference on Materials Chemistry</t>
  </si>
  <si>
    <t>JUL, 1993</t>
  </si>
  <si>
    <t>ABERDEEN, SCOTLAND</t>
  </si>
  <si>
    <t>ROYAL SOC CHEM</t>
  </si>
  <si>
    <t>The dispersion and nature of surface species formed upon calcination of MoO3-gamma-Al2O3 mixtures at 770 K for 10 h and with different molybdena loadings under different water vapour pressures [P(H2O)] have been studied by X-ray diffraction (XRD), zero-point charge (ZPC) measurements and temperature-programmed reduction (TPR); P(H2O) was in the range 25-45 Torr with MoO3 loadings up to 2 monolayers (1 monolayer=0.1681 g MoO3/g Al2O3). The intensity of the most intense XRD peak of MoO3 at 326 pm decreased as P(H2O) increased, indicating an increase in the concentration of surface species different from bulk MoO3. Up to 0.7 monolayer MoO3 loading, covering of the Al2O3 surface with Mo-containing species increases with increasing P(H2O); ZPC at P(H2O)=45 Torr was coincident with that of MoO3. P(H2O) has no effect on the dispersion of high loaded samples (above 1 monolayer), where all the support surface is covered even for P(H2O)=25 Torr. TPR results indicate the presence of species with different reducibilities, depending on P(H2O) and MoO3 loading; their nature has been assessed by comparison with previous results for samples obtained by impregnation; bulk MoO3 (responsible for high-temperature reduction peaks) formation has been observed at high MoO3 loadings.</t>
  </si>
  <si>
    <t>Malet, Pilar/H-5758-2011; Del Arco, Margarita/A-5102-2017; Gonzalez Carrrazan, Silvia/K-7166-2014; Rives, Vicente/A-8719-2008</t>
  </si>
  <si>
    <t>Del Arco, Margarita/0000-0003-0277-0298; Gonzalez Carrrazan, Silvia/0000-0001-9917-9909; Rives, Vicente/0000-0002-0518-8351</t>
  </si>
  <si>
    <t>10.1039/jm9940400047</t>
  </si>
  <si>
    <t>WOS:A1994MT64400010</t>
  </si>
  <si>
    <t>MOYA, SA; FLORES, A; ESCUDEY, M; VENEGAS, R; CASTELLO, G; LATORRE, R</t>
  </si>
  <si>
    <t>MOSSBAUER-SPECTROSCOPY FOR THE CHARACTERIZATION OF SOILS USED AS CATALYSTS</t>
  </si>
  <si>
    <t>HYPERFINE INTERACTIONS</t>
  </si>
  <si>
    <t>LATIN AMERICAN CONF ON THE APPLICATIONS OF THE MOSSBAUER EFFECT ( LACAME 90 )</t>
  </si>
  <si>
    <t>OCT 29-NOV 02, 1990</t>
  </si>
  <si>
    <t>HAVANA, CUBA</t>
  </si>
  <si>
    <t>UN IND DEV ORG,INT CTR THEORET PHYS,LATIN AMER CTR PHYS,UNESCO,NISHIN STEEL,WISSENSCH ELEKTR,AMERSHAM INT</t>
  </si>
  <si>
    <t>We have recently reported the use of volcanic ash soil as an iron supported catalyst for the water gas shift reaction, taking into account that one of the characteristics of Chilean soils is their large specific surface area and high iron oxide contents. Here we report the characterization of the soil material which was used as catalysts by means of Mossbauer spectroscopy at room and low temperature. The spectra were dominated by a broad central doublet, which was analyzed into two components attributable to paramagnetic ferric iron. They also show two low intensity magnetically splitted sites, with IS and H(eff) which may be assigned to magnetite or a similar substituted ferrite. No hematite or other common soil iron oxides seem to be present on these samples, but the presence of low crystallinity ferrihydrite may be associated with the central doublets.</t>
  </si>
  <si>
    <t>0304-3843</t>
  </si>
  <si>
    <t>1-4</t>
  </si>
  <si>
    <t>10.1007/BF02398204</t>
  </si>
  <si>
    <t>WOS:A1991GY21800025</t>
  </si>
  <si>
    <t>QUINA, F; SEPULVEDA, L; SARTORI, R; ABUIN, EB; PINO, CG; LISSI, EA</t>
  </si>
  <si>
    <t>BINDING OF ELECTROLYTES TO POLY(ETHYLENE OXIDE) IN METHANOL</t>
  </si>
  <si>
    <t>MACROMOLECULES</t>
  </si>
  <si>
    <t>0024-9297</t>
  </si>
  <si>
    <t>10.1021/ma00158a010</t>
  </si>
  <si>
    <t>WOS:A1986A985300010</t>
  </si>
  <si>
    <t>Ramírez-Santana, M; Arancibia, SC; Bachelet, VC</t>
  </si>
  <si>
    <t>Ramirez-Santana, Muriel; Arancibia, Sandra Cortes; Bachelet, Vivienne C.</t>
  </si>
  <si>
    <t>Lithium mining: How can science address a new exposure scenario in workers that has not been previously studied?</t>
  </si>
  <si>
    <t>Bachelet, Vivienne/JAN-7158-2023; Ramirez-Santana, Muriel/L-3644-2013</t>
  </si>
  <si>
    <t>Ramirez-Santana, Muriel/0000-0002-3642-6965; Cortes, Sandra/0000-0003-3293-1419; Bachelet, Vivienne C./0000-0002-5715-9755</t>
  </si>
  <si>
    <t>e3029</t>
  </si>
  <si>
    <t>10.5867/medwave.2024.09.3029</t>
  </si>
  <si>
    <t>WOS:001362789700004</t>
  </si>
  <si>
    <t>Rojas, P; Castro, SA; Vila, I; Jaksic, FM</t>
  </si>
  <si>
    <t>Rojas, Pablo; Castro, Sergio A.; Vila, Irma; Jaksic, Fabian M.</t>
  </si>
  <si>
    <t>Differential response of the components of functional diversity in Orestias fishes (Cyprinodontidae) of the High Andean Plateau</t>
  </si>
  <si>
    <t>GLOBAL ECOLOGY AND CONSERVATION</t>
  </si>
  <si>
    <t>Orestias (Cyprinodontiformes, Cyprinodontidae) is a diverse genus of freshwater fish endemic to the high Andean plateau (Altiplano) of the Andes Mountains, South America. Within the Altiplano, Orestias species form assemblages of varying taxonomic richness, exhibiting considerable diversity in morphological forms and sizes, and occupying different habitat types. Here, we investigate the functional diversity of Orestias assemblages in two basins within the Altiplano: Titicaca Lake and the southwestern Altiplano basins. Titicaca Lake is characterized by high species diversity that evolved sympatrically, while the southwestern Altiplano has lower species diversity that evolved allopatrically. Given that taxonomic diversity under sympatric conditions can promote greater functional diversity, we hypothesize that the Titicaca assemblage should display higher indicators of functional diversity. By using traits related to locomotion, food acquisition, and habitat type to quantify functional diversity we used four functional diversity indicators (functional richness, divergence, specialization, and originality) to compare the Orestias assemblages in two basins. We found no difference in functional divergence and originality between the Orestias from two basins. However, functional specialization was higher in the southwestern Altiplano, contrary to our hypothesis. Only functional richness was higher Titicaca assemblage; supporting our hypothesis. The differentiation between assemblages arises primarily from traits associated with locomotion and food acquisition. Several Orestias species are considered endangered and the extinction of any these taxa could impact the functional diversity of these basins.</t>
  </si>
  <si>
    <t>Jaksic, Fabian/G-1705-2014</t>
  </si>
  <si>
    <t>2351-9894</t>
  </si>
  <si>
    <t>e02940</t>
  </si>
  <si>
    <t>10.1016/j.gecco.2024.e02940</t>
  </si>
  <si>
    <t>WOS:001228640000001</t>
  </si>
  <si>
    <t>Contreras, D; Barrueto, A; Korba, P; Riquelme, E; Chávez, H; Sevilla, FRS</t>
  </si>
  <si>
    <t>Contreras, Diego; Barrueto, Aldo; Korba, Petr; Riquelme, Esteban; Chavez, Hector; Sevilla, Felix Rafael Segundo</t>
  </si>
  <si>
    <t>Parameter Identification Algorithm for a Two coherent-area Reduced-order model Power System</t>
  </si>
  <si>
    <t>2024 INTERNATIONAL CONFERENCE ON SMART GRID SYNCHRONIZED MEASUREMENTS AND ANALYTICS, SGSMA 2024</t>
  </si>
  <si>
    <t>International Conference on Smart Grid Synchronized Measurements and Analytics (SGSMA)</t>
  </si>
  <si>
    <t>MAY 21-23, 2024</t>
  </si>
  <si>
    <t>Washington, DC</t>
  </si>
  <si>
    <t>With the increasing integration of sustainable energies and their power electronics interfaces, power systems have experienced a significant reduction in inertia, which can potentially lead to instability. Such disturbances can cause power systems to experience transient non-coherency, behaving as multiple independent electrical islands, where the synchronous generators within each zone oscillate coherently in frequency. Although detailed models are essential for implementing predictive and corrective methods, they present high complexity due to their large number of nonlinear equations. Consequently, there is a need for simplified models that accurately represent the behavior of multi-area power systems. In this study, an innovative algorithm is presented to identify the parameters of a reduced-order model that represents the frequency response of a two-area power system. The model and the algorithm are validated using simulated data from IEEE 39-Bus benchmark, and the results demonstrate the effectiveness of the algorithm in identifying system behavior.</t>
  </si>
  <si>
    <t>979-8-3503-1287-4; 979-8-3503-1288-1</t>
  </si>
  <si>
    <t>10.1109/SGSMA58694.2024.10571466</t>
  </si>
  <si>
    <t>WOS:001260341500019</t>
  </si>
  <si>
    <t>Alvarez, E; Lizama, C; Murillo-Arcila, M</t>
  </si>
  <si>
    <t>Alvarez, Edgardo; Lizama, Carlos; Murillo-Arcila, Marina</t>
  </si>
  <si>
    <t>Strongly LP well-posedness for abstract time-fractional Moore-Gibson-Thompson type equations</t>
  </si>
  <si>
    <t>We obtain necessary and sufficient conditions for the strongly LP well-posedness of three abstract evolution equations, arising from fractional Moore-Gibson-Thompson type equations which have recently appeared in the literature. We use Fourier multiplier techniques to derive new characterizations in terms of the R-boundedness of the operator-valued symbol associated to each abstract model, when endowed with the time-fractional Liouville-Grunwald derivative. As a consequence of our characterization, we give new insights into the differences between the models based on the structure of the respective operator-valued symbols and show novel applications by including several classes of operators other than the Laplacian. (c) 2023 The Author(s). Published by Elsevier Inc. This is an open access article under the CC BY-NC-ND license (http://creativecommons .org /licenses /by -nc -nd /4 .0/).</t>
  </si>
  <si>
    <t>Lizama, Carlos/E-5909-2011; Murillo, Marina/ABI-7284-2020</t>
  </si>
  <si>
    <t>10.1016/j.jde.2023.08.023</t>
  </si>
  <si>
    <t>WOS:001079857800001</t>
  </si>
  <si>
    <t>Parada, SP; Salas, CB; Burbi, S</t>
  </si>
  <si>
    <t>Parada, Santiago Peredo; Salas, Claudia Barrera; Burbi, Sara</t>
  </si>
  <si>
    <t>Biodiversity of Soil Mesofauna Associated with the Design of Home Gardens in Mapuche Agroecosystems-Case Study in the Araucania Region</t>
  </si>
  <si>
    <t>LAND</t>
  </si>
  <si>
    <t>Home gardens play a transcendental role in food sovereignty, for which the management of habitats above ground and underground are complementary strategies. This study aims to compare the biodiversity of soil mesofauna groups between agroecosystems with a conventional and an agroecological design. Through the combination of quantitative (plant inventories) and qualitative (mobile interviewing and talking maps) techniques, the units of this study was described. Soil samples were mounted in a Berlesse-Tullgren system, and the abundance, richness, diversity, and equality of soil organisms were determined. The relationships between functional groups were compared taxonomically and biocenotically. The results indicated higher equality in the conventional home garden, while the communities studied present a medium taxocenotic similarity, without great biocenotic differences. The diversity and richness of taxa, as well as the abundance in each group identified, were higher in the agroecological garden, which had more medicinal and aromatic plants.</t>
  </si>
  <si>
    <t>Burbi, Sara/AFM-2906-2022</t>
  </si>
  <si>
    <t>Burbi, Sara/0000-0002-9035-7374</t>
  </si>
  <si>
    <t>2073-445X</t>
  </si>
  <si>
    <t>10.3390/land12091704</t>
  </si>
  <si>
    <t>WOS:001074169900001</t>
  </si>
  <si>
    <t>Alvarez, RC; Gimenez, B; Mackie, A; Torcello-Gomez, A; Quintriqueo, A; Oyarzún-Ampuero, F; Robert, P</t>
  </si>
  <si>
    <t>Carolina Alvarez, Rudy; Gimenez, Begona; Mackie, Alan; Torcello-Gomez, Amelia; Quintriqueo, Alejandra; Oyarzun-Ampuero, Felipe; Robert, Paz</t>
  </si>
  <si>
    <t>Influence of the particle size of encapsulated chia oil on the bioaccessibility during in vitro gastrointestinal digestion</t>
  </si>
  <si>
    <t>ANNALS OF NUTRITION AND METABOLISM</t>
  </si>
  <si>
    <t>Mackie, Alan/N-7780-2018; Quintriqueo, Alejandra/KHY-0240-2024</t>
  </si>
  <si>
    <t>0250-6807</t>
  </si>
  <si>
    <t>1421-9697</t>
  </si>
  <si>
    <t>OAB(T7)1-1</t>
  </si>
  <si>
    <t>WOS:001084581001358</t>
  </si>
  <si>
    <t>Mir, FR; Renard, GM; Rivarola, MA</t>
  </si>
  <si>
    <t>Mir, Franco R. R.; Renard, Georgina M. M.; Rivarola, Maria Angelica</t>
  </si>
  <si>
    <t>Parental enriched environment: A look through key temporary windows</t>
  </si>
  <si>
    <t>JOURNAL OF NEUROENDOCRINOLOGY</t>
  </si>
  <si>
    <t>Environmental enrichment is a widely used experimental manipulation that physically, cognitively and socially stimulates individuals. It has a great variety of long-term effects at neuroanatomical, neurochemical, and behavioral level; however, the influence of parental environmental enrichment during gestation and pregestation on the development of the offspring and on the mother's behavior has been poorly explored. This article presents a review of the literature from the year 2000 about the effects of maternal and paternal environmental enrichment on the behavioral, endocrine, and neural systems of offspring and parents. Relevant research terms were searched for on the biomedical databases, PubMed, Medline, ScienceDirect, and Google Scholar. The data suggest that paternal/maternal environmental enrichment can profoundly affect the developmental trajectories of offspring through putative epigenetic mechanisms. Environmental enrichment presents as a promising therapeutic tool for human health interventions, especially to counteract the deleterious effects of impoverished and adverse growing conditions.</t>
  </si>
  <si>
    <t>Mir, Franco Rafael/0000-0001-9327-7751; Rivarola, Maria Angelica/0000-0002-2194-2465; Renard, Georgina Maria/0000-0002-5439-7547</t>
  </si>
  <si>
    <t>0953-8194</t>
  </si>
  <si>
    <t>1365-2826</t>
  </si>
  <si>
    <t>10.1111/jne.13308</t>
  </si>
  <si>
    <t>JUN 2023</t>
  </si>
  <si>
    <t>WOS:001002715900001</t>
  </si>
  <si>
    <t>Vergara, PM; Fierro, A; Carvajal, MA; Alaniz, AJ; Zorondo-Rodríguez, F; Cifuentes, MC; Castro, SA</t>
  </si>
  <si>
    <t>Vergara, Pablo M.; Fierro, Andres; Carvajal, Mario A.; Alaniz, Alberto J.; Zorondo-Rodriguez, Francisco; Cifuentes, Maria C.; Castro, Sergio A.</t>
  </si>
  <si>
    <t>Environmental and biotic filters interact to shape the coexistence of native and introduced bees in northern Patagonian forests</t>
  </si>
  <si>
    <t>AGRICULTURE ECOSYSTEMS &amp; ENVIRONMENT</t>
  </si>
  <si>
    <t>Native and introduced species can coexist in rich ecosystems where competition for resources is less intense; however, native species can be excluded from suitable habitats hosting a high abundance of introduced species. To test these hypotheses, we estimated the probability of introduced bees (buff-tailed bumblebees and honeybees) to co-occur and dominate giant bumblebees in forested landscapes of northern Patagonia. We evaluated the effects of 29 remote-sensing variables of forest ecosystems on bee abundance using data from 56 landscapes. Then, we used a probabilistic Bayesian model to estimate the effects of the most important predictors of bee abundance on their co-occurrence and dominance probabilities. Introduced and native bees exhibited heterogeneous and scale-dependent responses to environmental conditions, with only six variables affecting their cooccurrence and dominance probabilities. A high maximum temperature was associated with both a decreased co-occurrence and an increased dominance of introduced bumblebees, and the opposed pattern was found for vegetation continuous fields, an index of canopy continuity. Similar responses were found for the co-occurrence probability of honeybees and giant bumblebees. Thus, species dominance and co-occurrence changed differently along environmental gradients, with co-occurrence increasing as native and introduced species become more abundant. A high dominance of introduced bees in unsuitable habitats suggests interspecific competition is strengthened as resources become scarcer, thus reinforcing the idea that abiotic and biotic filters interact with each other.</t>
  </si>
  <si>
    <t>Zorondo-Rodríguez, Francisco/GWU-8371-2022; Vergara, Pablo/F-2519-2010; Carvajal, Mario/GYU-2659-2022; Alaniz, Alberto/J-3104-2019; Zorondo-Rodriguez, Francisco/I-8273-2014</t>
  </si>
  <si>
    <t>Zorondo-Rodriguez, Francisco/0000-0001-6469-9859</t>
  </si>
  <si>
    <t>0167-8809</t>
  </si>
  <si>
    <t>1873-2305</t>
  </si>
  <si>
    <t>JUN 15</t>
  </si>
  <si>
    <t>10.1016/j.agee.2023.108465</t>
  </si>
  <si>
    <t>MAR 2023</t>
  </si>
  <si>
    <t>WOS:001001997000001</t>
  </si>
  <si>
    <t>Boulett, A; Roa, K; Oyarce, E; Xiao, LP; Sun, RC; Pizarro, GD; Sanchez, J</t>
  </si>
  <si>
    <t>Boulett, Andres; Roa, Karina; Oyarce, Estefania; Xiao, Ling-Ping; Sun, Run-Cang; Pizarro, Guadalupe del C.; Sanchez, Julio</t>
  </si>
  <si>
    <t>Reusable hydrogels based on lignosulfonate and cationic polymer for the removal of Cr(VI) from wastewater</t>
  </si>
  <si>
    <t>COLLOIDS AND SURFACES A-PHYSICOCHEMICAL AND ENGINEERING ASPECTS</t>
  </si>
  <si>
    <t>In this investigation, absorbent materials based on the polymer poly ([2-(acryloyloxy)ethyl]trimethylammonium chloride) were synthesized by radical polymerization using varying amounts of sodium lignosulfonate (LS) (0.00-30.0 wt%). The chemical composition was corroborated by Fourier transform infrared spectroscopy, and thermogravimetric analysis showed an increase in the thermal stability of the materials with the incorporation of LS. A porous surface with grooves was observed by scanning electron microscopy. In addition, the hydration in water and the removal capacity of hexavalent chromium (Cr(VI)) were tested by evaluating different experi-mental parameters. A hydration capacity of over 2000% was obtained when the incorporated percentage of LS exceeded 20.0 wt%. A maximum Cr(VI) removal efficiency of 88.4% was obtained by the adsorbent prepared with 5.00 wt% LS. The obtained results were well fit by a pseudosecond-order kinetic model and the Langmuir isotherm model. The presence of chromium on the surfaces of the adsorbents was corroborated. It was also found that the presence of interfering species led to a decrease of up to 11.0% of the maximum retention of Cr(VI) and that the materials could be reused up to five times without a significant decrease in efficiency. The adsorbent material prepared in this research has promising properties for application in the removal of metal anions, which could be extended to various anionic pollutants present in wastewater.</t>
  </si>
  <si>
    <t>Sanchez, Julio/AEO-4360-2022; PIZARRO, GUADALUPE/V-3353-2017; Xiao, Ling-Ping/C-1259-2011; Sun, Run-Cang/Z-3747-2019</t>
  </si>
  <si>
    <t>0927-7757</t>
  </si>
  <si>
    <t>1873-4359</t>
  </si>
  <si>
    <t>JAN 5</t>
  </si>
  <si>
    <t>10.1016/j.colsurfa.2022.130359</t>
  </si>
  <si>
    <t>OCT 2022</t>
  </si>
  <si>
    <t>WOS:000877597600001</t>
  </si>
  <si>
    <t>González, JL; Onederra, I</t>
  </si>
  <si>
    <t>Gonzalez, Jorge Leiva; Onederra, Italo</t>
  </si>
  <si>
    <t>Environmental Management Strategies in the Copper Mining Industry in Chile to Address Water and Energy Challenges-Review</t>
  </si>
  <si>
    <t>MINING</t>
  </si>
  <si>
    <t>The mining industry faces diverse challenges to maintain sustainable production, particularly regarding critical water and energy supplies. As a significant player in the copper mining industry, Chile has become a global reference. Therefore, this research analyses the distinct challenges of the Chilean copper mining industry in terms of water and energy. We also identified ten key challenges that the Chilean copper mining industry must address to remain competitive and relevant. Several mining companies were examined to review and understand the different types of Environmental Management Initiatives (EMIs) adopted. The most prevailing strategies involved implementing Environmental Management Systems, which allow organisations to define, implement, and track their specific goals and standards. This review acknowledged four relevant water-related initiatives, including seawater use, community strategic plans, general environmental monitoring programs, and water recycling and recirculation systems. In terms of energy, the key initiatives included energy efficiency projects, the use of Non-Conventional Renewable Energy (NCRE), and mine process optimisation. The benefits of implementing EMIs are multiple, with the most relevant being ensuring continuous operation, cost reduction, and improved Social License to Operate (SLO) outcomes.</t>
  </si>
  <si>
    <t>2673-6489</t>
  </si>
  <si>
    <t>10.3390/mining2020012</t>
  </si>
  <si>
    <t>WOS:001466807700001</t>
  </si>
  <si>
    <t>Lira, A; Muñoz-García, AL; Loncon, E</t>
  </si>
  <si>
    <t>Lira, Andrea; Luisa Munoz-Garcia, Ana; Loncon, Elisa</t>
  </si>
  <si>
    <t>Circulo Domoche: making memory and doing methodology as we go</t>
  </si>
  <si>
    <t>INTERNATIONAL JOURNAL OF RESEARCH &amp; METHOD IN EDUCATION</t>
  </si>
  <si>
    <t>In this article, we reflect on a research method we called Circulo Domoche, part of a larger research project on the histories of schooling of Mapuche women in Chile in a context of continual violence against Indigenous people. It originates in the personal experience of the researchers with Chilean schooling and our academic work on education. We share our process of methodological exploration for studying the stories of schooling of Mapuche women from multiple generations. The three authors, along with four others, met periodically and wrote each other letters to talk about our memories of schooling to explore ways of doing research that does not reproduce epistemicide and exploitation of Indigenous people through research. Building on theoretical perspectives from Indigenous scholars and scholars of colour we developed a way of making memory while doing research together. We propose thinking of methodology as not structured beforehand but one that grows along with and as the research unfolds. We share here this community construction as resistance to necropolitics as well as what we have learned by creating spaces of refusal within an academy that functions in a different logic of neoliberal regulation of the construction of knowledge.</t>
  </si>
  <si>
    <t>Loncon, Elisa/0000-0003-3239-1723</t>
  </si>
  <si>
    <t>1743-727X</t>
  </si>
  <si>
    <t>1743-7288</t>
  </si>
  <si>
    <t>MAY 27</t>
  </si>
  <si>
    <t>10.1080/1743727X.2022.2052721</t>
  </si>
  <si>
    <t>WOS:000783399000001</t>
  </si>
  <si>
    <t>Olea, F; Durán, G; Diaz, G; Villarroel, E; Araya-López, C; Cabezas, R; Merlet, G; Romero, J; Quijada-Maldonado, E</t>
  </si>
  <si>
    <t>Olea, Felipe; Duran, Guillermo; Diaz, Georgina; Villarroel, Eduardo; Araya-Lopez, Claudio; Cabezas, Rene; Merlet, Gaston; Romero, Julio; Quijada-Maldonado, Esteban</t>
  </si>
  <si>
    <t>Ionic Liquids for the Selective Solvent Extraction of Lithium from Aqueous Solutions: A Theoretical Selection Using COSMO-RS</t>
  </si>
  <si>
    <t>In this study, the theoretical design of ionic liquids (ILs) for predicting selective extraction of lithium from brines has been conducted using COSMO-RS. A theoretical model for the solvent extraction (SX) of the metal species present in brines was established considering extraction stoichiometry, the distribution of the extractants between aqueous and IL phases, and IL dissociation in the aqueous phase. Theoretical results were validated using experimental extraction percentages from previous works. Results indicate that, in general, the theoretical results for lithium extraction follow experimental trends, except from magnesium extraction. Finally, based on the model, an IL was proposed that was based on the phosphonium cation as the extractant, along with the phase modifier tributylphosphate (TBP) in an organic diluent in order to improve selectivity for lithium extraction over sodium. These results provide an insight for the application of ILs in lithium processing, avoiding the long purification times reported in the conventional process.</t>
  </si>
  <si>
    <t>Araya Lopez, Claudio/KXR-0295-2024; Cabezas, Rene/HAR-6189-2022; Villarroel Utreras, Eduardo/LCD-3437-2024; olea, felipe/IAN-5687-2023; Romero, Julio/I-6705-2013; Merlet Venturelli, Gaston/B-4109-2019</t>
  </si>
  <si>
    <t>Villarroel, Eduardo/0000-0001-5208-3512; Romero, Julio/0000-0002-1229-1592; Merlet Venturelli, Gaston/0000-0003-2602-6471; Cabezas, Rene/0000-0002-4162-3429; Olea Chandia, Felipe/0000-0002-6349-6184; Quijada-Maldonado, Esteban/0000-0003-1411-4327</t>
  </si>
  <si>
    <t>10.3390/min12020190</t>
  </si>
  <si>
    <t>WOS:000764342600001</t>
  </si>
  <si>
    <t>Morales, C; Lismayes, A; Chavez, H; Chamorro, HR; Reyes-Chamorro, L</t>
  </si>
  <si>
    <t>Morales, Cristobal; Lismayes, Augusto; Chavez, Hector; Chamorro, Harold R.; Reyes-Chamorro, Lorenzo</t>
  </si>
  <si>
    <t>The Impact of Aging-Preventive Algorithms on BESS Sizing under AGC Performance Standards</t>
  </si>
  <si>
    <t>ENERGIES</t>
  </si>
  <si>
    <t>It is normally accepted that Battery Energy Storage Systems improve frequency regulation by providing fast response to the Automatic Generation Control. However, currently available control strategies may lead to early Energy Storage Systems aging given that Automatic Generation Control requirements are increasing due to zero carbon power generation integration. In this sense, it is important to analyze the aging phenomena in order to assess the technical-economical usefulness of Battery Energy Storage Systems towards zero carbon power systems. In order to avoid early aging, various proposals on aging-reducing algorithms can be found; however, it is unclear if those aging-reducing algorithms affect the performance of Battery Energy Storage Systems. It is also unclear whether those effects must be internalized to properly dimension the capacity of Battery Energy Storage Systems to both comply with performance standards and to prevent early aging. Thus, this paper estimates the storage capacity of a Battery Energy Storage Systems to comply with Automatic Generation Control performance standard under aging-reducing operating algorithms by dynamics simulations of a reduced-order, empirically-validated model of the Electric Reliability Council of Texas. The results show the relationship between the required performance of Automatic Generation Control and Battery Energy Storage System capacity, considering a 1-year simulation of Automatic Generation Control dynamics. It can be concluded that the compliance with performance standards is strongly related to the storage capacity, regardless of how fast the device can inject or withdraw power from the grid. Previous results in the state-of-the-art overlook the quantification of this relationship between compliance with performance standards and storage capacity.</t>
  </si>
  <si>
    <t>Reyes-Chamorro, Lorenzo/T-6686-2019</t>
  </si>
  <si>
    <t>Chavez, Hector/0000-0003-2849-0876</t>
  </si>
  <si>
    <t>1996-1073</t>
  </si>
  <si>
    <t>10.3390/en14217231</t>
  </si>
  <si>
    <t>WOS:000718547200001</t>
  </si>
  <si>
    <t>Allende-Seco, R; Artigas, A; Bruna, H; Carvajal, L; Monsalve, A; Sklate-Boja, MF</t>
  </si>
  <si>
    <t>Allende-Seco, Rodrigo; Artigas, Alfredo; Bruna, Hector; Carvajal, Linton; Monsalve, Alberto; Sklate-Boja, Maria Florencia</t>
  </si>
  <si>
    <t>Hardening by Transformation and Cold Working in a Hadfield Steel Cone Crusher Liner</t>
  </si>
  <si>
    <t>METALS</t>
  </si>
  <si>
    <t>This paper presents the characterization of a secondary cone crusher concave liner made of Hadfield steel used in Chilean mining after crushing copper minerals during all service life. During use, a cone crusher concave liner suffers indentation (cold working) and abrasion; this combination provides the concave with a layer that constantly renews itself, maintaining a surface highly resistant to abrasive wear. The results presented here were obtained using optical microscopy, microhardness test, measuring abrasion using the dry sand/rubber wheel apparatus, and x-ray diffraction peaks analysis through the classic Williamson-Hall method. After analysis of results, two hardened surfaces have been found-one a product of heat treatment and the other due to deformation during use. This work proposes ways to explain them; the first one uses a thermodynamic model to calculate stacking fault energy, and the second compares the liner with cold-rolled samples.</t>
  </si>
  <si>
    <t>Artigas, Alfredo/Y-1185-2019; Allende, Rodrigo/N-5507-2017</t>
  </si>
  <si>
    <t>Carvajal Ortega, Linton Patricio/0000-0002-5414-2755; Sklate Boja, Maria Florencia/0000-0001-9436-7169; Allende, Rodrigo/0000-0002-2115-8160; Monsalve, Alberto/0000-0002-5772-8815; Bruna, Hector/0000-0003-0157-3620</t>
  </si>
  <si>
    <t>2075-4701</t>
  </si>
  <si>
    <t>10.3390/met11060961</t>
  </si>
  <si>
    <t>WOS:000666010800001</t>
  </si>
  <si>
    <t>Leon, G; Cuéllar, S; González, E; Lepe, S; Michea, C; Millano, AD</t>
  </si>
  <si>
    <t>Leon, Genly; Cuellar, Sebastian; Gonzalez, Esteban; Lepe, Samuel; Michea, Claudio; Millano, Alfredo D.</t>
  </si>
  <si>
    <t>Averaging generalized scalar field cosmologies II: locally rotationally symmetric Bianchi I and flat Friedmann-Lemaitre-Robertson-Walker models</t>
  </si>
  <si>
    <t>Scalar field cosmologies with a generalized harmonic potential and a matter fluid with a barotropic equation of state (EoS) with barotropic index gamma for the locally rotationally symmetric (LRS) Bianchi I and flat Friedmann-Lemaitre-Robertson-Walker (FLRW) metrics are investigated. Methods from the theory of averaging of nonlinear dynamical systems are used to prove that time-dependent systems and their corresponding time-averaged versions have the same late-time dynamics. Therefore, the simplest time-averaged system determines the future asymptotic behavior. Depending on the values of gamma, the late-time attractors of physical interests are flat quintessence dominated FLRW universe and Einstein-de Sitter solution. With this approach, the oscillations entering the system through the Klein-Gordon (KG) equation can be controlled and smoothed out as the Hubble parameter H - acting as time-dependent perturbation parameter - tends monotonically to zero. Numerical simulations are presented as evidence of such behavior.</t>
  </si>
  <si>
    <t>González, Esteban/AGF-1575-2022; Millano, Alfredo/JLL-5668-2023; Leon, Genly/E-9436-2015</t>
  </si>
  <si>
    <t>Gonzalez Banda, Esteban/0000-0001-6769-5722; Michea, Claudio/0000-0002-4528-134X; Millano, Alfredo/0000-0002-1625-0624; Leon, Genly/0000-0002-1152-6548</t>
  </si>
  <si>
    <t>10.1140/epjc/s10052-021-09230-5</t>
  </si>
  <si>
    <t>WOS:000657455300005</t>
  </si>
  <si>
    <t>Pineda, C; Pereda, J; Burgos-Mellado, C; Watson, A; Rojas, F</t>
  </si>
  <si>
    <t>Pineda, Cristian; Pereda, Javier; Burgos-Mellado, Claudio; Watson, Alan; Rojas, Felix</t>
  </si>
  <si>
    <t>Zero-Current Switching (ZCS) for a High Step Ratio Modular Multilevel dc-dc Converter with wide voltage range operation</t>
  </si>
  <si>
    <t>2020 IEEE 21ST WORKSHOP ON CONTROL AND MODELING FOR POWER ELECTRONICS (COMPEL)</t>
  </si>
  <si>
    <t>IEEE Workshop on Control and Modeling for Power Electronics</t>
  </si>
  <si>
    <t>IEEE 21st Workshop on Control and Modeling for Power Electronics (COMPEL)</t>
  </si>
  <si>
    <t>NOV 09-12, 2020</t>
  </si>
  <si>
    <t>Aalborg, DENMARK</t>
  </si>
  <si>
    <t>The rise of new dc technologies is pushing the development of highly efficient dc-dc converters, especially at high voltage and high step ratio. Modular multilevel converters (MMCs) are an attractive alternative because they can manage medium and high dc voltages with standard semiconductor devices with high efficiency if they employ soft-switching techniques. However, the latest soft-switching techniques have been proposed for fixed voltage range, limiting their operation. This paper proposes a soft-switching modulation for the high step ratio Modular Multilevel dc-dc Converter in extended voltage range. The proposal achieves zero-current switching and regulates the voltage balance among the floating cell capacitors, while using a simple control scheme to regulate the output voltage. The theoretical analysis has been verified with full-scale simulations, demonstrating excellent dynamic response and reduced rms current.</t>
  </si>
  <si>
    <t>Rojas, Felix/U-3305-2019; Burgos-Mellado, Claudio/X-6305-2019; Pereda Torres, Javier/F-8244-2013</t>
  </si>
  <si>
    <t>Rojas, Felix/0000-0001-6145-2826; Pereda Torres, Javier/0000-0002-3407-5233; Watson, Alan/0000-0001-6763-5535</t>
  </si>
  <si>
    <t>2151-0997</t>
  </si>
  <si>
    <t>WOS:000659968200139</t>
  </si>
  <si>
    <t>Vallejo, G; Ato, M; Fernández, MP; Livacic-Rojas, PE</t>
  </si>
  <si>
    <t>Vallejo, Guillermo; Ato, Manuel; Paula Fernandez, M.; Livacic-Rojas, Pablo E.</t>
  </si>
  <si>
    <t>Sample size estimation for heterogeneous growth curve models with attrition</t>
  </si>
  <si>
    <t>BEHAVIOR RESEARCH METHODS</t>
  </si>
  <si>
    <t>In this study, two approaches were employed to calculate how large the sample size needs to be in order to achieve a desired statistical power to detect a significant group-by-time interaction in longitudinal intervention studiesa power analysis method, based on derived formulas using ordinary least squares estimates, and an empirical method, based on restricted maximum likelihood estimates. The performance of both procedures was examined under four different scenarios: (a) complete data with homogeneous variances, (b) incomplete data with homogeneous variances, (c) complete data with heterogeneous variances, and (d) incomplete data with heterogeneous variances. Several interesting findings emerged from this research. First, in the presence of heterogeneity, larger sample sizes are required in order to attain a desired nominal power. The second interesting finding is that, when there is attrition, the sample size requirements can be quite large. However, when attrition is anticipated, derived formulas enable the power to be calculated on the basis of the final number of subjects that are expected to complete the study. The third major finding is that the direct mathematical formulas allow the user to rigorously determine the sample size required to achieve a specified power level. Therefore, when data can be assumed to be missing at random, the solution presented can be adopted, given that Monte Carlo studies have indicated that it is very satisfactory. We illustrate the proposed method using real data from two previously published datasets.</t>
  </si>
  <si>
    <t>Vallejo, Guillermo/0000-0002-8010-6854; Fernandez, Paula/0000-0003-0140-7702</t>
  </si>
  <si>
    <t>1554-351X</t>
  </si>
  <si>
    <t>1554-3528</t>
  </si>
  <si>
    <t>10.3758/s13428-018-1059-y</t>
  </si>
  <si>
    <t>WOS:000469448400015</t>
  </si>
  <si>
    <t>Allahbakhshi, M; Antonioli, J; Yoo, J</t>
  </si>
  <si>
    <t>Allahbakhshi, Mahsa; Antonioli, John; Yoo, Jisang</t>
  </si>
  <si>
    <t>Relative equilibrium states and class degree</t>
  </si>
  <si>
    <t>ERGODIC THEORY AND DYNAMICAL SYSTEMS</t>
  </si>
  <si>
    <t>Given a factor code pi from a shift of finite type X onto a sofic shift Y, an ergodic measure v on Y, and a function V on X with sufficient regularity, we prove an invariant upper bound on the number of ergodic measures on X which project to v and maximize the measure pressure h (mu) + integral V d mu, among all measures in the fiber pi(-1) (v). If v is fully supported, this bound is the class degree of pi. This generalizes a previous result for the special case of V = 0 and thus settles a conjecture raised by Allahbakhshi and Quas.</t>
  </si>
  <si>
    <t>Yoo, Jisang/0000-0002-1964-9577</t>
  </si>
  <si>
    <t>0143-3857</t>
  </si>
  <si>
    <t>1469-4417</t>
  </si>
  <si>
    <t>10.1017/etds.2017.50</t>
  </si>
  <si>
    <t>WOS:000459725600001</t>
  </si>
  <si>
    <t>Neustupa, J; Siginer, DA</t>
  </si>
  <si>
    <t>Neustupa, Jiri; Siginer, Dennis A.</t>
  </si>
  <si>
    <t>Structure of the set of stationary solutions to the equations of motion of a class of generalized Newtonian fluids</t>
  </si>
  <si>
    <t>NONLINEAR ANALYSIS-REAL WORLD APPLICATIONS</t>
  </si>
  <si>
    <t>We investigate the steady-state equations of motion of the generalized Newtonian fluid in a bounded domain Omega subset of R-N, when N = 2 or N = 3. Applying the tools of nonlinear analysis (Smale's theorem, theory of Fredholm operators, etc.), we show that if the dynamic stress tensor has the 2-structure then the solution set is finite and the solutions are C-1-functions of the external volume force f for generic f. We also derive a series of properties of related operators in the case of a more general p-structure, show that the solution set is compact if p &gt; 3N/(N + 2) and explain why the same approach as in the case p = 2 cannot be applied if p not equal 2. (C) 2018 Elsevier Ltd. All rights reserved.</t>
  </si>
  <si>
    <t>Neustupa, Jiri/D-5459-2014</t>
  </si>
  <si>
    <t>1468-1218</t>
  </si>
  <si>
    <t>10.1016/j.nonrwa.2018.07.029</t>
  </si>
  <si>
    <t>WOS:000447085800039</t>
  </si>
  <si>
    <t>Melendez, C; Diaz, M; Rojas, F; Cardenas, R; Espinoza, M</t>
  </si>
  <si>
    <t>Melendez, Carlos; Diaz, Matias; Rojas, Felix; Cardenas, Roberto; Espinoza, Mauricio</t>
  </si>
  <si>
    <t>Control of a Double Fed Induction Generator based Wind Energy Conversion System equipped with a Modular Multilevel Matrix Converter</t>
  </si>
  <si>
    <t>2019 FOURTEENTH INTERNATIONAL CONFERENCE ON ECOLOGICAL VEHICLES AND RENEWABLE ENERGIES (EVER)</t>
  </si>
  <si>
    <t>14th International Conference on Ecological Vehicles and Renewable Energies (EVER)</t>
  </si>
  <si>
    <t>MAY 08-10, 2019</t>
  </si>
  <si>
    <t>Monte Carlo, MONACO</t>
  </si>
  <si>
    <t>Monaco Dev Durable,IEEE Ind Applicat Soc,IEEE Power &amp; Energy Soc,IEEE Tunisia Sect,IEEE France Sect,Fondat Prince Albert II Monaco,Soc Monegasque Electricite Gaz,KIA Motors,KYMCO,DS Automobiles,E Plus</t>
  </si>
  <si>
    <t>During the last years, the Modular Multilevel Matrix Converter (M3C) has been investigated due to its capacity tooperate in high voltage and power levels. This converter is appropriate for Wind Energy Conversion Systems (WECSs), due to its advantages such as redundancy, high power quality, expandability and control flexibility. For Double-Fed Induction Generator (DFIG) WECSs, the M3C has advantages additional benefits, for instance, high power density in the rotor, with a more compact modular converter, and control of bidirectional reactive power flow. Therefore, this paper presents a WECS composed of a DFIG and an M3C. The modelling and control of this WECS topology are described and analyzed in this paper. Additionally, simulation results are presented to validate the effectiveness of this proposal.</t>
  </si>
  <si>
    <t>Rojas, Felix/U-3305-2019; Espinoza, Mauricio/AAH-8647-2019; Cardenas, Roberto/C-6395-2011; Diaz, Matias/R-7570-2018</t>
  </si>
  <si>
    <t>Rojas, Felix/0000-0001-6145-2826; Cardenas, Roberto/0000-0003-3853-7703; Diaz, Matias/0000-0003-4489-9532</t>
  </si>
  <si>
    <t>978-1-7281-3703-2</t>
  </si>
  <si>
    <t>WOS:000505687800029</t>
  </si>
  <si>
    <t>Salinas, F; Rojas, V; Delgado, V; López, J; Agosin, E; Larrondo, LF</t>
  </si>
  <si>
    <t>Salinas, Francisco; Rojas, Vicente; Delgado, Veronica; Lopez, Javiera; Agosin, Eduardo; Larrondo, Luis F.</t>
  </si>
  <si>
    <t>Fungal Light-Oxygen-Voltage Domains for Optogenetic Control of Gene Expression and Flocculation in Yeast</t>
  </si>
  <si>
    <t>MBIO</t>
  </si>
  <si>
    <t>Optogenetic switches permit accurate control of gene expression upon light stimulation. These synthetic switches have become a powerful tool for gene regulation, allowing modulation of customized phenotypes, overcoming the obstacles of chemical inducers, and replacing their use by an inexpensive resource: light. In this work, we implemented FUN-LOV, an optogenetic switch based on the photon-regulated interaction of WC-1 and WD, two LOV (light-oxygen-voltage) blue-light photoreceptors from the fungus Neurospora crassa. When tested in yeast, FUN-LOV yields light-controlled gene expression with exquisite temporal resolution and a broad dynamic range of over 1,300-fold, as measured by a luciferase reporter. We also tested the FUN-LOV switch for heterologous protein expression in Saccharomyces cerevisiae, where Western blot analysis confirmed strong induction upon light stimulation, surpassing by 2.5 times the levels achieved with a classic GAL4/galactose chemical-inducible system. Additionally, we utilized FUN-LOV to control the ability of yeast cells to flocculate. Light-controlled expression of the flocculin-encoding gene FLO1, by the FUN-LOV switch, yielded flocculation in light (FIL), whereas the lightcontrolled expression of the corepressor TUP1 provided flocculation in darkness (FID). Altogether, the results reveal the potential of the FUN-LOV optogenetic switch to control two biotechnologically relevant phenotypes such as heterologous protein expression and flocculation, paving the road for the engineering of new yeast strains for industrial applications. Importantly, FUN-LOV's ability to accurately manipulate gene expression, with a high temporal dynamic range, can be exploited in the analysis of diverse biological processes in various organisms. IMPORTANCE Optogenetic switches are molecular devices which allow the control of different cellular processes by light, such as gene expression, providing a versatile alternative to chemical inducers. Here, we report a novel optogenetic switch (FUN-LOV) based on the LOV domain interaction of two blue-light photoreceptors (WC-1 and WD) from the fungus N. crassa. In yeast cells, FUN-LOV allowed tight regulation of gene expression, with low background in darkness and a highly dynamic and potent control by light. We used FUN-LOV to optogenetically manipulate, in yeast, two biotechnologically relevant phenotypes, heterologous protein expression and flocculation, resulting in strains with potential industrial applications. Importantly, FUN-LOV can be implemented in diverse biological platforms to orthogonally control a multitude of cellular processes.</t>
  </si>
  <si>
    <t>Rojas, Vicente/KEV-8263-2024; Salinas, Francisco/W-3269-2017; Larrondo, Luis/J-1086-2016</t>
  </si>
  <si>
    <t>Salinas, Francisco/0000-0002-8391-8145; Larrondo, Luis/0000-0002-8832-7109</t>
  </si>
  <si>
    <t>2150-7511</t>
  </si>
  <si>
    <t>e00626-18</t>
  </si>
  <si>
    <t>10.1128/mBio.00626-18</t>
  </si>
  <si>
    <t>WOS:000443884300004</t>
  </si>
  <si>
    <t>Báez-Grez, R; Ruiz, L; Pino-Rios, R; Tiznado, W</t>
  </si>
  <si>
    <t>Baez-Grez, R.; Ruiz, Lina; Pino-Rios, R.; Tiznado, W.</t>
  </si>
  <si>
    <t>Which NICS method is most consistent with ring current analysis? Assessment in simple monocycles</t>
  </si>
  <si>
    <t>RSC ADVANCES</t>
  </si>
  <si>
    <t>The aromaticity of benzene, Al-4(2-) cluster, cyclopropane, borazine and planar cyclooctatetraene (COT) was analyzed according to different strategies based on nucleus-independent chemical shift (NICS) computations. The analysis of NICS-components evolution along the main molecular axis seems to be the most adequate and simplest strategy to predict the aromatic or antiaromatic character of the studied systems. Moreover, the analysis of the sigma- and -electron contributions to the out-of-plane component of NICS (NICSzz) leads to the same qualitative and quantitative conclusions previously obtained by the analysis of the magnetically induced ring current densities.</t>
  </si>
  <si>
    <t>Báez-Grez, Rodrigo/AAM-4876-2021; Ruiz Hincapié, Lina María/H-9593-2019; Tiznado, William/G-7479-2014</t>
  </si>
  <si>
    <t>Ruiz Hincapie, Lina Maria/0000-0002-9363-2730; Pino Rios, Ricardo/0000-0003-4756-1115; Baez-Grez, Rodrigo/0000-0001-9303-1559; Tiznado, William/0000-0002-6061-8879</t>
  </si>
  <si>
    <t>2046-2069</t>
  </si>
  <si>
    <t>10.1039/c8ra01263f</t>
  </si>
  <si>
    <t>WOS:000430018700047</t>
  </si>
  <si>
    <t>Seguel, F; Krommenacker, N; Charpentier, P; Bombardier, V; Soto, I</t>
  </si>
  <si>
    <t>Seguel, Fabian; Krommenacker, Nicolas; Charpentier, Patrick; Bombardier, Vincent; Soto, Ismael</t>
  </si>
  <si>
    <t>Convex polygon positioning for homogeneous optical wireless networks</t>
  </si>
  <si>
    <t>2018 NINTH INTERNATIONAL CONFERENCE ON INDOOR POSITIONING AND INDOOR NAVIGATION (IPIN 2018)</t>
  </si>
  <si>
    <t>International Conference on Indoor Positioning and Indoor Navigation</t>
  </si>
  <si>
    <t>9th International Conference on Indoor Positioning and Indoor Navigation (IPIN)</t>
  </si>
  <si>
    <t>SEP 24-27, 2018</t>
  </si>
  <si>
    <t>Nantes, FRANCE</t>
  </si>
  <si>
    <t>Team Geoloc,IFSTTAR</t>
  </si>
  <si>
    <t>In this paper we present a novel range free method based on connectivity for homogeneous optical wireless networks. Optical attocells deployed homogeneously within an indoor scenario send periodically its position and network architecture information. The mobile node (MN) uses this information in order to self-determine its position by means of solving different convex optimization problems. As a result of this procedure, the feasible localization area is reduced to a convex polygon. A square room of 2.4 meters width and 2.4 meters large with 9 LED lights placed in the ceiling is modeled as the proposed scenario. Our method is compared with two connectivity-based range free algorithms in terms of accuracy. In addition to this, robustness of the method is evaluated using different values on the receiver's Field of View (FOV). Numerical results show that the proposed method outperforms the connectivity based methods in terms of accuracy and robustness.</t>
  </si>
  <si>
    <t>Seguel, Fabian/ABC-4765-2020; Krommenacker, Nicolas/IAR-4851-2023</t>
  </si>
  <si>
    <t>2162-7347</t>
  </si>
  <si>
    <t>978-1-5386-5635-8</t>
  </si>
  <si>
    <t>WOS:000495106400100</t>
  </si>
  <si>
    <t>Sánchez, J; Butter, B; Basáez, L; Rivas, BL; Thotiyl, MO</t>
  </si>
  <si>
    <t>Sanchez, Julio; Butter, Bryan; Basaez, Luis; Rivas, Bernabe L.; Thotiyl, Musthafa Ottakam</t>
  </si>
  <si>
    <t>EFFICIENT REMOVAL OF Cr(VI) BY POLYELECTROLYTE-ASSISTED ULTRAFILTRATION AND SUBSEQUENT ELECTROCHEMICAL REDUCTION TO Cr(III)</t>
  </si>
  <si>
    <t>This work is focused on the removal of Cr(VI) ions from aqueous solution using water-soluble poly(diallyldimethylammonium chloride), PDDA, coupled to an ultrafiltration membrane of regenerated cellulose and subsequent electrochemical reduction of Cr(VI) to Cr(III). The removal of Cr(VI), using the washing mode, was studied as a function of pH, the molar ratio of polymer: Cr(VI), and the presence of interfering ions. The enrichment mode was used to determine the maximum retention capacity of the polymer, and the release of Cr(VI) and regeneration of the polymer were analysed by sorption-desorption process. Subsequently, the electroanalysis of Cr(VI) was conducted by linear sweep voltammetry and full electrolysis at controlled-potential in acidic media and in the presence of PDDA. The results show an efficient removal of Cr(VI) (95%, 30 mg/L in the feed) using PDDA at pH 9 and a polymer: Cr molar ratio of 20: 1. The retention capacity of the polymer was decreased by the presence of sulphate anions. The maximum retention capacity of PDDA was 33 mg Cr/g polymer at pH 9. Using the sorption-desorption process, the results indicated that this watersoluble polymer can release Cr(VI) and be regenerated. Finally, the electrolysis of Cr(VI) to Cr(III) was performed successfully in the presence of PDDA.</t>
  </si>
  <si>
    <t>Sanchez, Julio/AEO-4360-2022; Rivas, Bernabé/D-9945-2015</t>
  </si>
  <si>
    <t>Sanchez, Julio/0000-0003-4245-0096; O T, Musthafa/0000-0002-2439-4708</t>
  </si>
  <si>
    <t>10.4067/s0717-97072017000303647</t>
  </si>
  <si>
    <t>WOS:000417443500019</t>
  </si>
  <si>
    <t>Aliaga, C; Bravo-Moraga, F; Gonzalez-Nilo, D; Márquez, S; Lühr, S; Mena, G; Rezende, MC</t>
  </si>
  <si>
    <t>Aliaga, Carolina; Bravo-Moraga, Felipe; Gonzalez-Nilo, Danilo; Marquez, Sebastian; Luehr, Susan; Mena, Geraldine; Caroli Rezende, Marcos</t>
  </si>
  <si>
    <t>Location of TEMPO derivatives in micelles: subtle effect of the probe orientation</t>
  </si>
  <si>
    <t>FOOD CHEMISTRY</t>
  </si>
  <si>
    <t>Partition coefficients for six 4-substituted derivatives of the 2,2,6,6-tetramethylpiperidine-N-oxyl (TEMPO) derivatives in aqueous solutions of reduced Triton X-100 (RTX-100) were determined by measurements of the probe EPR g-factor and of the fluorescence quenching of pyrene by the radical in the micelle. The partition constant attained a maximum value and then decreased with increasing probe hydrophobicity. Simulation of the probes inside the micelle showed that this trend could be rationalized by a change in the orientation of the 4-substituted TEMPO derivatives with the increasing substituent. chain-length. The use of the EPR g-factor for the determination of partition constants of radicals in micellar systems was thus validated as a reliable and sensitive method, capable of describing the probe orientation in its microenvironment. (C) 2015 Elsevier Ltd. All rights reserved.</t>
  </si>
  <si>
    <t>Caroli, Marcos/H-3570-2019; Gonzalez Nilo, Fernando Danilo/M-5671-2016; Aliaga, Carolina/G-6024-2019</t>
  </si>
  <si>
    <t>Bravo-Moraga, Felipe/0000-0003-2055-3983; Luhr, Susan/0000-0003-0449-0601; Rezende, Marcos/0000-0003-2040-9009; Gonzalez Nilo, Fernando Danilo/0000-0001-6857-3575; Aliaga, Carolina/0000-0002-1352-3164</t>
  </si>
  <si>
    <t>0308-8146</t>
  </si>
  <si>
    <t>1873-7072</t>
  </si>
  <si>
    <t>10.1016/j.foodchem.2015.07.036</t>
  </si>
  <si>
    <t>WOS:000362304500053</t>
  </si>
  <si>
    <t>Fuertes, G; Vargas, M; Soto, I; Witker, K; Peralta, M; Sabattin, J</t>
  </si>
  <si>
    <t>Fuertes, G.; Vargas, M.; Soto, I.; Witker, K.; Peralta, M.; Sabattin, J.</t>
  </si>
  <si>
    <t>Project-Based Learning versus Cooperative Learning courses in Engineering Students</t>
  </si>
  <si>
    <t>IEEE LATIN AMERICA TRANSACTIONS</t>
  </si>
  <si>
    <t>This research presents the application of Project-based learning at the School of Engineering of the Catholic University of the North. Three projects were presented to students of different levels of Industrial Engineering and Computer Engineering degree in four undergraduate courses. The innovation in the application of the method is to create transversal work groups to develop multidisciplinary and challenging projects. The planning between courses allowed integrate knowledge, experiences and interests of the various team members. These projects were organized into the following 4 stages; conception, design, implementation and operation. Finally, educational assessment of the impact of Project-based learning methodology was confronted with the method of cooperative learning. The principal advantage of PBL is obtaining better skills and competences developed by students.</t>
  </si>
  <si>
    <t>vargas, manuel/AAG-4780-2020; Sabattin, Jorge/P-2589-2019; Fuertes, Guillermo/Q-2341-2016</t>
  </si>
  <si>
    <t>Fuertes, Guillermo/0000-0003-3044-5919; Soto, Ismael/0000-0002-5501-5651; Witker Riveros, Kurt/0000-0001-6736-1503; Peralta Muller, Maria Alejandra/0000-0002-5638-0802; Sabattin, Jorge/0000-0003-0270-6560; Vargas Guzman, Manuel Eduardo/0000-0003-4161-6621</t>
  </si>
  <si>
    <t>1548-0992</t>
  </si>
  <si>
    <t>10.1109/TLA.2015.7350066</t>
  </si>
  <si>
    <t>WOS:000366502700043</t>
  </si>
  <si>
    <t>Adasme, P; Andrade, R; Letournel, M; Lisser, A</t>
  </si>
  <si>
    <t>Adasme, Pablo; Andrade, Rafael; Letournel, Marc; Lisser, Abdel</t>
  </si>
  <si>
    <t>Stochastic maximum weight forest problem</t>
  </si>
  <si>
    <t>NETWORKS</t>
  </si>
  <si>
    <t>International Network Optimization Conference (INOC)</t>
  </si>
  <si>
    <t>MAY 20-22, 2013</t>
  </si>
  <si>
    <t>Tenerife, SPAIN</t>
  </si>
  <si>
    <t>In this article, we investigate the stochastic maximum weight forest problem. We present two mathematical formulations for the problem: a polynomial sized one based on the characterization of forests in graphs and a formulation with an exponential number of constraints. We give a proof of the correctness of the new formulation and present a polynomial reduction from the set cover problem to give some insight about the complexity of this problem. We introduce an L-shaped decomposition approach for the polynomial formulation, thus allowing the optimal solution of large scale instances with up to 90 nodes. Finally, we propose a Kruskal based variable neighborhood search (VNS) metaheuristic to compute near optimal solutions with significantly less computational effort. Our numerical results show that the VNS approach provides tight near optimal solutions with a gap less than 1% for most of the instances. (c) 2015 Wiley Periodicals, Inc. NETWORKS, Vol. 65(4), 289-305 2015</t>
  </si>
  <si>
    <t>Adasme, Pablo/U-1735-2019; Andrade, Rafael/P-8202-2016</t>
  </si>
  <si>
    <t>Adasme, Pablo/0000-0003-2500-3294; Andrade, Rafael/0000-0003-2562-412X</t>
  </si>
  <si>
    <t>0028-3045</t>
  </si>
  <si>
    <t>1097-0037</t>
  </si>
  <si>
    <t>10.1002/net.21610</t>
  </si>
  <si>
    <t>WOS:000355881700002</t>
  </si>
  <si>
    <t>Henríquez, HR; Cuevas, C; Caicedo, A</t>
  </si>
  <si>
    <t>Henriquez, Hernan R.; Cuevas, Claudio; Caicedo, Alejandro</t>
  </si>
  <si>
    <t>Almost periodic solutions of partial differential equations with delay</t>
  </si>
  <si>
    <t>ADVANCES IN DIFFERENCE EQUATIONS</t>
  </si>
  <si>
    <t>In this paper we study the existence of almost periodic solutions for linear retarded functional differential equations with finite delay and values in a Banach space. We relate the existence of almost periodic solutions with the stabilization of distributed control systems. We apply our results to transport models and to the wave equation.</t>
  </si>
  <si>
    <t>1687-1847</t>
  </si>
  <si>
    <t>FEB 12</t>
  </si>
  <si>
    <t>10.1186/s13662-015-0388-8</t>
  </si>
  <si>
    <t>WOS:000351302900004</t>
  </si>
  <si>
    <t>Hahn, I; Vergara, PM; Baumeister, J; Soto, GE; Römer, U</t>
  </si>
  <si>
    <t>Hahn, Ingo; Vergara, Pablo M.; Baumeister, Julia; Soto, Gerardo E.; Roemer, Uwe</t>
  </si>
  <si>
    <t>Tsunami impact on the population development of a critically endangered hummingbird species of a Pacific island</t>
  </si>
  <si>
    <t>POPULATION ECOLOGY</t>
  </si>
  <si>
    <t>It is a long-standing question how tsunamis can influence wild populations of animals and plants. Here, we assessed short-term changes in the population of the critically endangered Juan Fernandez Firecrown (Sephanoides fernandensis) by using abundance data recorded 1 year before and 1 year after the 2010 Chilean tsunami. We tested that the abundance of Firecrowns declined in the areas where the tsunami caused the massive loss of Cabbage Trees, an important seasonal nectar source for Firecrowns. The abundance of Juan Fernandez Firecrowns decreased after the tsunami, but also was affected by the habitat type, altitude, and the abundance of Cabbage Trees. Firecrowns tended to be more abundant in settlement areas than in native forest whereas the reduction in Firecrown abundance after the tsunami was more intense in settlement areas than in native forest. As expected, this habitat effect was dependent on the massive loss of Cabbage Trees in settlement areas following the tsunami. In spite of the short-term nature of our data, our results are conclusive in showing that the loss of an important food source causes short-term changes in the distribution and abundance of Firecrowns, which, in turn, could contribute to population decline.</t>
  </si>
  <si>
    <t>Soto, Gerardo/JAX-4165-2023; Vergara, Pablo/F-2519-2010</t>
  </si>
  <si>
    <t>Vergara, Pablo/0000-0002-0024-1678; Soto, Gerardo/0000-0002-9706-6588</t>
  </si>
  <si>
    <t>1438-3896</t>
  </si>
  <si>
    <t>1438-390X</t>
  </si>
  <si>
    <t>10.1007/s10144-014-0457-y</t>
  </si>
  <si>
    <t>WOS:000352076300013</t>
  </si>
  <si>
    <t>Bustamante, P; Tello, M; Orellana, O</t>
  </si>
  <si>
    <t>Bustamante, Paula; Tello, Mario; Orellana, Omar</t>
  </si>
  <si>
    <t>Toxin-Antitoxin Systems in the Mobile Genome of Acidithiobacillus ferrooxidans</t>
  </si>
  <si>
    <t>Toxin-antitoxin (TA) systems are genetic modules composed of a pair of genes encoding a stable toxin and an unstable antitoxin that inhibits toxin activity. They are widespread among plasmids and chromosomes of bacteria and archaea. TA systems are known to be involved in the stabilization of plasmids but there is no consensus about the function of chromosomal TA systems. To shed light on the role of chromosomally encoded TA systems we analyzed the distribution and functionality of type II TA systems in the chromosome of two strains from Acidithiobacillus ferrooxidans (ATCC 23270 and 53993), a Gram-negative, acidophilic, environmental bacterium that participates in the bioleaching of minerals. As in other environmental microorganisms, A. ferrooxidans has a high content of TA systems (28-29) and in twenty of them the toxin is a putative ribonuclease. According to the genetic context, some of these systems are encoded near or within mobile genetic elements. Although most TA systems are shared by both strains, four of them, which are encoded in the active mobile element ICEAfe1, are exclusive to the type strain ATCC 23270. We demostrated that two TA systems from ICEAfe1 are functional in E. coli cells, since the toxins inhibit growth and the antitoxins counteract the effect of their cognate toxins. All the toxins from ICEAfe1, including a novel toxin, are RNases with different ion requirements. The data indicate that some of the chromosomally encoded TA systems are actually part of the A. ferrooxidans mobile genome and we propose that could be involved in the maintenance of these integrated mobile genetic elements.</t>
  </si>
  <si>
    <t>Tello, Mario/N-4198-2019; Bustamante, Paula/LIF-3295-2024</t>
  </si>
  <si>
    <t>Tello, Mario/0000-0003-4573-6460; Bustamante, Paula/0000-0001-7200-4439</t>
  </si>
  <si>
    <t>NOV 10</t>
  </si>
  <si>
    <t>e112226</t>
  </si>
  <si>
    <t>10.1371/journal.pone.0112226</t>
  </si>
  <si>
    <t>WOS:000344816700041</t>
  </si>
  <si>
    <t>Palma, JG</t>
  </si>
  <si>
    <t>Palma, Jose Gabriel</t>
  </si>
  <si>
    <t>Has the Income Share of the Middle and Upper-middle Been Stable around the '50/50 Rule', or Has it Converged towards that Level? The 'Palma Ratio' Revisited</t>
  </si>
  <si>
    <t>DEVELOPMENT AND CHANGE</t>
  </si>
  <si>
    <t>In an article published in this journal in 2011, an alternative measure of inequality was suggested, which has subsequently become known as the Palma Ratio'. In this new article, the author of the original proposal revisits the argument for such a measure. Using new data, he examines whether the current remarkable homogeneity in the income share of the middle and upper-middle around the world the foundation of the so-called Palma Ratio' is an historically stable stylized fact, or whether it is a new phenomenon, the outcome of a process of convergence towards the current 50/50 Rule' (in which half of the population in each country located within deciles 5 to 9 tends to appropriate about 50 per cent of the national income, or just above). Although partly written in response to a comment on the 2011 paper (published in this issue), the article also makes a substantive further contribution to the literature on inequality and the statistics to measure it.</t>
  </si>
  <si>
    <t>0012-155X</t>
  </si>
  <si>
    <t>1467-7660</t>
  </si>
  <si>
    <t>10.1111/dech.12133</t>
  </si>
  <si>
    <t>WOS:000345504800009</t>
  </si>
  <si>
    <t>Almodovar, I; Cardona, W; Delgado-Castro, T; Zapata-Torres, G; Rezende, MC; Araya-Maturana, R</t>
  </si>
  <si>
    <t>Almodovar, Iriux; Cardona, Wilson; Delgado-Castro, Tomas; Zapata-Torres, Gerald; Caroli Rezende, Marcos; Araya-Maturana, Ramiro</t>
  </si>
  <si>
    <t>Factors affecting the competitive reduction of 8,8-dimethylnaphthalene-1,4,5(8H)-trione in a Diels-Alder cycloaddition with hydroxysulfinyldienes</t>
  </si>
  <si>
    <t>JOURNAL OF THE IRANIAN CHEMICAL SOCIETY</t>
  </si>
  <si>
    <t>Competing reduction and cycloaddition products were formed in the reaction of 8,8-dimethylnaphthalene-1,4,5(8H)-trione with a hydroxysulfinyldiene. The ratio of reduction to cycloaddition products depended on the stereochemistry of the diene and on the solvent employed, being higher in ethanol than in benzene. The ratio was also affected by the addition of Lewis acids, decreasing in the order BF3 = Al2O3 &gt; MgCl2 &gt; ZnCl2. The results help to explain and predict the occurrence of these competing processes in Diels-Alder cycloadditions involving quinonedienophiles.</t>
  </si>
  <si>
    <t>Cardona-Villada, Wilson/0000-0003-2160-2791; Rezende, Marcos/0000-0003-2040-9009; Araya-Maturana, Ramiro/0000-0002-5082-9146</t>
  </si>
  <si>
    <t>1735-207X</t>
  </si>
  <si>
    <t>1735-2428</t>
  </si>
  <si>
    <t>10.1007/s13738-013-0370-x</t>
  </si>
  <si>
    <t>WOS:000337597000011</t>
  </si>
  <si>
    <t>Coutinho, D; de Souza, CE; Barbosa, KA</t>
  </si>
  <si>
    <t>Coutinho, D.; de Souza, C. E.; Barbosa, K. A.</t>
  </si>
  <si>
    <t>Robust H∞ control of discrete-time descriptor systems</t>
  </si>
  <si>
    <t>2014 EUROPEAN CONTROL CONFERENCE (ECC)</t>
  </si>
  <si>
    <t>13th European Control Conference (ECC)</t>
  </si>
  <si>
    <t>JUN 24-27, 2014</t>
  </si>
  <si>
    <t>Univ Strasbourg, Strasbourg, FRANCE</t>
  </si>
  <si>
    <t>ICube lab,MathWorks,Groupement Rech Modeling, Anal &amp; Control Dynam Syst,Siemens,Natl Ctr Sci Res,INRIA</t>
  </si>
  <si>
    <t>Univ Strasbourg</t>
  </si>
  <si>
    <t>This paper addresses the problem of robust H-infinity control design for uncertain polytopic-type linear discrete-time descriptor systems. First, a new version of the bounded real lemma which is tailored for control design is proposed. Then, applying the derived bounded real lemma, we have developed a method of designing a robust state feedback H-infinity controller based on an affine parameter-dependent Lyapunov function. The method does not require applying any coordinate transformation to the system state-space model and in the case of uncertainty-free systems the proposed design conditions turn out to be necessary and sufficient. The controller design involves solving strict bilinear matrix inequalities and to this end a convergent iterative procedure is proposed that involves iterating between two LMI problems, namely an H-infinity control synthesis and an H-infinity performance analysis. Numerical examples borrowed from the literature are presented to illustrate the effectiveness and fast convergence of the proposed iterative procedure.</t>
  </si>
  <si>
    <t>Barbosa, Karina/A-2236-2014; de Souza, Carlos/A-6676-2009; Coutinho, Daniel/M-6790-2013</t>
  </si>
  <si>
    <t>Barbosa, Karina A./0000-0001-7183-2662</t>
  </si>
  <si>
    <t>978-3-9524269-1-3</t>
  </si>
  <si>
    <t>WOS:000349955702035</t>
  </si>
  <si>
    <t>Aranda, B; Zolezzi, S; Valdebenito, G; Cáceres-Vásquez, J; Moya, SA; Aguirre, P</t>
  </si>
  <si>
    <t>Aranda, B.; Zolezzi, S.; Valdebenito, G.; Caceres-Vasquez, J.; Moya, S. A.; Aguirre, P.</t>
  </si>
  <si>
    <t>AMINOCARBONYLATION REACTION USING PALLADIUM COMPLEXES CONTAINING PHOSPHORUS-NITROGEN LIGANDS AS CATALYSTS</t>
  </si>
  <si>
    <t>The catalytic activities of palladium complexes containing phosphorus-nitrogen ligands is reported. The catalysts studied showed high activities in the aminocarbonylation of aryl iodides. The palladium complexes reported activities between 100% and 58% in the aminocarbonylation reaction. The reactions are very selective for the double carbonylative amination of aryl halides. The major product is N,N-diethyl-alpha-oxo benzeneacetamide (96/4). The reaction was made under mild conditions of temperature and carbon monoxide pressure.</t>
  </si>
  <si>
    <t>Valdebenito, Gonzalo/0000-0003-2931-9288</t>
  </si>
  <si>
    <t>WOS:000331238800048</t>
  </si>
  <si>
    <t>Zúñiga, RN; Skurtys, O; Osorio, F; Aguilera, JM; Pedreschi, F</t>
  </si>
  <si>
    <t>Zuniga, R. N.; Skurtys, O.; Osorio, F.; Aguilera, J. M.; Pedreschi, F.</t>
  </si>
  <si>
    <t>Physical properties of emulsion-based hydroxypropyl methylcellulose films: Effect of their microstructure</t>
  </si>
  <si>
    <t>CARBOHYDRATE POLYMERS</t>
  </si>
  <si>
    <t>The initial characteristics of emulsions and the rearrangement of the oil droplets in the film matrix during film drying, which defines its microstructure, has an important role in the physical properties of the emulsion-based films. The objective of this work was to study the effect of the microstructure (two droplet size distributions) and stability (with or without surfactant) of HPMC oil-in-water emulsions over physical properties of HPMC emulsion-based edible films. HPMC was used to prepare sunflower oil-in-water emulsions containing 0.3 or 1.0% (w/w) of oil with or without SOS, as surfactant, using an ultrasonic homogenizer. Microstructure, rheological properties and stability of emulsions (creaming) were measured. In addition, microstructure, coalescence of oil droplets, surface free energy, optical and mechanical properties and water vapor transfer of HPMC films were evaluated. Image analysis did not show differences among droplet size distributions of emulsions prepared at different oil contents: however, by using SOS the droplet size distributions were shifted to lower values. Volume mean diameters were 3.79 and 3.77 mu m for emulsions containing 0.3 and 1.0% without surfactant, respectively, and 2.72 and 2.71 mu m for emulsions with SOS. Emulsions formulated with 1.0% of oil presented higher stability, with almost no change during 5 and 3 days of storage, for emulsions with and without SOS, respectively. Internal and surface microstructure of emulsion-based films was influenced by the degree of coalescence and creaming of the oil droplets. No effect of microstructure over the surface free energy of films was found. The incorporation of oil impaired the optical properties of films due to light scattering of light. Addition of oil and SOS decreased the stress at break of the emulsion-based films. The replace of HPMC by oil and SOS produce a lower amount of network structure in the films, leading to a weakening of their structure. The oil content and SDS addition had an effect over the microstructure and physical properties of HPMC-based emulsions which lead to different microstructures during film formation. The way that oil droplets were structured into the film had an enormous influence over the physical properties of HPMC films. (C) 2012 Elsevier Ltd. All rights reserved.</t>
  </si>
  <si>
    <t>skurtys, olivier/HNS-4835-2023; pedreschi, franco/F-8844-2013; Aguilera, Jose/D-1383-2014; osorio, fernando/AAY-7304-2021</t>
  </si>
  <si>
    <t>Zuniga, Rommy/0000-0002-4195-8085; osorio, fernando/0000-0001-7206-0924; Aguilera, Jose Miguel/0000-0001-5754-2722; skurtys, olivier/0000-0003-1432-7242</t>
  </si>
  <si>
    <t>0144-8617</t>
  </si>
  <si>
    <t>1879-1344</t>
  </si>
  <si>
    <t>OCT 1</t>
  </si>
  <si>
    <t>10.1016/j.carbpol.2012.06.066</t>
  </si>
  <si>
    <t>WOS:000307616500055</t>
  </si>
  <si>
    <t>Barbosa, KA; de Souza, CE; Coutinho, D</t>
  </si>
  <si>
    <t>Barbosa, Karina A.; de Souza, Carlos E.; Coutinho, Daniel</t>
  </si>
  <si>
    <t>Robust Stability of Discrete-Time Linear Descriptor Systems with Time-Varying Uncertainties via Parametric Lyapunov Function</t>
  </si>
  <si>
    <t>2012 IEEE 51ST ANNUAL CONFERENCE ON DECISION AND CONTROL (CDC)</t>
  </si>
  <si>
    <t>51st IEEE Annual Conference on Decision and Control (CDC)</t>
  </si>
  <si>
    <t>DEC 10-13, 2012</t>
  </si>
  <si>
    <t>HI</t>
  </si>
  <si>
    <t>IEEE,Soc Ind &amp; Appl Math,Inst Operat Res Management Sci,Japanese Soc Instrument &amp; Control Engineers,European Union Control Assoc,Int Federat Automat Control,Elsevier,GE Global Res,MathWorks,Springer,Univ Hawaii Manoa, Coll Engn,Univ Texas Dallas,Journal Franklin Inst, Engn &amp; Appl Math,Taylor &amp; Francis Grp,Visual Solut,Wolfram Res</t>
  </si>
  <si>
    <t>This paper deals with the problem of admissibility analysis (i.e. regularity, causality and exponential stability) of discrete-time linear descriptor systems with uncertain time-varying parameters. The parameters enter affinely into the state matrix of the system state-space model, and their admissible values and variations are assumed to belong to given intervals. First, necessary and sufficient admissibility conditions for uncertainty-free discrete linear time-varying descriptor systems are presented. Next, strict LMI conditions based on parameter-dependent Lyapunov functions are proposed to ensure robust admissibility of uncertain descriptor systems. Both the cases of Lyapunov functions with affine and quadratic dependence on the system uncertain parameters are considered. The robust admissibility analysis methods incorporate information on available bounds on both the admissible values and variation of the uncertain parameters. Numerical examples are presented to demonstrate the potentials of the proposed methods.</t>
  </si>
  <si>
    <t>de Souza, Carlos/A-6676-2009; Barbosa, Karina/A-2236-2014; Coutinho, Daniel/M-6790-2013</t>
  </si>
  <si>
    <t>978-1-4673-2066-5</t>
  </si>
  <si>
    <t>WOS:000327200405075</t>
  </si>
  <si>
    <t>Lienqueo, ME; Mahn, A; Salgado, JC; Shene, C</t>
  </si>
  <si>
    <t>Elena Lienqueo, M.; Mahn, Andrea; Cristian Salgado, J.; Shene, Carolina</t>
  </si>
  <si>
    <t>Mathematical Modeling of Protein Chromatograms</t>
  </si>
  <si>
    <t>CHEMICAL ENGINEERING &amp; TECHNOLOGY</t>
  </si>
  <si>
    <t>The most used mathematical models with a phenomenological basis for simulating chromatographic curves of proteins in size exclusion chromatography, ion exchange chromatography, affinity chromatography, and hydrophobic interaction chromatography are reviewed. The plate model (PM) and the general rate model (GRM) are briefly described, followed by various applications of these models to the different chromatographic strategies. Based on these examples it is concluded that the GRM is the most complete and informative model, despite it needs several parameters that have to be estimated from theoretical correlations nonspecific for proteins. Additionally, values for the effective pore diffusion coefficient are not generally available. Appropriate calibration leads in most cases to predictions that compare favorably with experimental data. The possibility to predict chromatographic curves under different operational conditions similar to those used at industrial scale by applying mathematical models is still a challenge because it could contribute to the reduction of costs involved in suitable purification processes. In addition, new proteins are continually designed and for each case different conditions are needed.</t>
  </si>
  <si>
    <t>lienqueo, maria/AAA-1408-2021; Salgado, J. Cristian/N-1275-2013</t>
  </si>
  <si>
    <t>Salgado, J. Cristian/0000-0002-5507-8695</t>
  </si>
  <si>
    <t>0930-7516</t>
  </si>
  <si>
    <t>1521-4125</t>
  </si>
  <si>
    <t>10.1002/ceat.201100282</t>
  </si>
  <si>
    <t>WOS:000298540200004</t>
  </si>
  <si>
    <t>Moncada, E; Quijada, R; Zapata, P</t>
  </si>
  <si>
    <t>Moncada, E.; Quijada, R.; Zapata, P.</t>
  </si>
  <si>
    <t>Modification of Clays by Sol-Gel Reaction and Their Use in the Ethylene In Situ Polymerization for Obtaining Nanocomposites</t>
  </si>
  <si>
    <t>JOURNAL OF NANOMATERIALS</t>
  </si>
  <si>
    <t>The nanocomposites formation by in situ polymerization used a metallocene catalyst (butyl-2-cyclopentadienyl zirconium 2-chlorines) and a hectorite synthetic clay type which is discussed. This research was carried out in two phases. The first phase consisted of mixing the components of the metallocenic polymerization reaction (metallocene-methylaluminoxane-ethylene) with clay in a reactor. In the second phase, the metallocenic catalytic system was supported by clay particles and then a polymerization reaction was made. In this second phase, the clay particles were modified using a sol-gel reaction with different pH values: pH = 3, pH = 8, and pH = 12. The results were compared in terms of the catalytic activity in the different systems (phase 1 and phase 2) and the nanoparticle morphology of nanocomposites generated in this study.</t>
  </si>
  <si>
    <t>QUIJADA, RAUL/0000-0003-0791-6954; Zapata, Paula Andrea/0000-0003-3361-6226</t>
  </si>
  <si>
    <t>1687-4110</t>
  </si>
  <si>
    <t>1687-4129</t>
  </si>
  <si>
    <t>10.1155/2012/348156</t>
  </si>
  <si>
    <t>WOS:000298811100001</t>
  </si>
  <si>
    <t>Importance of nest attributes in the conservation of endemic birds of the Juan Fernandez Archipelago, Chile</t>
  </si>
  <si>
    <t>BIRD CONSERVATION INTERNATIONAL</t>
  </si>
  <si>
    <t>Understanding the particular nesting ecology of island endemic species represents the first step in identifying suitable micro-habitats and establishing efficient management programmes. This could become even more important when island bird assemblages are prone to invasion by ecologically similar species that may eventually cause niche compression or the extirpation of species already present on the island. In this study we describe the nesting ecology of both native and introduced landbird species of the Juan Fernandez Islands and determine the extent to which native species could be negatively affected by alien competitors. A total of 119 nests belonging to the 11 resident landbird species were analysed. Landbirds exhibited a wide range of nesting habitat preferences on the different islands, covering different vegetation types, altitudes and ecosystems. By means of a cluster analysis we determined that competition between alien and endemic species apparently does not represent an important factor affecting resource use by endemic birds. Endemic landbirds preferred sites comparatively higher above the ground, with a greater slope and a larger level of shelter, than alien species. The introduced hummingbird, the Green-backed Firecrown Sephanoides sephaniodes, had different nesting preferences to the endemic Juan Fernandez Firecrown S. fernandensis, whereas the House Sparrow Passer domesticus selected nest sites located in populated areas, suggesting that both alien species may not be competing with endemic passerines for nest sites. However, urgent measures are necessary to reduce the potential predation risk on Juan Fernandez Firecrown nests by the alien Austral Thrush Turdus falcklandii.</t>
  </si>
  <si>
    <t>0959-2709</t>
  </si>
  <si>
    <t>1474-0001</t>
  </si>
  <si>
    <t>10.1017/S0959270911000050</t>
  </si>
  <si>
    <t>WOS:000297981600009</t>
  </si>
  <si>
    <t>Górka, P; Reyes, EG</t>
  </si>
  <si>
    <t>Gorka, Przemyslaw; Reyes, Enrique G.</t>
  </si>
  <si>
    <t>The Modified Camassa-Holm Equation</t>
  </si>
  <si>
    <t>INTERNATIONAL MATHEMATICS RESEARCH NOTICES</t>
  </si>
  <si>
    <t>The Camassa-Holm (CH) equation describes pseudo-spherical surfaces and therefore its integrability properties can be studied by geometrical means [Reyes, Geometric integrability of the Camassa-Holm equation. Letters in Mathematical Physics 59 (2002): 117-31]. Using this fact, we introduce a Miura transform and a modified Camassa-Holm (mCH) equation, in analogy with the Korteweg-de Vries theory. We obtain an infinite number of local conservation laws for CH from these data and also an infinite number of (non)local symmetries. We then compute conservation laws for mCH and also show that it describes pseudo-spherical surfaces, so that, in particular, it is the integrability condition of an sl (2, R)-valued linear problem. Finally, we investigate mCH analytically: we define weak solutions and prove their existence and uniqueness.</t>
  </si>
  <si>
    <t>Reyes, Enrique G./0000-0001-8460-444X; Gorka, Przemyslaw/0000-0002-1943-383X</t>
  </si>
  <si>
    <t>1073-7928</t>
  </si>
  <si>
    <t>1687-0247</t>
  </si>
  <si>
    <t>10.1093/imrn/rnq163</t>
  </si>
  <si>
    <t>WOS:000291535700001</t>
  </si>
  <si>
    <t>Supersymmetry between Jackiw-Nair and Dirac-Majorana anyons</t>
  </si>
  <si>
    <t>PHYSICAL REVIEW D</t>
  </si>
  <si>
    <t>The Jackiw-Nair description of anyons combines spin-1 topologically massive fields with the discrete series representation of the Lorentz algebra, which has fractional spin. In the Dirac-Majorana formulation the spin-1 part is replaced by the spin 1/2 planar Dirac equation. The two models are shown to belong to an N = 1 supermultiplet, which carries a super-Poincare symmetry.</t>
  </si>
  <si>
    <t>1550-7998</t>
  </si>
  <si>
    <t>1550-2368</t>
  </si>
  <si>
    <t>JUN 1</t>
  </si>
  <si>
    <t>10.1103/PhysRevD.81.127701</t>
  </si>
  <si>
    <t>WOS:000278204700019</t>
  </si>
  <si>
    <t>Ibáñez, G; Marambio, A; Jans, J; Gamboa, J; Adonis, P; Trewhela, R; Tevah, T; Rodríguez, X; Lira, K; Aedo, MJ; Marambio, JP</t>
  </si>
  <si>
    <t>Ibanez R, Gladys; Marambio G, Andres; Jans B, Jaime; Gamboa G, Jorge; Adonis P, Patricio; Trewhela N, Ricardo; Tevah C, Teresa; Rodriguez M, Ximena; Lira R, Karina; Aedo M, Maria Jose; Marambio G, Juan Pablo</t>
  </si>
  <si>
    <t>Phyllodes tumor of the breast</t>
  </si>
  <si>
    <t>REVISTA CHILENA DE CIRUGIA</t>
  </si>
  <si>
    <t>Introduction: The phyllodes tumor (PT) of the breast is a rare disease of unknown origin. Despite its classification into benign, borderline and malignant, their behavior tends to he uncertain. Because of this, treatment remains controversial. Objective: To describe the management of the FT in breast pathology unit of our hospital and their outcomes. Material and Methods: We retrospectively reviewed the files of the patients with PT, operated in our hospital between 2001 and 2008. We analyzed the clinical characteristics, diagnostic studies, treatment and outcomes. Results: During this period 12 patients were operated. The average age was 42 +/- 15.2 years (16-64) and usually the form of presentation was painless palpable nodule. Both mammography and ultrasound were unable to suggest the diagnosis. Eight patients had core biopsy, which revealed the diagnosis of PT in 5, while in the other 3 was fibroadenoma. All patients underwent a partial mastectomy. The biopsy showed six benign, two borderline and two malignant PT. The latter two patients received adjuvant radiotherapy. At the end of this study, 2 patients had relapsed at 12 and 30 months (borderline and benign, respectively). There were no cases of lymphatic or distant metastases. Conclusions: The PT has a low frequency of presentation and preoperative diagnosis is difficult, so we recommend a core biopsy, but it can confuse with fibroadenoma. The management with partial mastectomy and negative borders had a recurrence rate of 18% in this series.</t>
  </si>
  <si>
    <t>0718-4026</t>
  </si>
  <si>
    <t>WOS:000276586800005</t>
  </si>
  <si>
    <t>Chacón, M; Curilem, G; Acuña, G; Defilippi, C; Madrid, AM; Jara, S</t>
  </si>
  <si>
    <t>Chacon, M.; Curilem, G.; Acuna, G.; Defilippi, C.; Madrid, A. M.; Jara, S.</t>
  </si>
  <si>
    <t>Detection of patients with functional dyspepsia using wavelet transform applied to their electrogastrogram</t>
  </si>
  <si>
    <t>BRAZILIAN JOURNAL OF MEDICAL AND BIOLOGICAL RESEARCH</t>
  </si>
  <si>
    <t>The aim of the present study was to develop a classifier able to discriminate between healthy controls and dyspeptic patients by analysis of their electrogastrograms. Fifty-six electrogastrograms were analyzed, corresponding to 42 dyspeptic patients and 14 healthy controls. The original signals were subsampled, filtered and divided into the pre-, post-, and prandial stages. A time-frequency transformation based on wavelets was used to extract the signal characteristics, and a special selection procedure based on correlation was used to reduce their number. The analysis was carried out by evaluating different neural network structures to classify the wavelet coefficients into two groups (healthy subjects and dyspeptic patients). The optimization process of the classifier led to a linear model. A dimension reduction that resulted in only 25% of uncorrelated electrogastrogram characteristics gave 24 inputs for the classifier. The prandial stage gave the most significant results. Under these conditions, the classifier achieved 78.6% sensitivity, 92.9% specificity, and an error of 17.9 +/- 6% (with a 95% confidence level). These data show that it is possible to establish significant differences between patients and normal controls when time-frequency characteristics are extracted from an electrogastrogram, with an adequate component reduction, outperforming the results obtained with classical Fourier analysis. These findings can contribute to increasing our understanding of the pathophysiological mechanisms involved in functional dyspepsia and perhaps to improving the pharmacological treatment of functional dyspeptic patients.</t>
  </si>
  <si>
    <t>Curilem, Millaray/0000-0001-8685-221X; Acuna Leiva, Gonzalo Pedro/0000-0002-0519-7792</t>
  </si>
  <si>
    <t>0100-879X</t>
  </si>
  <si>
    <t>1414-431X</t>
  </si>
  <si>
    <t>10.1590/S0100-879X2009007500012</t>
  </si>
  <si>
    <t>WOS:000272487500014</t>
  </si>
  <si>
    <t>Leighton, B; Suarez, OJ; Landeros, P; Escrig, J</t>
  </si>
  <si>
    <t>Leighton, B.; Suarez, O. J.; Landeros, P.; Escrig, J.</t>
  </si>
  <si>
    <t>Magnetic phase diagrams of barcode-type nanostructures</t>
  </si>
  <si>
    <t>NANOTECHNOLOGY</t>
  </si>
  <si>
    <t>The magnetic configurations of barcode-type magnetic nanostructures consisting of alternate ferromagnetic and nonmagnetic layers arranged within a multilayer nanotube structure are investigated as a function of their geometry. Based on a continuum approach we have obtained analytical expressions for the energy which lead us to obtain phase diagrams giving the relative stability of characteristic internal magnetic configurations of the barcode-type nanostructures.</t>
  </si>
  <si>
    <t>Landeros, Pedro/B-4603-2012; Escrig, Juan/N-4304-2015</t>
  </si>
  <si>
    <t>Landeros, Pedro/0000-0002-0927-1419; Escrig, Juan/0000-0002-3958-8185</t>
  </si>
  <si>
    <t>0957-4484</t>
  </si>
  <si>
    <t>SEP 23</t>
  </si>
  <si>
    <t>10.1088/0957-4484/20/38/385703</t>
  </si>
  <si>
    <t>WOS:000269356900015</t>
  </si>
  <si>
    <t>Yáñez, JM; González, R; Angulo, J; Vidal, R; Santos, JL; Martínez, V</t>
  </si>
  <si>
    <t>Yanez, Jose M.; Gonzalez, Ruth; Angulo, Jenniffer; Vidal, Rodrigo; Santos, Jose L.; Martinez, Victor</t>
  </si>
  <si>
    <t>Characterization of new microsatellite markers derived from sequence databases for the emu (Dromaius novaehollandiae)</t>
  </si>
  <si>
    <t>The emu (Dromaius novaehollandiae), a member of ratite family, is native to Australia and has been introduced to other countries worldwide. In this work, 10 polymorphic microsatellite loci were isolated and characterized for emu from public sequences. Polymorphism was surveyed in 22 individuals from two different populations kept in captivity. Between two and 11 alleles were found per locus, and the observed heterozygosity ranged from 0.05 to 0.85, in accordance with expectations. These markers will be useful as tools for detecting levels of genetic variation, reconstructing pedigrees (for quantitative genetic analysis) and identifying markers associated to fitness traits in emu populations.</t>
  </si>
  <si>
    <t>Angulo, Jenniffer/AAS-1536-2021; SANTOS, JOSE/JVD-7250-2023; Martinez, Victor/JZE-5230-2024; Santos, Jose L./D-1818-2017; Yanez, Jose Manuel/H-5279-2013</t>
  </si>
  <si>
    <t>Santos, Jose L./0000-0003-2895-0369; Yanez, Jose Manuel/0000-0002-6612-4087; Angulo, Jenniffer/0000-0002-0471-4751</t>
  </si>
  <si>
    <t>1755-0998</t>
  </si>
  <si>
    <t>10.1111/j.1755-0998.2008.02315.x</t>
  </si>
  <si>
    <t>WOS:000260528700067</t>
  </si>
  <si>
    <t>Hutchinson, M; Raff, U</t>
  </si>
  <si>
    <t>Hutchinson, Michael; Raff, Ulrich</t>
  </si>
  <si>
    <t>Detection of Parkinson's Disease by MRI: Spin-Lattice Distribution Imaging</t>
  </si>
  <si>
    <t>MOVEMENT DISORDERS</t>
  </si>
  <si>
    <t>We have developed an advanced MRI technique for detecting Parkinson's Disease (PD) which depends on an image constructed as a ratio of images from two inversion recovery sequences (one generating a white matter Suppressed image, the other a gray matter suppressed image). This technique was designed to be exceptionally sensitive to the spinlattice relaxation time T-1. It was refined with the introduction of segmentation analysis and given the acronym SIRRIM (Segmented Inversion Recovery Ratio Imaging). Our objectives are, first, to reinvestigate the sensitivity of MRI with new subjects and second, to investigate whether a new form Of analysis, using the gray level distribution of signal in the image, may prove more sensitive than SIRRIM. For each Subject, a ratio image was constructed (WMS/GMS) and the substantia nigra segmented out to be displayed as an isolated structure. From the segmented image a measure of disease severity, the Radiological Index (RI), was calculated for each Subject. Since the pixel value in the ratio image is a strong function of the local T, relaxation time, the distribution of pixel values gives the distribution of spin-lattice relaxation times. A refinement in the analysis is introduced, the Spin-Lattice Distribution Index (SI), which is,in automated measure of MRI signal in the Substantia Nigra pars compacta (SNC). Both RI and SI were calculated for each of 24 subjects, 12 patients and 12 controls. The SI may further improve the separation of patient and control groups, and may therefore be more sensitive than the RI. Unlike the RI it is completely automatic and circumvents two of the limitations of the RI. The work is consistent with the proposition that MRI, when property configured, is a highly sensitive market for PD. (C) 2008 Movement Disorder Society</t>
  </si>
  <si>
    <t>0885-3185</t>
  </si>
  <si>
    <t>OCT 30</t>
  </si>
  <si>
    <t>10.1002/mds.22210</t>
  </si>
  <si>
    <t>WOS:000261021500006</t>
  </si>
  <si>
    <t>Laroze, D; Perez, LM</t>
  </si>
  <si>
    <t>Laroze, D.; Perez, L. M.</t>
  </si>
  <si>
    <t>Classical spin dynamics of four interacting magnetic particles on a ring</t>
  </si>
  <si>
    <t>PHYSICA B-CONDENSED MATTER</t>
  </si>
  <si>
    <t>6th International Symposium on Hysteresis and Modeling Micromagnetics</t>
  </si>
  <si>
    <t>JUN 04-06, 2007</t>
  </si>
  <si>
    <t>Naples, ITALY</t>
  </si>
  <si>
    <t>Univ Studi Napoli, Federico II,Univ Studi Sannio</t>
  </si>
  <si>
    <t>In the present work, we study the deterministic spin dynamics of four interacting magnetic particles, with both dipolar and exchange interactions in the presence of an applied magnetic field, by means of the Landau-Lifshitz equation without the dissipation term. In particular, we analyze the ring geometrical configuration with periodic boundary conditions for the exchange coupling. In addition, we explore the parameter space by numerically calculating some bifurcation diagrams. Due to the strength ratio of interactions, two time scales appear. Finally, we find that the total magnetization is not conserved and it has a strong dependence on the control parameters. (c) 2007 Elsevier B.V. All rights reserved.</t>
  </si>
  <si>
    <t>Pérez, Laura/AAZ-1995-2020; Laroze, David/Z-2852-2019; Perez, Laura/K-9357-2017; Laroze, David/E-9134-2011</t>
  </si>
  <si>
    <t>Perez, Laura/0000-0002-2915-309X; Laroze, David/0000-0002-6487-8096</t>
  </si>
  <si>
    <t>0921-4526</t>
  </si>
  <si>
    <t>2-3</t>
  </si>
  <si>
    <t>10.1016/j.physb.2007.08.078</t>
  </si>
  <si>
    <t>WOS:000252913300062</t>
  </si>
  <si>
    <t>García, C; Celentano, D; Flores, F; Ponthot, JP</t>
  </si>
  <si>
    <t>Numerical modelling and experimental validation of steel deep drawing processes -: Part I.: Material characterization</t>
  </si>
  <si>
    <t>JOURNAL OF MATERIALS PROCESSING TECHNOLOGY</t>
  </si>
  <si>
    <t>This work presents an experimental characterization of the mechanical behaviour of the EK4 deep drawing steel. The experimental procedure encompasses spectrometry, rnetalography, tension testing and hardness measurements. Special attention is devoted to the derivation of the elastic and plastic parameters involved in the assumed constitutive model based on the anisotropic Hill-48 yield criterion. The simulation of the deformation process during the whole tensile test is subsequently performed with the aim of assessing the adequateness of the proposed methodology. It should be mentioned that the material parameters obtained with this procedure are the basic data for the modelling and experimental validation of different deep drawing applications presented in Part II of this work. (c) 2005 Elsevier B.V. All rights reserved.</t>
  </si>
  <si>
    <t>Celentano, Diego/JQW-5027-2023; García-Herrera, Claudio/ABE-8991-2020; Flores, Fernando/O-6756-2014</t>
  </si>
  <si>
    <t>Flores, Fernando/0000-0002-7567-2691; Garcia-Herrera, Claudio/0000-0002-1283-8551</t>
  </si>
  <si>
    <t>0924-0136</t>
  </si>
  <si>
    <t>MAR 10</t>
  </si>
  <si>
    <t>10.1016/j.jmatprotec.2005.11.015</t>
  </si>
  <si>
    <t>WOS:000236294600019</t>
  </si>
  <si>
    <t>Chacón, M; Jara, S; Defilippi, C; Madrid, AM; Defilippi, C</t>
  </si>
  <si>
    <t>Sanfeliu, A; Cortes, ML</t>
  </si>
  <si>
    <t>A simple feature reduction method for the detection of long biological signals</t>
  </si>
  <si>
    <t>PROGRESS IN PATTERN RECOGNITION, IMAGE ANALYSIS AND APPLICATIONS, PROCEEDINGS</t>
  </si>
  <si>
    <t>10th Iberoamerican Congress on Pattern Recognition</t>
  </si>
  <si>
    <t>NOV 15-18, 2005</t>
  </si>
  <si>
    <t>Havana, CUBA</t>
  </si>
  <si>
    <t>Recent advances in digital processing of biological signals have made it possible to incorporate more extensive signals, generating a large number of features that must be analyzed to carry out the detection, and thereby acting against the performance of the detection methods. This paper introduces a simple feature reduction method based on correlation that allows the incorporation of very extensive signals to the new biological signal detection algorithms. To test the proposed technique, it was applied to the detection of Functional Dyspepsia (FD) from the EGG signal, which is one of the most extensive signals in clinical medicine. After applying the proposed reduction to the wavelet transform coefficients extracted from the EGG signal, a neuronal network was used as a classifier for the wavelet transform coefficients obtained from the EGG traces. The results of the classifier achieved 78.6% sensitivity, and 92.9% specificity for a universe of 56 patients studied.</t>
  </si>
  <si>
    <t>3-540-29850-9</t>
  </si>
  <si>
    <t>WOS:000234341500045</t>
  </si>
  <si>
    <t>Jabalquinto, AM; González-Nilo, FD; Laivenieks, M; Cabezas, M; Zeikus, JG; Cardemil, E</t>
  </si>
  <si>
    <t>Anaerobiospirillum succiniciproducens phosphoenolpyruvate carboxykinase.: Mutagenesis at metal site 1</t>
  </si>
  <si>
    <t>BIOCHIMIE</t>
  </si>
  <si>
    <t>Anaerobiospirillum succiniciproducens phosphoenolpyruvate (PEP) carboxykinase catalyses the reversible metal-dependent formation of oxaloacetate (OAA) and XFP from PEP, ADP and CO2. Mutations of PEP carboxylkinase have been Constructed where the residues HiS(225) and Asp(263), two residues of the enzyme's putative Mn2+ binding site, were altered. Kinetic Studies of the His225Glu, and Asp263Glu PEP carboxykinases show 600- and 16 800-fold reductions in V-max relative to the wild-type enzyme, respectively, with minor alterations in K-m for M-n(2+). Molecular modeling of wild-type and mutant enzymes Suggests that the lower catalytic efficiency of the Asp263Glu enzyme could be explained by a movement of the lateral chain of Lys2-'s, a critical catalytic residue, away from the reaction center. The effect on catalysis of introducing a negatively charged oxygen atom in place of Nk-2 at position 225 is discussed in terms of altered binding energy of the intermediate enolpyruvate. (C) 2003 Editions scientifiques et medicales Elsevier SAS. All rights reserved.</t>
  </si>
  <si>
    <t>Gonzalez Nilo, Fernando Danilo/M-5671-2016</t>
  </si>
  <si>
    <t>Gonzalez Nilo, Fernando Danilo/0000-0001-6857-3575</t>
  </si>
  <si>
    <t>0300-9084</t>
  </si>
  <si>
    <t>1638-6183</t>
  </si>
  <si>
    <t>10.1016/j.biochi.2003.10.013</t>
  </si>
  <si>
    <t>WOS:000220041200007</t>
  </si>
  <si>
    <t>Mery, D; Ochoa, F; Vidal, R</t>
  </si>
  <si>
    <t>Campilho, A; Kamel, M</t>
  </si>
  <si>
    <t>Tracking of points in a calibrated and noisy image sequence</t>
  </si>
  <si>
    <t>IMAGE ANALYSIS AND RECOGNITION, PT 1, PROCEEDINGS</t>
  </si>
  <si>
    <t>International Conference on Image Analysis and Recognition</t>
  </si>
  <si>
    <t>SEP 29-OCT 01, 2004</t>
  </si>
  <si>
    <t>Oporto, PORTUGAL</t>
  </si>
  <si>
    <t>Univ Porto, Fac Engn, Dept Elect &amp; Comp Engn,Inst Engenharia Biomed,Univ Waterloo, Pattern Analy &amp; Mach Intelligence Grp</t>
  </si>
  <si>
    <t>In this paper an algorithm that performs the tracking of points in a calibrated and noisy image sequence is presented. The candidate points to be tracked must satisfy certain constraints that can be deduced from the multiple view geometry. The idea is to consider as noisy points those candidates which cannot be tracked in the sequence. The robustness of the algorithm has been verified on simulated data using different constraints. The methods are assessed in several cases where the number of noisy points and the noise in the measurement of the points to be tracked are varied. Using this study, it is possible to know the performance of the tracking method. An example that shows a perfect tracking of 8 points in a sequence of 10 images with 500 noisy points per image is shown.</t>
  </si>
  <si>
    <t>Vidal, Rene/A-3367-2010; Mery, Domingo/D-1385-2014</t>
  </si>
  <si>
    <t>3-540-23223-0</t>
  </si>
  <si>
    <t>WOS:000224667000080</t>
  </si>
  <si>
    <t>Rodriguez, N; Soto, I; Carrasco, R</t>
  </si>
  <si>
    <t>Adaptive predistortion of COMM signals for a mobile satellite channel</t>
  </si>
  <si>
    <t>INTERNATIONAL JOURNAL OF COMMUNICATION SYSTEMS</t>
  </si>
  <si>
    <t>In this paper, we consider the optimization of the performance of QPSK and 16-QAM coded orthogonal frequency division multiplexing (COFDM) signals over the non-linear and mobile satellite channel. A high power amplifier and Rician flat fading channel produces non-linear and linear distortions; an adaptive predistortion technique combined with turbo codes will reduce both types of distortion. The predistorter is based on a feedforward neural network, with the coefficients being derived using an extended Kalman filter (EKF). The conventional turbo code is used to mitigate Rician flat fading distortion and Gaussian noise. The performance over a non-linear satellite channel indicates that QPSK COFDM followed by a predistorter provides a gain of about 1.7 dB at a BER of 3 x 10(-3) when compared to QPSK COFDM without the predistortion scheme and 16-QAM COFDM provides a gain of 0.5 dB output back-off and 1.2 dB signal to noise ratio at a BER of 3 x 10(-5) when compared with an adaptive predistorter based on the Harmmerstein model. We also investigate the influence of the guard time interval and Doppler frequency effect on the BER performance. When the guard interval increases from 0 to 0.125 T samples and the normalized Doppler frequency is 0.001, there is a gain of 0.7 and 1 dB signal to noise ratio at a BER of 6 x 10(-4) for QPSK and 16-QAM COFDM, respectively. Copyright (C) 2003 John Wiley Sons, Ltd.</t>
  </si>
  <si>
    <t>1074-5351</t>
  </si>
  <si>
    <t>1099-1131</t>
  </si>
  <si>
    <t>10.1002/dac.572</t>
  </si>
  <si>
    <t>WOS:000181658900002</t>
  </si>
  <si>
    <t>Yáñez, C; Gutiérrez, C; Ureta-Zañartu, MS</t>
  </si>
  <si>
    <t>Electrooxidation of primary alcohols on smooth and electrodeposited platinum in acidic solution</t>
  </si>
  <si>
    <t>The electrooxidation of primary alcohols with four to eight carbon atoms on black Pt electrodeposits on gold/quartz, and on commercial bright platinum/quartz electrodes in perchloric acid solution, was studied by cyclic voltammetry (CV) and with the electrochemical quartz crystal microbalance (EQCM). Alcohol physisorption and Pt oxide reduction by chemical reaction with the alcohols were observed, both processes increasing with increasing chain length of the alcohol. Hexanol addition at 0.4 V versus SCE, the potential at which Pt oxidation starts, or higher potentials produced both an anodic current of hexanol electrooxidation and a mass decrease of bright Pt/Q electrodes, which shows unequivocally that the alcohol reduces the Pt oxide chemically. (C) 2002 Elsevier Science B.V. All rights reserved.</t>
  </si>
  <si>
    <t>Ureta-Zañartu, Maria/G-5239-2019; Yañez, Claudia/I-2840-2013</t>
  </si>
  <si>
    <t>JAN 16</t>
  </si>
  <si>
    <t>PII S0022-0728(02)01313-X</t>
  </si>
  <si>
    <t>10.1016/S0022-0728(02)01313-X</t>
  </si>
  <si>
    <t>WOS:000182686700005</t>
  </si>
  <si>
    <t>Marcos, DJ; Ubilla, P</t>
  </si>
  <si>
    <t>Marcos, Joao do O.; Ubilla, Pedro</t>
  </si>
  <si>
    <t>A multiplicity result for a class of superquadratic Hamiltonian systems</t>
  </si>
  <si>
    <t>ELECTRONIC JOURNAL OF DIFFERENTIAL EQUATIONS</t>
  </si>
  <si>
    <t>We establish the existence of two nontrivial solutions to semilinear elliptic systems with superquadratic and subcritical growth rates. For a small positive parameter lambda, we consider the system [GRAPHICS] where Omega is a smooth bounded domain in R-N with N &gt;= 1. One solution is obtained applying Ambrosetti and Rabinowitz's classical Mountain Pass Theorem, and the other solution by a local minimization.</t>
  </si>
  <si>
    <t>1072-6691</t>
  </si>
  <si>
    <t>WOS:000208969400012</t>
  </si>
  <si>
    <t>Escuder, B; Torres, R; Lissi, E; Labbé, C; Faini, F</t>
  </si>
  <si>
    <t>Antioxidant capacity of abietanes from Sphacele salviae</t>
  </si>
  <si>
    <t>NATURAL PRODUCT LETTERS</t>
  </si>
  <si>
    <t>Carnosol 1, rosmanol 2, carnosic acid 3 and 20-deoxocarnosol 4, the main phenolic abietanes present in aerial parts of the Chilean medicinal plant Sphacele salviae were tested for antioxidant activity of measuring the decay of the radical cation diphenyl-picrylhydrazyl (DPPH). All compounds displayed higher antioxidant levels than BHT under the same conditions and carnosic acid was more efficient than vitamin E.</t>
  </si>
  <si>
    <t>Escuder, Beatriu/M-8090-2014</t>
  </si>
  <si>
    <t>Escuder, Beatriu/0000-0002-4350-3172</t>
  </si>
  <si>
    <t>1057-5634</t>
  </si>
  <si>
    <t>10.1080/10575630290020631</t>
  </si>
  <si>
    <t>WOS:000177267900013</t>
  </si>
  <si>
    <t>Lizama, C</t>
  </si>
  <si>
    <t>Regularized solutions for abstract Volterra equations</t>
  </si>
  <si>
    <t>We introduce a two-kernel dependent family of strong continuous operators defined in a Banach space, which allows us to consider in an unified treatment the notions of, among others, C-0-semigroups of operators, cosine families, n-times integrated semigroups, resolvent families and k-generalized solutions. The results are applied to the study of existence and uniqueness of solutions for the Volterra equation of convolution type u =f + a * Au., in the case A is not necessarily densely defined Examples for equations defined in LP spaces are also given. (C) 2000 Academic Press.</t>
  </si>
  <si>
    <t>Lizama, Carlos/E-5909-2011</t>
  </si>
  <si>
    <t>10.1006/jmaa.1999.6668</t>
  </si>
  <si>
    <t>WOS:000085770000006</t>
  </si>
  <si>
    <t>Antonova, EE; Stepanova, MV; Vikhreva, EA; Ovchinnikov, IL; Teltzov, MV</t>
  </si>
  <si>
    <t>Generation of unmagnetized motion of plasma sheet electrons and its possible causes</t>
  </si>
  <si>
    <t>JOURNAL OF GEOPHYSICAL RESEARCH-SPACE PHYSICS</t>
  </si>
  <si>
    <t>Results of experimental and theoretical studies of unmagnetized stochastic motion of the plasma sheet electrons and the mixing of plasma in the plasma sheet are presented. Analysis of the electron temperature distributions within the plasma sheet is undertaken using the data from Intercosmos-Bulgaria-1300 polar orbiting satellite. The electron temperature is obtained with consideration of acceleration of precipitating electrons by the field-aligned potential drop; this temperature is nearly constant in the meridional direction and has no longitudinal dependence during quiet geomagnetic conditions. Analysis of spacial fluctuations of precipitating electron fluxes for a fixed electron energy shows that fluctuation spectra of primary electrons have a power dependence and resemble the spectra of electric field fluctuations observed within the plasma sheet. The satellite observations are interpreted in terms of stochastic motion of the plasma sheet electrons and intensive mixing of plasma in the sheet. It is suggested that the electron motion in the electric field with a characteristic scale comparable with the electron Larmor radius is a source of stochastization; chaotization of the particle trajectories could be a part of stochastization process. The particle motion in a homogeneous magnetic field and in a regular inhomogeneous electric field with a sinusoidal distribution in one direction and a homogeneous distribution in the perpendicular direction is analyzed as an example of the chaotic motion.</t>
  </si>
  <si>
    <t>Stepanova, Marina/D-6329-2011; Antonova, Elizaveta/A-2716-2012; Ovchinnikov, Ilya/B-1467-2014</t>
  </si>
  <si>
    <t>Stepanova, Marina/0000-0002-1053-3375; Antonova, Elizaveta/0000-0001-6980-3993; Ovchinnikov, Ilya/0000-0003-2509-8166</t>
  </si>
  <si>
    <t>2169-9380</t>
  </si>
  <si>
    <t>2169-9402</t>
  </si>
  <si>
    <t>A9</t>
  </si>
  <si>
    <t>10.1029/1999JA900036</t>
  </si>
  <si>
    <t>WOS:000082360100020</t>
  </si>
  <si>
    <t>Vera-Villarroel, PE; Buela-Casal, G</t>
  </si>
  <si>
    <t>Psychoneuroimmunology: relationships between psychological and immunological factors in humans</t>
  </si>
  <si>
    <t>REVISTA LATINOAMERICANA DE PSICOLOGIA</t>
  </si>
  <si>
    <t>Psychoneuroimmunology is the field that investigates the bidirectional relationships among behavior, the brain, and the immune system. Since the initial studies with conditioned immunodepression and activation in animals, a large number of research studies have been carried out with human participants, with the aim of finding out to which extend the immune system is subject to psychosocial influences. A review is presented of psychoneuroimmunology, exclusively of research with human participants. The definitions of the main concepts are presented, and the functioning of the immune system and the way of measuring it are indicated. Studies are reviewed in the areas of social situations, anxiety and stress, depression, cognitive processes, cancer, and aids. The large majority of research work has been done by English-speaking investigators, but there are also important work done by Iberoamerican researchers in Brazil, Chile, Mexico, Spain, and other countries.</t>
  </si>
  <si>
    <t>Vera-Villarroel, Pablo/A-1134-2011</t>
  </si>
  <si>
    <t>Vera-Villarroel, Pablo/0000-0001-9187-8414</t>
  </si>
  <si>
    <t>0120-0534</t>
  </si>
  <si>
    <t>WOS:000171721700004</t>
  </si>
  <si>
    <t>Cárdenas-Jirón, GI; Letelier, JR; Toro-Labbé, A</t>
  </si>
  <si>
    <t>The internal rotation of hydrogen thioperoxide:: Energy, chemical potential, and hardness profiles</t>
  </si>
  <si>
    <t>We present a theoretical study of the internal rotation of HSOH. Calculations at the ab initio HF//6-311G** level show that HSOH is a gauche molecule presenting a double-barrier torsional potential. The different mechanisms associated with isomerization passing by a trans or a cis barrier have been characterized with the use of the profiles of potential energy (V), electronic chemical potential (mu), and molecular hardness (eta). Important results have been obtained: (a) the principle of maximum hardness is verified; (b) the profiles of mu and eta in connection with that of local electronic populations allows one a qualitative characterization of the nature of the two potential barriers hindering the internal rotation.</t>
  </si>
  <si>
    <t>Toro-Labbe, Alejandro/J-5026-2013; Cardenas-Jiron, Gloria/H-9508-2012</t>
  </si>
  <si>
    <t>Toro-Labbe, Alejandro/0000-0001-9906-2153; Cardenas-Jiron, Gloria/0000-0003-4305-8088</t>
  </si>
  <si>
    <t>10.1021/jp981841j</t>
  </si>
  <si>
    <t>WOS:000076380500020</t>
  </si>
  <si>
    <t>Vargas, P; Altbir, D; Castro, JDE; Raff, U</t>
  </si>
  <si>
    <t>Magnetoresistance in granular metallic systems</t>
  </si>
  <si>
    <t>JOURNAL OF PHYSICS-CONDENSED MATTER</t>
  </si>
  <si>
    <t>The magnetic and transport properties of ferromagnetic clusters embedded in a metallic host are studied. A simple model is presented to explain the observed behaviour of the magnetoresistance in such systems. The role played by both the dipolar interaction between the clusters and the ratio of the electronic mean free path in the non-magnetic material to the average inter-cluster distance is clarified. Finally, a suggestion is made of systems in which the best magnetoresistance ratios are expected to be found.</t>
  </si>
  <si>
    <t>Vargas, Patricio/AAL-2633-2020; Altbir, Dora/R-6781-2018</t>
  </si>
  <si>
    <t>vargas, patricio/0000-0001-9235-9747; Altbir, Dora/0000-0002-2945-4909</t>
  </si>
  <si>
    <t>0953-8984</t>
  </si>
  <si>
    <t>10.1088/0953-8984/9/45/020</t>
  </si>
  <si>
    <t>WOS:A1997YG23300020</t>
  </si>
  <si>
    <t>ENCINAS, MV; LISSI, EA; ZANOCCO, A; STEWART, LC; SCAIANO, JC</t>
  </si>
  <si>
    <t>PHOTOCHEMISTRY OF ALKYL ESTERS OF BENZOYLFORMIC ACID</t>
  </si>
  <si>
    <t>Encinas, Maria/L-9686-2014</t>
  </si>
  <si>
    <t>Scaiano, Juan/0000-0002-4838-7123</t>
  </si>
  <si>
    <t>10.1139/v84-068</t>
  </si>
  <si>
    <t>WOS:A1984SD87400032</t>
  </si>
  <si>
    <t>Almasi, L; Arkan, E; Farzaei, MH; Iranpanah, A; Jalili, C; Abbaszadeh, F; Aghaz, F; Fakhri, S; Echeverria, J</t>
  </si>
  <si>
    <t>Almasi, Leila; Arkan, Elham; Farzaei, Mohammad Hosein; Iranpanah, Amin; Jalili, Cyrus; Abbaszadeh, Fatemeh; Aghaz, Faranak; Fakhri, Sajad; Echeverria, Javier</t>
  </si>
  <si>
    <t>Preparation of Tragopogon graminifolius-loaded electrospun nanofibers and evaluating its wound healing activity in a rat model of skin scar</t>
  </si>
  <si>
    <t>Background Growing reports are dedicated to providing novel agents for wound healing with fewer adverse effects and higher efficacy. The efficacy of nanofibers composed of polyvinyl alcohol (PVA)/polyethylene oxide (PEO)/chitosan (CS) in promoting wound healing can be attributed to their ability to stimulate collagen production. Among the herbal agents with fewer adverse effects, Tragopogon graminifolius DC. [Asteraceae] (TG), also called Sheng in traditional Iranian medicine, is one of the most efficacious plants for treating various skin injuries due to its several pharmacological and biological effects like anti-inflammatory and antioxidant properties.Purpose In the present study, our objective was to assess the wound-healing activity of PVA/PEO/CS nanofibers containing TG in a rat model of excision wound repair.Methods Synthesized nanofibers from PVA, PEO, and CS were done by the electrospinning method and confirmed by scanning electron microscopy (SEM) and Fourier-transform infrared spectroscopy (FT-IR). The release tests of nanofibers were assessed through the UV-visible method at different time intervals, which were conducted for about 60 h. To evaluate the wound healing effects, rats were divided into four distinct groups, including negative control (untreated), phenytoin cream (as positive control), polymer (PVA/PEO/CS), and drug (nanofiber-containing 50% of TG extract; named PVA/PEO/CS/TG) groups. All treatments were administered topically once daily for 14 days. Wound size changes were investigated in different time intervals. On the 15th day, nitrite and catalase serum levels were measured. Furthermore, samples of skin tissue were extracted and subjected to histopathological analysis.Results PVA/PEO/CS nanofibers containing 1.2 g of PVA, 0.3 g of PEO, and 0.8 g of CS, along with 50% of TG extract (PVA/PEO/CS/TG) at 17 kV were selected based on its favorable morphology and uniform quality. PVA/PEO/CS/TG represented a notable reduction in wound sizes. Moreover, in histopathological analysis, PVA/PEO/CS/TG showed a lower presence of inflammatory cells, higher density of dermis collagen fibers, and better regeneration of the epidemic layer. In addition, PVA/PEO/CS/TG elevated plasma antioxidant capacity via increasing catalase while reducing nitrite levels.Conclusion PVA/PEO/CS/TG is a promising wound dressing nanofiber with antioxidant and tissue regeneration potential. These results encourage further studies for the development of TG nanofibers as promising agents in treating and accelerating the process of excision wound repair.</t>
  </si>
  <si>
    <t>Abbaszadeh, Fatemeh/AHB-2484-2022; Echeverría, Javier/AAK-3323-2020; , faranak/AAV-1990-2021; Farzaei, Mohammad/M-5779-2017; Jalili, Cyrus/K-9663-2019</t>
  </si>
  <si>
    <t>JAN 31</t>
  </si>
  <si>
    <t>10.3389/fphar.2025.1533010</t>
  </si>
  <si>
    <t>WOS:001420360000001</t>
  </si>
  <si>
    <t>Sales, D; Ferrari, G; da Silva, JP Jr; Bergamo, RR; Moda, PPD; dos Santos, A; dos Santos, M; Matsudo, V</t>
  </si>
  <si>
    <t>Sales, Diego; Ferrari, Gerson; da Silva, Joao Pedro; Bergamo, Raiany Rosa; Moda, Pedro Paulo de Oliveira; dos Santos, Amauri; dos Santos, Mauricio; Matsudo, Victor</t>
  </si>
  <si>
    <t>Isotemporal substitution of physical activity patterns and sitting time with obesity indicators among workers in São Paulo</t>
  </si>
  <si>
    <t>This study aimed to evaluate the association between substituting 10, 30, and 60 min/day of physical activity and sitting time with obesity indicators among workers. It is a cross-sectional study involving 394 adults (76.6% women) from S &amp; atilde;o Paulo, Brazil. Physical activity and sitting time (min/day) were measured using the short version of the International Physical Activity Questionnaire (IPAQ) to determine physical activity levels. Obesity indicators included body mass index (BMI; kg/m(2)), waist circumference (cm), and body fat (kg). Isotemporal substitution models were analyzed using multivariate linear regression, adjusted for sociodemographic variables. Participants reported median values of 150.0 min/day (IQR: 60.0-360.0) for walking and 445.7 min/day (IQR: 317.1-565.7) for sitting time. The median values for BMI, waist circumference, and body fat were 27.1 kg/m(2), 91.0 cm, and 23.5 kg, respectively. Substituting 10 min/day of sitting time for 10 min/day of walking was associated with waist circumference (beta: -0.216: 95% CI: -0.041; -0.007). In addition, substituting 60 min/day of sitting time for moderate physical activity (beta -0.206; 95% CI: -0.123; -0.008) was negatively associated with body fat. The equivalent substitution of different periods of sitting time for more active behaviors was favorably associated with obesity indicators. These findings suggest that lifestyle interventions based on replacing sitting time with physical activity can reduce the obesity epidemic in adults.</t>
  </si>
  <si>
    <t>Ferrari, Gerson/HHM-6173-2022; Ferrari, Gerson/P-1152-2014</t>
  </si>
  <si>
    <t>Ferrari, Gerson/0000-0003-3177-6576</t>
  </si>
  <si>
    <t>JAN 11</t>
  </si>
  <si>
    <t>10.1038/s41598-025-85601-2</t>
  </si>
  <si>
    <t>WOS:001396240600001</t>
  </si>
  <si>
    <t>Aguirre, A; Codina, R; Baiges, J; Castañar, I</t>
  </si>
  <si>
    <t>Aguirre, A.; Codina, R.; Baiges, J.; Castanar, I.</t>
  </si>
  <si>
    <t>Stress-displacement stabilized finite element analysis of thin structures using Solid-Shell elements, Part II: Finite strain hyperelasticity</t>
  </si>
  <si>
    <t>FINITE ELEMENTS IN ANALYSIS AND DESIGN</t>
  </si>
  <si>
    <t>This work is the second of a two-part research project focused on modeling solid -shell elements using a stabilized two -field finite element formulation. The first part introduces a stabilization technique based on the Variational Multiscale framework, which is proven to effectively address numerical locking in infinitesimal strain problems. The primary objective of the study was to characterize the inherent numerical locking effects of solid -shell elements in order to comprehensively understand their triggers and how stabilized mixed formulations can overcome them. In this current phase of the work, the concept is extended to finite strain solid dynamics involving hyperelastic materials. The aim of introducing this method is to obtain a robust stabilized mixed formulation that enhances the accuracy of the stress field. This improved formulation holds great potential for accurately approximating shell structures undergoing finite deformations. To this end, three techniques based in the Variational Multiscale stabilization framework are presented. These stabilized formulations allow circumventing the compatibility restriction of interpolating spaces of the unknowns inherent to mixed formulations, thus allowing any combination of them. The accuracy of the stress field is successfully enhanced while maintaining the accuracy of the displacement field. These improvements are also inherited to the solid -shell elements, providing locking -free approximation of thin structures.</t>
  </si>
  <si>
    <t>Baiges, Joan/D-3433-2014; Codina, Ramon/I-2311-2014</t>
  </si>
  <si>
    <t>Aguirre, Alejandro/0000-0003-0638-5258; Codina, Ramon/0000-0002-7412-778X</t>
  </si>
  <si>
    <t>0168-874X</t>
  </si>
  <si>
    <t>1872-6925</t>
  </si>
  <si>
    <t>10.1016/j.finel.2024.104179</t>
  </si>
  <si>
    <t>MAY 2024</t>
  </si>
  <si>
    <t>WOS:001240519800001</t>
  </si>
  <si>
    <t>Veas-Castillo, L; Ovando-Leon, J; Bonacic, C; Gil-Costa, V; Marin, M</t>
  </si>
  <si>
    <t>Veas-Castillo, Luis; Ovando-Leon, Juan; Bonacic, Carolina; Gil-Costa, Veronica; Marin, Mauricio</t>
  </si>
  <si>
    <t>A methodology for performance estimation of bot-based applications for natural disasters</t>
  </si>
  <si>
    <t>SIMULATION MODELLING PRACTICE AND THEORY</t>
  </si>
  <si>
    <t>Natural disasters drastically impact the society, causing emotional disorders as well as serious accidents that can lead to death. These kinds of disasters cause serious damage in computer and communications systems, due to the complete or partial destruction of the infrastructure, causing software applications that actually run on those infrastructures to crash. Additionally, these software applications have to provide a stable service to a large number of users and support unpredictable peaks of workloads. In this work, we propose a methodology to predict the performance of software applications designed for emergency situations when a natural disaster strikes. The applications are deployed on a distributed platform formed of commodity hardware usually available from universities, using container technology and container orchestration. We also present a specification language to formalize the definition and interaction between the components, services and the computing resources used to deploy the applications. Our proposal allows to predict computing performance based on the modeling and simulation of the different components deployed on a distributed computing platform combined with machine learning techniques. We evaluate our proposal under different scenarios, and we compare the results obtained by our proposal and by actual implementations of two applications deployed in a distributed computing infrastructure. Results show that our proposal can predict the performance of the applications with an error between 2% and 7%.</t>
  </si>
  <si>
    <t>Gil-Costa, Veronica/GPT-4785-2022</t>
  </si>
  <si>
    <t>Veas-Castillo, Luis/0000-0003-3490-9995; Gil-Costa, Veronica/0000-0003-4637-9725</t>
  </si>
  <si>
    <t>1569-190X</t>
  </si>
  <si>
    <t>1878-1462</t>
  </si>
  <si>
    <t>10.1016/j.simpat.2024.102931</t>
  </si>
  <si>
    <t>WOS:001226888000001</t>
  </si>
  <si>
    <t>Agudelo-Hernández, F; Guapacha-Montoya, M; Rojas-Andrade, R</t>
  </si>
  <si>
    <t>Agudelo-Hernandez, Felipe; Guapacha-Montoya, Marcela; Rojas-Andrade, Rodrigo</t>
  </si>
  <si>
    <t>Mutual Aid Groups for Loneliness, Psychosocial Disability, and Continuity of Care</t>
  </si>
  <si>
    <t>COMMUNITY MENTAL HEALTH JOURNAL</t>
  </si>
  <si>
    <t>The objective of the present study was to evaluate the effectiveness of mutual help groups in continuity of care, loneliness and psychosocial disability in a Colombian context. For this, a quasi-experimental design is used, with pre- and post-intervention assessments due to non-randomized participant allocation. The study involved 131 individuals with mental disorders. The Psychosocial Disability Scale, The Alberta Scale of Continuity of Services in Mental Health, the UCLA Scale and the Zarit Caregiver Burden Scale were employed. The intervention was based on the core components of mutual aid groups. Significant differences (p &lt; 0.001) were observed for the study variables, particularly in Loneliness, Continuity of Care, and various domains of psychosocial disability. A large effect size was found for these variables after the intervention. Most variables exhibited a moderate to large effect. This study demonstrates the effectiveness of mutual groups facilitated by mental health personnel at the primary care level.</t>
  </si>
  <si>
    <t>Hernandez, Andres/KVA-7010-2024; Guapacha-Montoya, Marcela/JZD-7170-2024</t>
  </si>
  <si>
    <t>AGUDELO HERNANDEZ, ANDRES FELIPE/0000-0002-8356-8878; Guapacha Montoya, Marcela/0000-0002-7091-2764</t>
  </si>
  <si>
    <t>0010-3853</t>
  </si>
  <si>
    <t>1573-2789</t>
  </si>
  <si>
    <t>10.1007/s10597-023-01216-9</t>
  </si>
  <si>
    <t>WOS:001138396000001</t>
  </si>
  <si>
    <t>Coss-Mandiola, J; Vanegas-López, J; Rojas, A; Carrasco, R; Dubó, P; Campillay-Campillay, M</t>
  </si>
  <si>
    <t>Coss-Mandiola, J.; Vanegas-Lopez, J.; Rojas, A.; Carrasco, R.; Dubo, P.; Campillay-Campillay, M.</t>
  </si>
  <si>
    <t>CHARACTERIZATION OF COMMUNES WITH PRIMARY HEALTH CARE CENTERS ACCREDITED IN QUALITY IN CHILE</t>
  </si>
  <si>
    <t>GACETA SANITARIA</t>
  </si>
  <si>
    <t>Carrasco, Ricardo/MEP-6467-2025; Campillay Campillay, Maggie/ADC-6657-2022</t>
  </si>
  <si>
    <t>Campillay Campillay, Maggie/0000-0002-4054-1595</t>
  </si>
  <si>
    <t>0213-9111</t>
  </si>
  <si>
    <t>1578-1283</t>
  </si>
  <si>
    <t>S206</t>
  </si>
  <si>
    <t>S207</t>
  </si>
  <si>
    <t>WOS:001161877400510</t>
  </si>
  <si>
    <t>Villarroel-Sepúlveda, N; López, RA; Moya, PS</t>
  </si>
  <si>
    <t>Villarroel-Sepulveda, N.; Lopez, R. A.; Moya, P. S.</t>
  </si>
  <si>
    <t>The effect of heavy ions on the dispersion properties of kinetic Alfven waves in astrophysical plasmas</t>
  </si>
  <si>
    <t>ASTRONOMY &amp; ASTROPHYSICS</t>
  </si>
  <si>
    <t>Context. Spacecraft measurements have shown Kinetic Alfven Waves propagating in the terrestrial magnetosphere at lower wave-normal angles than predicted by linear Vlasov theory of electron-proton plasmas. To explain these observations, it has been suggested that the abundant heavy ion populations in this region may have strong, non-trivial effects that allow Alfvenic waves to acquire right-handed polarization at lower angles with respect to the background magnetic field, as in the case of typical electron-proton plasma.Aims. We study the dispersion properties of Alfvenic waves in plasmas with stationary phase-space distribution functions with different heavy ion populations. Our extensive numerical analysis has allowed us to quantify the role of the heavy ion components on the transition from the left-hand polarized electromagnetic ion-cyclotron (EMIC) mode to the right-hand polarized kinetic Alfven wave (KAW) mode.Methods. We used linear Vlasov-Maxwell theory to obtain the dispersion relation for oblique electromagnetic waves. The dispersion relation of Alfven waves was obtained numerically by considering four different oxygen ion concentrations ranging between 0.0 and 0.2 for all propagation angles, as a function of both the wavenumber and the plasma beta parameter.Results. The inclusion of the heavy O+ ions is found to considerably reduce the transition angle from EMIC to KAW both as a function of the wave number and plasma beta. With increasing O+ concentrations, waves become more damped in specific wavenumber regions. However, the inclusion of oxygen ions may allow weakly damped KAW to effectively propagate at smaller wave-normal angles than in the electron-proton case, as suggested by observations.</t>
  </si>
  <si>
    <t>Moya, Pablo S./C-3163-2011; Lopez, Rodrigo/H-7576-2013</t>
  </si>
  <si>
    <t>Moya, Pablo S./0000-0002-9161-0888; Lopez, Rodrigo/0000-0003-3223-1498; Villarroel-Sepulveda, Nicolas/0000-0003-4887-9512</t>
  </si>
  <si>
    <t>0004-6361</t>
  </si>
  <si>
    <t>1432-0746</t>
  </si>
  <si>
    <t>JUL 4</t>
  </si>
  <si>
    <t>A84</t>
  </si>
  <si>
    <t>10.1051/0004-6361/202345899</t>
  </si>
  <si>
    <t>WOS:001023434900020</t>
  </si>
  <si>
    <t>Nilson, EAF; Gianicchi, B; Ferrari, G; Rezende, LFM</t>
  </si>
  <si>
    <t>Nilson, Eduardo A. F.; Gianicchi, Beatriz; Ferrari, Gerson; Rezende, Leandro F. M.</t>
  </si>
  <si>
    <t>The projected burden of non-communicable diseases attributable to overweight in Brazil from 2021 to 2030</t>
  </si>
  <si>
    <t>Although studies have quantified the current burden of diseases attributable to overweight and obesity in Brazil, none have estimated its burden in the future. The study aimed to estimate the potential impact of different scenarios of changes in the prevalence of overweight on non-communicable diseases (NCD) in the Brazilian adult population until 2030. We developed a multistate life table model including 11 body mass index (BMI) related diseases to estimate attributable NCDs cases and deaths under the following scenarios of changes in overweight over a 10-year simulation: (1) the continuity of the current trajectory of BMI increases, (2) reducing the rate of increase by half, (3) stopping future BMI increases, and (4) the reduction of the prevalence of overweight by 6.7%. In Brazil, if the current trends of BMI increase are maintained from 2021 to 2030, approximately 5.26 million incident cases and 808.6 thousand deaths from NCDs may occur due to overweight. If the annual increase in overweight was reduced by half until 2030, 1.1% of new NCD cases and 0.2% of deaths could be prevented (respectively, 29,600 cases and 1900 deaths). Alternatively, if the current prevalence of overweight is maintained, as set as a national goal in Brazil until 2030, the incident NCD cases and the deaths could be reduced by respectively 3.3% (92,900) and 1.5% (12,100) compared to continuation of current trends. If the prevalence of overweight is reduced by 6.7% until 2030, 6.5% (182,200) of NCD cases and 4.2% (33,900) of deaths could be prevented. The epidemiologic burden of overweight in Brazil tends to increase if bold policy interventions are not adopted in Brazil.</t>
  </si>
  <si>
    <t>Ferrari, Gerson/HHM-6173-2022; Nilson, Eduardo/AAW-5074-2021; Ferrari, Gerson/P-1152-2014; Rezende, Leandro/C-1724-2012</t>
  </si>
  <si>
    <t>Ferrari, Gerson/0000-0003-3177-6576; Rezende, Leandro/0000-0002-7469-1399</t>
  </si>
  <si>
    <t>DEC 28</t>
  </si>
  <si>
    <t>10.1038/s41598-022-26739-1</t>
  </si>
  <si>
    <t>WOS:000905762900039</t>
  </si>
  <si>
    <t>González, M; Ramos-Grez, JA; Jeria, I; Guerra, C; Solis, R; Carvajal, L</t>
  </si>
  <si>
    <t>Gonzalez, Matias; Ramos-Grez, Jorge A.; Jeria, Ignacio; Guerra, Carolina; Solis, Roberto; Carvajal, Linton</t>
  </si>
  <si>
    <t>Effects of laser surface modification on stainless steel 316L thin annular discs under radial and cartesian scans</t>
  </si>
  <si>
    <t>OPTICS AND LASER TECHNOLOGY</t>
  </si>
  <si>
    <t>Lasers direct use on metals allows treatment of localized surfaces, without affecting nearby material or the body of the piece. Depending on the expected result, laser surface treatments are classified into hardening, texturing, alloying, coating, and melting. Using the latter is possible to modify the microstructure, dissolve precipitates, and increase hardness and wear resistance, among other applications depending on the material and the parameters used. In this work, it is proposed to empirically study the Laser Surface Melting (LSM) technique on 316L stainless steel annular discs, to evaluate the influence of laser scanning pattern on the results of the laser treatment. The considered scanning patterns correspond to a Cartesian, the most used pattern in the LSM process, also known as zigzag , and a Radial pattern, previously proposed in Additive Manufacturing research, which moves the laser in a cylindrical way. The main contribution of this work is to introduce the variable of the scanning pattern in LSM studies, besides, generating a complete characterization of laser treatment on 316L stainless steel annular discs. The results show that, under the same conditions, the variation of the scanning pattern produces a meaningful change in the stress state of the specimen and its deformation after treatment. The main results of LSM treatment were an increase in crystallite size and a decrease in dislocation density, a state of compression, a slight hardening in the melted layer, and a decrease in toughness. This knowledge can be used to encourage new scanning patterns in this field.</t>
  </si>
  <si>
    <t>Solis, Roberto/ABE-6159-2021; Ramos-Grez, Jorge/F-9007-2013</t>
  </si>
  <si>
    <t>Gonzalez A, Matias/0000-0002-6459-1968; Carvajal Ortega, Linton Patricio/0000-0002-5414-2755; Ramos-Grez, Jorge/0000-0002-9293-3275; Solis Vidal, Roberto/0000-0003-2315-0063; GUERRA FIGUEROA, CAROLINA/0000-0003-1480-8302</t>
  </si>
  <si>
    <t>0030-3992</t>
  </si>
  <si>
    <t>1879-2545</t>
  </si>
  <si>
    <t>10.1016/j.optlastec.2022.108617</t>
  </si>
  <si>
    <t>SEP 2022</t>
  </si>
  <si>
    <t>WOS:000862927000004</t>
  </si>
  <si>
    <t>Navarrete, A; Varela, P; López, M; García-Herrera, CM; Celentano, DJ; Krause, B</t>
  </si>
  <si>
    <t>Navarrete, Alvaro; Varela, Pablo; Lopez, Miguel; Garcia-Herrera, Claudio M.; Celentano, Diego J.; Krause, Bernardo</t>
  </si>
  <si>
    <t>Characterization of the active response of a guinea pig carotid artery</t>
  </si>
  <si>
    <t>FRONTIERS IN BIOENGINEERING AND BIOTECHNOLOGY</t>
  </si>
  <si>
    <t>This work presents a characterization of the active response of the carotid artery of guinea pig fetuses through a methodology that encompasses experiments, modeling and numerical simulation. To this end, the isometric contraction test is carried out in ring samples subjected to different levels of KCl concentrations and pre-stretching. Then, a coupled mechanochemical model, aimed at describing the smooth cell behavior and its influence on the passive and active mechanical response of the vascular tissue, is calibrated from the experimental measurements. Due to the complex stress and strain fields developed in the artery, a finite element numerical simulation of the test is performed to fit the model parameters, where those related to the phosphorylation and dephosphorylation activity along with the load-bearing capacity of the myosin cross-bridges are found to be the most predominant when sensitizing the active response. The main strengths of the model are associated with the prediction of the stationary state of the active mechanical response of the tissue through a realistic description of the mechanochemical process carried out at its cellular level.</t>
  </si>
  <si>
    <t>García-Herrera, Claudio/ABE-8991-2020; Celentano, Diego/JQW-5027-2023; Krause, Bernardo/F-4977-2013</t>
  </si>
  <si>
    <t>Varela, Pablo/0009-0001-2957-1064</t>
  </si>
  <si>
    <t>2296-4185</t>
  </si>
  <si>
    <t>AUG 26</t>
  </si>
  <si>
    <t>10.3389/fbioe.2022.924019</t>
  </si>
  <si>
    <t>WOS:000852520100001</t>
  </si>
  <si>
    <t>Valencia-Galvez, P; Aravena, D; Barahona, P; Moris, S; Galdamez, A</t>
  </si>
  <si>
    <t>Valencia-Galvez, Paulina; Aravena, Daniel; Barahona, Patricia; Moris, Silvana; Galdamez, Antonio</t>
  </si>
  <si>
    <t>Effects of Tin and Sulfur Chemical Substitution on the Structural and Electrical Properties of CuCr2Se4 Selenospinel</t>
  </si>
  <si>
    <t>APPLIED SCIENCES-BASEL</t>
  </si>
  <si>
    <t>A series of CuCr2-xSnxS2.Se-3(1).(7) and CuCr2-xSnxS1.Se-7(2).(3) (x = 0.4, 0.6, and 1.0) compounds were prepared by solid-state reaction at a high temperature. Single-crystal X-ray diffraction analysis showed that CuCr1.Sn-1(0).S-9(2).Se-3(1).(7) crystallizes in a spinel-type structure (cubic Fd3 over bar m space group). The others samples were also consistent with a spinel-type structure but through powder X-ray diffraction patterns and Rietveld refinements. The systems studies showed p-type semiconductor behavior with a carrier concentration per volume of approximately ~+10(20) cm(-3). The electrical conductivity, sigma, showed tin-content dependence. The conductivity of CuCr2-xSnxS1.Se-7(2).(3) increased from ~9.0 to ~17.0 S &amp; BULL;cm(-1) at room temperature (RT) for x = 0.4 and 0.6, respectively, and the magneto-resistance average value determined for CuCr2-xSnxS2.Se-3(1).(7) and CuCr2-xSnxS1.Se-7(2).(3) was approximately ~10(-4) omega (0.566 T, external magnetic field). DFT calculations revealed that the Cr centers concentrated most of the spin density. A smaller spin polarization featuring the opposite spin was observed for S/Se atoms.</t>
  </si>
  <si>
    <t>Moris, Silvana/HNR-8978-2023; Aravena, Daniel/F-2174-2011; Galdamez, Antonio/H-7404-2013</t>
  </si>
  <si>
    <t>Moris, Silvana/0000-0002-0330-8751; Valencia Galvez, Paulina/0000-0002-7283-064X; Galdamez, Antonio/0000-0001-9665-7696</t>
  </si>
  <si>
    <t>2076-3417</t>
  </si>
  <si>
    <t>10.3390/app12031586</t>
  </si>
  <si>
    <t>WOS:000761013300001</t>
  </si>
  <si>
    <t>Rincón, A; Panotopoulos, G; Lopes, I; Cruz, N</t>
  </si>
  <si>
    <t>Rincon, Angel; Panotopoulos, Grigoris; Lopes, Ilidio; Cruz, Norman</t>
  </si>
  <si>
    <t>ISCOs and OSCOs in the Presence of a Positive Cosmological Constant in Massive Gravity</t>
  </si>
  <si>
    <t>UNIVERSE</t>
  </si>
  <si>
    <t>We study the impact of a non-vanishing (positive) cosmological constant on the innermost and outermost stable circular orbits (ISCOs and OSCOs, respectively) within massive gravity in four dimensions. The gravitational field generated by a point-like object within this theory is known, generalizing the usual Schwarzschild-de Sitter geometry of General Relativity. In the non-relativistic limit, the gravitational potential differs by the one corresponding to the Schwarzschild-de Sitter geometry by a term that is linear in the radial coordinate with some prefactor gamma, which is the only free parameter. Starting from the geodesic equations for massive test particles and the corresponding effective potential, we obtain a polynomial of fifth order that allows us to compute the innermost and outermost stable circular orbits. Next, we numerically compute the real and positive roots of the polynomial for several different structures (from the hydrogen atom to stars and globular clusters to galaxies and galaxy clusters) considering three distinct values of the parameter gamma, determined using physical considerations, such as galaxy rotation curves and orbital precession. Similarly to the Kottler spacetime, both ISCOs and OSCOs appear. Their astrophysical relevance as well as the comparison with the Kottler spacetime are briefly discussed.</t>
  </si>
  <si>
    <t>Rincon, Angel/L-1189-2019; Lopes, Ilidio/B-4170-2014; Panotopoulos, Grigoris/ITV-5104-2023</t>
  </si>
  <si>
    <t>Cruz, Norman/0000-0002-0737-3497; Lopes, Ilidio/0000-0002-5011-9195; Panotopoulos, Grigoris/0000-0003-1449-9108; Panotopoulos, Grigorios/0000-0002-7647-4072; Rincon, Angel/0000-0001-8069-9162</t>
  </si>
  <si>
    <t>2218-1997</t>
  </si>
  <si>
    <t>10.3390/universe7080278</t>
  </si>
  <si>
    <t>WOS:000690136800001</t>
  </si>
  <si>
    <t>Adasme, SI</t>
  </si>
  <si>
    <t>Inostroza Adasme, Sonia</t>
  </si>
  <si>
    <t>The special reimbursement action of Law 16.744 on workplace accidents and occupational illnesses, a view from the perspective of civil law, in attention to a chilean cassation judgment</t>
  </si>
  <si>
    <t>REVISTA DE LA FACULTAD DE DERECHO</t>
  </si>
  <si>
    <t>Social security has proven to be an effective health insurance that guarantees protection to all inhabitants of a certain nation. In Chile it is a right that is enshrined in constitutional level. Therefore, this guarantee is the support of modern legislation that must face the challenge of safeguarding the physical and mental integrity of workers in the complex scenario of an occupational accident that causes a significant change in their lives and their families. Despite the fact that, this fundamental right has a direct link with the ius publicum, we cannot deny its connection with the other branches of law. Thus, as in this comment we will review a judgment that deals with labor matters related to social security, but which is also related to issues of civil law, specifically in the matters of obligations and responsibility. However, the main aspect of this investigation is the application of letter a), article 69 of Law 16.744, which contains a very particular action that allows the reimbursement of expenses that the administrative institution has had to incur in favor of the product worker of an accident. Consequently, this action is directed against the employer or responsible third parties. This is the context of the article we present.</t>
  </si>
  <si>
    <t>0797-8316</t>
  </si>
  <si>
    <t>2301-0665</t>
  </si>
  <si>
    <t>e202152esp15</t>
  </si>
  <si>
    <t>10.22187/rfde2021n52espa15</t>
  </si>
  <si>
    <t>WOS:000734883700011</t>
  </si>
  <si>
    <t>Báez, DF; Brito, TP; Espinoza, LC; Méndez-Torres, AM; Sierpe, R; Sierra-Rosales, P; Venegas, CJ; Yáñez, C; Bollo, S</t>
  </si>
  <si>
    <t>Baez, Daniela F.; Brito, Tania P.; Espinoza, L. Carolina; Mendez-Torres, Ana Maria; Sierpe, Rodrigo; Sierra-Rosales, Paulina; Venegas, Constanza J.; Yanez, Claudia; Bollo, Soledad</t>
  </si>
  <si>
    <t>Graphene-based sensors for small molecule determination in real samples</t>
  </si>
  <si>
    <t>MICROCHEMICAL JOURNAL</t>
  </si>
  <si>
    <t>Graphene-derived materials (GDMs), such as graphene oxide (GO) and reduced graphene oxide (RGO), have attracted considerable interest in the development of biosensors for small molecules. The valuable physical, chemical, and optical properties make GDMs desirable materials for sensing applications since they can be functionalized with multiple recognition molecules and enhance the transduced detection signal. This review summarizes the reports from the past five years in which GO and RGO have been used to construct electrochemical and optical sensors for food and environmental analytes. In the beginning, we briefly describe the GO and RGO synthesis methods and their specific functionalization with some organic and inorganic materials. The advances in electrochemical sensors for real food and environmental samples are discussed separately according to the type of recognition molecule and hybrid material. Subsequently, the surface plasmon resonance technique and micromotor tools based on GDM are also discussed as new optical sensors. Finally, future research prospects to advances toward effective real sample detection for electrochemical and optical sensors using GO and RGO are presented.</t>
  </si>
  <si>
    <t>Espinoza, Carolina/HSH-9507-2023; Venegas Alburquenque, Constanza/ISV-5989-2023; Sierra-Rosales, Paulina/K-4733-2019; Yañez, Claudia/I-2840-2013; Bollo, Soledad/B-5257-2011</t>
  </si>
  <si>
    <t>Mendez Torres, Ana Maria/0000-0001-6497-796X; Bollo, Soledad/0000-0003-0868-4294; Sierra-Rosales, Paulina/0000-0001-7077-785X; Venegas Alburquenque, Constanza J./0000-0002-4303-7319; Espinoza, L. Carolina/0000-0002-6021-0742; Brito, Tania/0000-0002-9279-835X</t>
  </si>
  <si>
    <t>0026-265X</t>
  </si>
  <si>
    <t>1095-9149</t>
  </si>
  <si>
    <t>10.1016/j.microc.2021.106303</t>
  </si>
  <si>
    <t>WOS:000662635700015</t>
  </si>
  <si>
    <t>Cabaluz, JF; Matamoros, CM</t>
  </si>
  <si>
    <t>Cabaluz D, J. Fabian; Matamoros F, Christian</t>
  </si>
  <si>
    <t>Critical pedagogies without Marxism? Bibliographic balance of educational topics in left-wing Latin American journals</t>
  </si>
  <si>
    <t>IZQUIERDAS</t>
  </si>
  <si>
    <t>This article seeks to show which are the thematic and problematic emphases associated with the field of education and pedagogy, based on the review of texts published in Latin American journals that are situated in a critical, left-wing position and in some cases directly from the Marxism. At the same time, it seeks to account for the degrees of use of the analytical perspectives outlined by Karl Marx and Marxism in the mentioned works referring to education. We have been able to verify that the selected publications make little reference to contributions of Marx's work and Marxism, addressing issues of the history of education, educational policies, student and teacher movements, but without developing or use the pedagogical dimension of Marxism and even, some of them, reproducing in an uncritical way the hegemonic conceptions in education. To carry out this bibliographic balance, were reviewed recent editions of the journals Actuel Marx/ Interventions, Izquierdas, La Migrana. Revista de analisis politico, Herramienta. Revista de debate y critica marxista, y Memoria. Revista de critica militante. In methodological terms, was chosen a qualitative work based on the bibliographic analysis of academic journals and particularly an analysis of thematic content of the selected articles.</t>
  </si>
  <si>
    <t>0718-5049</t>
  </si>
  <si>
    <t>WOS:000706614500029</t>
  </si>
  <si>
    <t>Quezada, D; Honores, J; Ruiz-León, D</t>
  </si>
  <si>
    <t>Quezada, Diego; Honores, Jessica; Ruiz-Leon, Domingo</t>
  </si>
  <si>
    <t>Zinc Stannate as anode and Pyrrolidinium-Based Room Temperature Ionic Liquid as electrolyte for Lithium-ion Cells</t>
  </si>
  <si>
    <t>INTERNATIONAL JOURNAL OF ELECTROCHEMICAL SCIENCE</t>
  </si>
  <si>
    <t>With the aim to design safer batteries, pyrrolidinium-based room temperature ionic liquids (RTIL) have been used as electrolytes in Li-ion batteries using zinc stannate as the anodic material. The lithium diffusion coefficients were calculated using Electrochemical Impedance Spectroscopy (EIS) data and were 2.37 x 10(-12) cm(2)s(-1) for MPPyrTFSI and 1.29 x 10(-12) cm(2)s(-1) for BMPyrTFSI. The performance of the device strongly depended on the cation chemical structure, yielding different specific capacity values of 306.3 mAhg(-1) for BMPyrTFSI and 269.2 mAhg(-1) for MPPyrTFSI.</t>
  </si>
  <si>
    <t>Ruiz, Domingo/H-3818-2011</t>
  </si>
  <si>
    <t>Quezada, Diego/0009-0003-0231-5866; Ruiz Leon, Domingo/0000-0002-0950-6919; Honores Sotelo, Jessica/0000-0003-1172-4728</t>
  </si>
  <si>
    <t>1452-3981</t>
  </si>
  <si>
    <t>10.20964/2021.02.34</t>
  </si>
  <si>
    <t>WOS:000620082300004</t>
  </si>
  <si>
    <t>Sandri, C; de Melo, CEA; Giusti, LA; Rezende, MC; Machado, VG</t>
  </si>
  <si>
    <t>Sandri, Crislaine; de Melo, Carlos E. A.; Giusti, Luciano A.; Rezende, Marcos C.; Machado, Vanderlei G.</t>
  </si>
  <si>
    <t>Preferential solvation index as a tool in the analysis of the behavior of solvatochromic probes in binary solvent mixtures</t>
  </si>
  <si>
    <t>The analysis of the solvation of a given solute is a puzzling phenomenon if the solute is placed in binary solvent mixtures. This is due to the preferential solvation (PS) of the solute by one of the solvents of the mixture. Solvatochromic dyes are used to describe binary solvent mixtures with different proportions of the components, from plots of molar transition energy (E-T) values of a solvatochromic dye as a function of the mole fraction of the most polar solvent (X-2) in the mixture. The quantitative analysis of these plots is commonly made by fitting the data using a quantitative solvent exchange model, with considerable success. However, although the fits are generally good, the results obtained are of difficult interpretation. Recently, a PS (or non-ideality) index (PSI) was introduced in an attempt to develop a simple tool for the qualitative and quantitative analysis of deviations from linearity verified in E-T (dye) with X-2 in mixtures of water with alcohols. Thus, it is necessary to extend the study related to the PSI to different probes and other solvent mixtures, to verify the advantages and limitations regarding the applications of this tool. Herein the solvatochromic behavior of five solvatochromic dyes in sixty-two binary solvent mixtures of a hydrogen-bond acceptor solvent (DMSO or acetonitrile) and a hydrogen-bond donor solvent (water and alcohols) was investigated. The PSI values were calculated and interpreted for each binary mixture. The comparison of PSIs for structurally different dyes in the binary mixtures provided interesting information about the solvation of the dyes. Thus, the analysis of the PSI values for the mixtures allow to interpret the phenomenon of PS not only in terms of a commitment of solute-solvent and solvent-solvent interactions, but also in terms of the intrinsic properties of the probe. (C) 2021 Elsevier B.V. All rights reserved.</t>
  </si>
  <si>
    <t>Giusti, Luciano/H-6313-2013; Caroli, Marcos/H-3570-2019; Machado, Vanderlei/C-7045-2018</t>
  </si>
  <si>
    <t>Rezende, Marcos/0000-0003-2040-9009</t>
  </si>
  <si>
    <t>APR 15</t>
  </si>
  <si>
    <t>10.1016/j.molliq.2021.115450</t>
  </si>
  <si>
    <t>WOS:000637338200078</t>
  </si>
  <si>
    <t>Acevedo, N; Rey, C; Contreras-Bolton, C; Parada, V</t>
  </si>
  <si>
    <t>Acevedo, Nicolas; Rey, Carlos; Contreras-Bolton, Carlos; Parada, Victor</t>
  </si>
  <si>
    <t>Automatic design of specialized algorithms for the binary knapsack problem</t>
  </si>
  <si>
    <t>Not all problem instances of a difficult combinatorial optimization problem have the same degree of difficulty for a given algorithm. Surprisingly, apparently similar problem instances may require notably different computational efforts to be solved. Few studies have explored the case that the algorithm that solves a combinatorial optimization problem is automatically designed. In consequence, the generation of the best algorithms may produce specialized algorithms according to the problem instances used during the constructive step. Following a constructive process based on genetic programming that combines heuristic components with an exact method, new algorithms for the binary knapsack problem are produced. We found that most of the automatically designed algorithms have better performance when solving instances of the same type used during construction, although the algorithms also perform well with other types of similar instances. The rest of the algorithms are partially specialized. We also found that the exact method that only solves a small knapsack problem has a key role in such results. When the algorithms are produced without considering such a method, the errors are higher. We observed this fact when the algorithms were constructed with a combination of instances from different types. These results suggest that the better the pre-classification of the instances of an optimization problem, the more specific and more efficient are the algorithms produced by the automatic generation of algorithms. Consequently, the method described in this article accelerates the search for efficient methods for NP-hard optimization problems. (C) 2019 Elsevier Ltd. All rights reserved.</t>
  </si>
  <si>
    <t>Parada, Victor/M-5840-2014; Contreras-Bolton, Carlos/D-9624-2016</t>
  </si>
  <si>
    <t>Rey, Carlos/0000-0003-1144-7628; Rey, Carlos/0009-0000-0884-7423; Parada, Victor/0000-0002-8649-5694; Contreras-Bolton, Carlos/0000-0001-9549-4143</t>
  </si>
  <si>
    <t>10.1016/j.eswa.2019.112908</t>
  </si>
  <si>
    <t>WOS:000496334800005</t>
  </si>
  <si>
    <t>Laporte, D; Rodríguez, F; González, A; Zúñiga, A; Castro-Nallar, E; Sáez, CA; Moenne, A</t>
  </si>
  <si>
    <t>Laporte, Daniel; Rodriguez, Felipe; Gonzalez, Alberto; Zuniga, Antonio; Castro-Nallar, Eduardo; Saez, Claudio A.; Moenne, Alejandra</t>
  </si>
  <si>
    <t>Copper-induced concomitant increases in photosynthesis, respiration, and C, N and S assimilation revealed by transcriptomic analyses in Ulva compressa (Chlorophyta)</t>
  </si>
  <si>
    <t>BMC PLANT BIOLOGY</t>
  </si>
  <si>
    <t>Background The marine alga Ulva compressa is the dominant species in copper-polluted coastal areas in northern Chile. It has been shown that the alga tolerates micromolar concentrations of copper and accumulates copper at the intracellular level. Transcriptomic analyses were performed using total RNA of the alga cultivated with 10 mu M copper for 0, 1, 3 and 5 days using RNA-seq in order to identify processes involved in copper tolerance. Results The levels of transcripts encoding proteins belonging to Light Harvesting Complex II (LHCII), photosystem II (PSII), cytochrome b6f, PSI, LHCI, ATP synthase and proteins involved in repair of PSII and protection of PSI were increased in the alga cultivated with copper. In addition, the level of transcripts encoding proteins of mitochondrial electron transport chain, ATP synthase, and enzymes involved in C, N and S assimilation were also enhanced. The higher percentages of increase in the level of transcripts were mainly observed at days 3 and 5. In contrast, transcripts involved protein synthesis and degradation, signal transduction, and replication and DNA repair, were decreased. In addition, net photosynthesis and respiration increased in the alga cultivated with copper, mainly at days 1 to 3. Furthermore, the activities of enzymes involved in C, N and S assimilation, rubisco, glutamine synthase and cysteine synthase, respectively, were also increased, mainly at days 1 and 3. Conclusions The marine alga U. compressa tolerates copper excess through a concomitant increase in expression of proteins involved in photosynthesis, respiration, and C, N and S assimilation, which represents an exceptional mechanism of copper tolerance.</t>
  </si>
  <si>
    <t>Castro-Nallar, Eduardo/I-5925-2019; Figueroa, Alberto/AAA-7911-2020; Zúñiga, Antonio/AAG-2749-2019; Sáez, Claudio/AAP-6923-2021</t>
  </si>
  <si>
    <t>Laporte, Daniel/0000-0003-0883-0917; Rodriguez-Tirado, Felipe/0000-0002-6554-8187; Castro-Nallar, Eduardo/0000-0003-4384-8661; Gonzalez Figueroa, Alberto/0000-0002-5777-9022; Moenne, Alejandra/0000-0002-7309-9713; Saez, Claudio/0000-0002-5037-3484</t>
  </si>
  <si>
    <t>1471-2229</t>
  </si>
  <si>
    <t>10.1186/s12870-019-2229-5</t>
  </si>
  <si>
    <t>WOS:000513707200002</t>
  </si>
  <si>
    <t>González, HMC</t>
  </si>
  <si>
    <t>Cataldo Gonzalez, Hector Mauricio</t>
  </si>
  <si>
    <t>Virtual world and freedom: information, genome and depoliticization</t>
  </si>
  <si>
    <t>HYBRIS-REVISTA DE FILOSOFIA</t>
  </si>
  <si>
    <t>The article analyzes the information on the Internet of Things, based on Evgeny Morozov's approach, and in genome studies, on Paula Sibilia's approach, identifying the main characteristics of the information, critically and reflexively relating them to the freedom that is derived from it, mainly, in its link with the market, surveillance and control, and with the disembodiment and depoliticization inherent in it.</t>
  </si>
  <si>
    <t>0718-8382</t>
  </si>
  <si>
    <t>10.5281/zenodo.4323216</t>
  </si>
  <si>
    <t>WOS:000599999700011</t>
  </si>
  <si>
    <t>Ahmed, SM; Avudaiappan, S; Sheet, IS; Flores, EIS; Pina, JC; Yanez, SJ; Guzmán, CF</t>
  </si>
  <si>
    <t>Ahmed, Saddam M.; Avudaiappan, Siva; Sheet, Ikhlas S.; Saavedra Flores, Erick I.; Pina, Juan C.; Yanez, Sergio J.; Guzman, Carlos F.</t>
  </si>
  <si>
    <t>Prediction of longitudinal shear resistance of steel-concrete composite slabs</t>
  </si>
  <si>
    <t>ENGINEERING STRUCTURES</t>
  </si>
  <si>
    <t>In this study, steel-concrete composite slabs are subjected to symmetrical double line loads, and the prediction of longitudinal shear resistance capacity is evaluated using the shear bond mechanism or m-k procedure. The current study uses the experimental testing data with a sufficient shear span distance to predict the effect of the normal force at the interface between the steel plates and concrete which is normally insignificant. All the flexural tested specimens are carried out with the same profiled rib details and the longitudinal shear resistance of composite slabs is measured and compared. Experimental results showed over-estimation of the longitudinal shear resistance because of the frictional force between the profiled steel sheet and the concrete. However, it increases according to the increase of the normal force at the interface between the steel plate and concrete core. The response of different shear spans on the bond strength and load carrying capacity is examined in both elastic and plastic stages. Based on the experimental measurements, we propose a new simplification for m-k curves, called 'lambda-q'. This simplification (lambda-q) can be used as a guideline to develop new formula taking into account other parameters, such as, embossments, shears connector, slips and shape factor.</t>
  </si>
  <si>
    <t>Guzmán, Carlos/D-7722-2013; Avudaiappan, Siva/AAV-7579-2021; Pina, Juan/AAC-3455-2021; Yanez, Sergio/G-5230-2019; Flores, Erick/I-7646-2012; SHEET, Ikhlas/E-1881-2019; Ahmed, Saddam/G-1495-2019</t>
  </si>
  <si>
    <t>SHEET, Ikhlas/0000-0001-7594-1815; Pina, Juan Carlos/0000-0003-2556-3638; AVUDAIAPPAN, SIVA/0000-0002-4289-4298; Yanez, Sergio/0000-0002-8856-0955; Ahmed, Saddam/0000-0002-2226-0159</t>
  </si>
  <si>
    <t>0141-0296</t>
  </si>
  <si>
    <t>1873-7323</t>
  </si>
  <si>
    <t>AUG 15</t>
  </si>
  <si>
    <t>10.1016/j.engstruct.2019.05.010</t>
  </si>
  <si>
    <t>WOS:000473841700023</t>
  </si>
  <si>
    <t>Montalvo, S; Huiliñir, C; Borja, R; Castillo, A; Pereda, I</t>
  </si>
  <si>
    <t>Montalvo, Silvio; Huilinir, Cesar; Borja, Rafael; Castillo, Alejandra; Pereda, Ileana</t>
  </si>
  <si>
    <t>Anaerobic digestion of wastewater rich in sulfate and sulfide: effects of metallic waste addition and micro-aeration on process performance and methane production</t>
  </si>
  <si>
    <t>JOURNAL OF ENVIRONMENTAL SCIENCE AND HEALTH PART A-TOXIC/HAZARDOUS SUBSTANCES &amp; ENVIRONMENTAL ENGINEERING</t>
  </si>
  <si>
    <t>This work explores the effect of two metallic wastes (mining wastes, MW; fly ashes, FA) and micro-aeration (MA) on the anaerobic digestion of wastewater which is rich in sulfate and sulfide. Two initial COD concentrations (5,000 and 10,000 mg/L) were studied under both conditions in batch systems at 35 degrees C, with a fixed COD/SO42- ratio = 10, with 100 mg/L of S2-. It was observed that the use of MW and FA in the assays with an initial COD concentration of 10,000 mg/L resulted in a simultaneous increase in COD removal, sulfate removal, sulfide removal and methane generation, while MA only improved the COD and sulfide removals in comparison with the control system. On the contrary, the use of MW, FA or MA in systems with initial COD concentrations equal to or lower than 5,000 mg/L did not show any improvement with respect to the control system in terms of COD removal, sulfate removal or methane generation, with only sulfide removal being positively affected by MW and FA.</t>
  </si>
  <si>
    <t>Huilinir, Cesar/IYS-6899-2023; Pereda Reyes, Ileana/J-9415-2014; Borja, Rafael/P-5314-2016</t>
  </si>
  <si>
    <t>Pereda Reyes, Ileana/0000-0001-6517-4202; Borja, Rafael/0000-0002-3699-7223; Huilinir, Cesar/0000-0002-3487-684X</t>
  </si>
  <si>
    <t>1093-4529</t>
  </si>
  <si>
    <t>1532-4117</t>
  </si>
  <si>
    <t>AUG 24</t>
  </si>
  <si>
    <t>10.1080/10934529.2019.1623597</t>
  </si>
  <si>
    <t>MAY 2019</t>
  </si>
  <si>
    <t>WOS:000472402400001</t>
  </si>
  <si>
    <t>Seguel, F; Krommenacker, N; Charpentier, P; Soto, I</t>
  </si>
  <si>
    <t>Seguel, Fabian; Krommenacker, Nicolas; Charpentier, Patrick; Soto, Ismael</t>
  </si>
  <si>
    <t>Visible light positioning based on architecture information: method and performance</t>
  </si>
  <si>
    <t>IET COMMUNICATIONS</t>
  </si>
  <si>
    <t>In this paper a novel 2-D range free positioning method which uses visible light communications network architecture is presented. The algorithm performance for lattice and hexagonal LED lighting infrastructure deployment is obtained by computational simulation. The robustness of our method against changes on receiver's field of view and mismatch between the assumed vertical distance and real vertical position is simulated in a room of dimensions 5 x 5 x 2.5 m. A localization interest zone with receiver's height between 0.5 and 1.1 m measured from the floor is considered as variation on vertical distance. Moreover, FOV's ranging from 90 degrees to 130 degrees are used to measure the behaviour of the method when different built-in photo detectors are incorporated in the mobile device. Our algorithm overcomes three traditional localization methods, i.e., convex position estimation, centroid and received signal strength based trilateration when changes in the FOV occurs. In addition to this, it shows better accuracy than other range free algorithms when an assumed height difference mismatch of up to 30 cm exist. The method shows better coverage than range based methods being able to reduce border effects and perform localization with reliable accuracy using only one connected cell and a single photo detector.</t>
  </si>
  <si>
    <t>Krommenacker, Nicolas/IAR-4851-2023; Seguel, Fabian/ABC-4765-2020</t>
  </si>
  <si>
    <t>Seguel, Fabian/0000-0001-6567-8988; Soto, Ismael/0000-0002-5501-5651</t>
  </si>
  <si>
    <t>1751-8628</t>
  </si>
  <si>
    <t>1751-8636</t>
  </si>
  <si>
    <t>APR 23</t>
  </si>
  <si>
    <t>10.1049/iet-com.2018.5623</t>
  </si>
  <si>
    <t>WOS:000464014500008</t>
  </si>
  <si>
    <t>González-Teuber, M; Urzúa, A; Morales, A; Ibáñez, C; Bascuñán-Godoy, L</t>
  </si>
  <si>
    <t>Gonzalez-Teuber, Marcia; Urzua, Alejandro; Morales, Andrea; Ibanez, Cristian; Bascunan-Godoy, Luisa</t>
  </si>
  <si>
    <t>Benefits of a root fungal endophyte on physiological processes and growth of the vulnerable legume tree Prosopis chilensis (Fabaceae)</t>
  </si>
  <si>
    <t>JOURNAL OF PLANT ECOLOGY</t>
  </si>
  <si>
    <t>Aims Desertification is a major concern in arid and semi-arid regions globally. Understanding interactions between vulnerable plant species and associated microbial symbionts may have important applications for conservation and restoration strategies in affected areas. Methods In this study, we evaluated the root-associated fungal endophyte community in Prosopis chilensis, a vulnerable and threatened arid-adapted tree of northern Chile. Host benefits in terms of physiological performance and plant growth were also assessed. Endophytic fungi were isolated from asymptomatic roots by the culture method for molecular identification of the 18S rRNA gene. The dominant fungal endophyte (Penicillium sp.) in the community was later used in inoculation experiments to assess its effect on maximum quantum efficiency of photosystem II (PSII), (Fv/Fm) actual PSII efficiency ((PSII)), and non-photochemical quenching (NPQ). Total sugars, starch content, malonaldehyde (MDA), nitrogen content (%) and growth traits were also measured. Important Findings Whereas phi(PSII) increased significantly in endophyte-inoculated plants, NPQ was found to decrease. No effect of endophyte inoculation on sugars and MDA was detected, but starch content, leaf nitrogen content, number of leaves and shoot biomass were found to increase. Results revealed that inoculation of endophytic Penicillium fungal isolate can provide significant physiological benefits to the host plant P. chilensis. Its presence resulted in greater PSII efficiency and higher leaf nitrogen and carbohydrate content, enhancing host plant growth. These findings highlight the importance of considering the fungal endophyte community of this vulnerable species as an important tool to the design of further revegetation and conservation programs.</t>
  </si>
  <si>
    <t>Godoy, Luisa/AAF-2978-2019; Ibáñez, Cristian/JPL-3125-2023; González-Teuber, Marcia/ABH-2318-2021</t>
  </si>
  <si>
    <t>Ibanez, Cristian/0000-0001-7767-6488; Gonzalez-Teuber, Marcia/0000-0003-0565-9333</t>
  </si>
  <si>
    <t>1752-9921</t>
  </si>
  <si>
    <t>1752-993X</t>
  </si>
  <si>
    <t>10.1093/jpe/rty019</t>
  </si>
  <si>
    <t>WOS:000461146600008</t>
  </si>
  <si>
    <t>Donoso, CC; Guinez, JC; Yáñez-Urbina, C</t>
  </si>
  <si>
    <t>Calquin Donoso, Claudia; Cerda Guinez, Jennifer; Yanez-Urbina, Cristopher</t>
  </si>
  <si>
    <t>The production of the fetus as a subject of rights: qualitative analysis of medical-Catholic discourses in Chile</t>
  </si>
  <si>
    <t>SALUD COLECTIVA</t>
  </si>
  <si>
    <t>This article presents the results of a study aimed at identifying and analyzing the discursive construction of the fetus as a subject of rights on the part of medical-religious institutions in the discussion of the decriminalization of abortion due to three causes in Chile during the 2013-2016 period. To this end, a triangulation was carried out based on an analysis of thematic content and an analysis of certain discursive strategies from the critical discourse analysis perspective using a textual corpus composed of 16 documents. Four analytical themes were identified: factual construction, female pastoral power, biopolitical management of the female body, and intervention technologies. It is concluded that the medical-religious discourse uses a series of rhetorical strategies and mobilizes meanings with respect to the fetus based on the hybridization of rhetorical strategies such as resources of factualization, connotation, metaphor and others that validate metaphysical beliefs about the body and the subjectivity of women and allow for an authoritative and irrefutable voice. Thus, the biopolitical management of women's reproductive capacities constitutes a filter that obstructs the possibility of incorporating discussions and ethical positions linked to citizenship and the social contract.</t>
  </si>
  <si>
    <t>Yáñez-Urbina, Cristopher/AFO-9564-2022; CALQUIN, CLAUDIA ALEJANDRA/B-9630-2019</t>
  </si>
  <si>
    <t>CALQUIN, CLAUDIA ALEJANDRA/0000-0002-4420-5927</t>
  </si>
  <si>
    <t>1669-2381</t>
  </si>
  <si>
    <t>1851-8265</t>
  </si>
  <si>
    <t>10.18294/sc.2018.1873</t>
  </si>
  <si>
    <t>WOS:000453255300003</t>
  </si>
  <si>
    <t>Exact solution for forced convection gaseous slip flow in corrugated microtubes</t>
  </si>
  <si>
    <t>INTERNATIONAL JOURNAL OF HEAT AND MASS TRANSFER</t>
  </si>
  <si>
    <t>Forced convection heat transfer in fully developed gaseous laminar slip flow in transversally corrugated micropipes is investigated for first-order slip boundary conditions on the wall. The governing equations subject to first-order slip boundary conditions are solved analytically by means of the epitrochoid conformal mapping. Closed-form exact expressions are obtained for the velocity and temperature fields for the first time. The effects of the corrugation on the pressure drop and heat transfer rate are discussed in detail. Exact results obtained in this paper are compared with the recent approximate analytical solution in the literature, Sadeghi et al. (2011) [1]. (C) 2017 Elsevier Ltd. All rights reserved.</t>
  </si>
  <si>
    <t>0017-9310</t>
  </si>
  <si>
    <t>1879-2189</t>
  </si>
  <si>
    <t>10.1016/j.ijheatmasstransfer.2017.01.101</t>
  </si>
  <si>
    <t>WOS:000404198600049</t>
  </si>
  <si>
    <t>Adasme, P; Andrade, R; Lisser, A</t>
  </si>
  <si>
    <t>Adasme, Pablo; Andrade, Rafael; Lisser, Abdel</t>
  </si>
  <si>
    <t>Minimum cost dominating tree sensor networks under probabilistic constraints</t>
  </si>
  <si>
    <t>COMPUTER NETWORKS</t>
  </si>
  <si>
    <t>There is an increasing interest in planning sensor networks by considering both the impact of distances among sensors and the risk that power consumption leads to a very small network lifetime. A sensor failure can affect sensors in its neighborhood and compromise the network data communication. Weather conditions may cause the power consumption of data communication to vary with uncertainty. This work introduces a compact probabilistic optimization approach to handle this problem while considering jointly or separately dependence among power consumption of the links of the network in a unified framework. We explore the concept of copulas in a dominating arborescence (DA) model for directed graphs, extended accordingly to handle the uncertain parameters. We give a proof of the DA model correctness and show that it can solve to optimality some benchmark instances of the deterministic dominating tree problem. Numerical results for the probabilistic approach show that our model tackles randomly generated instances with up to 120 nodes. (C) 2016 Elsevier B.V. All rights reserved.</t>
  </si>
  <si>
    <t>Adasme, Pablo/0000-0003-2500-3294</t>
  </si>
  <si>
    <t>1389-1286</t>
  </si>
  <si>
    <t>1872-7069</t>
  </si>
  <si>
    <t>10.1016/j.comnet.2016.11.011</t>
  </si>
  <si>
    <t>WOS:000392781800015</t>
  </si>
  <si>
    <t>Piontkewicz, R; Freitas, MDD; Kemczinski, A; San Martin, CD</t>
  </si>
  <si>
    <t>Dzitac, I; Filip, FG; Manolescu, MJ</t>
  </si>
  <si>
    <t>Piontkewicz, Regiane; Freitas, Maria do Carmo D.; Kemczinski, Avanilde; Duran San Martin, Claudia</t>
  </si>
  <si>
    <t>Management of Intellectual Capital in a System of Management Accounting Information</t>
  </si>
  <si>
    <t>2016 6TH INTERNATIONAL CONFERENCE ON COMPUTERS COMMUNICATIONS AND CONTROL (ICCCC)</t>
  </si>
  <si>
    <t>6th International Conference on Computers Communications and Control (ICCCC)</t>
  </si>
  <si>
    <t>MAY 10-14, 2016</t>
  </si>
  <si>
    <t>Oradea, ROMANIA</t>
  </si>
  <si>
    <t>IEEE,IEEE Reg 8,Agora Univ</t>
  </si>
  <si>
    <t>The recognition of Intellectual Capital as a source of competitive advantage and differentiation element for organizations requires an application of new management strategies that include this feature. Considering the importance of the Accounting Information System (AIS) in organizations, the research has the main objective to investigate the contributions of accounting as Management Information System in management of Intellectual Capital in an organization. Therefore, it was adopted a single case study as research strategy, applied in a Brazilian industry of consumption goods, on the market for over 85 years. The results obtained in the documentary analysis, questionnaires, interviews and literature show that the Accounting Management Information System (AMIS) contributes to the management of Intellectual Capital. In the investigated organization, AMIS is widely used and shows similarities with the specifications found in the literature, possessing the ability of adaptation to receive indicators or variables that enable the management of Intellectual Capital. It was found that the incorporation of the variables of Intellectual Capital in AMIS could be accomplished by adopting the method proposed by Lopez-Ruiz and Nevado-Pena, that uses both traditional financial indicators and indicators of Intellectual Capital, not conflicting with the traditional AMIS, but complementing it. Inserting variables of Intellectual Capital in AMIS also allows uniformity of understanding on the subject by all company managers.</t>
  </si>
  <si>
    <t>do Carmo Duarte Freitas, Maria/F-8658-2014; Duran, Claudia/S-1175-2019; Piontkewicz, Regiane/AAW-8495-2020</t>
  </si>
  <si>
    <t>Duarte Freitas, Maria do Carmo/0000-0002-7046-6020; Duran, Claudia/0000-0002-0903-4333</t>
  </si>
  <si>
    <t>978-1-5090-1735-5</t>
  </si>
  <si>
    <t>WOS:000391251000028</t>
  </si>
  <si>
    <t>Godoy-Cumillaf, A; Valdes-Badilla, P; Sandoval, AG; Fuentes, MG; Del Canto, LL; Turra, RA; Herrera-Valenzuela, T; Chávez, JB; Agüero, SD</t>
  </si>
  <si>
    <t>Godoy-Cumillaf, Andres; Valdes-Badilla, Pablo; Garcia Sandoval, Alan; Grandon Fuentes, Monica; Lagos Del Canto, Loreto; Aravena Turra, Raul; Herrera-Valenzuela, Tomas; Bruneau Chavez, Jose; Duran Agueero, Samuel</t>
  </si>
  <si>
    <t>SOMATOTYPE JOINT MOBILITYAND RANGES OF HIP AND KNEE OF COLLEGE STUDENTS</t>
  </si>
  <si>
    <t>NUTRICION HOSPITALARIA</t>
  </si>
  <si>
    <t>Introduction: several studies indicate a consistency between the physical inactivity and low levels of mobility in hip and knee joint. Objective: to determine the differences in the motion range of the hip and knee joint between the different classifications of somatotype in students of Pedagogy in Physical Education of the Universidad Autonoma de Chile, campus Temuco. Methods: the sample included 102 physical education students (31.3% female), somatotype was obtained through the protocol of the International Society for the Advancement of Kinanthropometry (ISAK) and the motion range of the hip and knee joint (ROM) using a universal goniometer. Results: the mean somatotype was endo-mesomorphic (4.8 - 3.4 -2) for the women and meso-endomorphic (3.5 - 5.7 - 2) for the males, while the ROM evaluation indicated that the 50% of the students presented mobility values of joint lower than the normal ones. Furthermore, the endo-mesomorphic women showed lower ROM values of medial rotation of the right hip (45.5 degrees +/- 10.2 degrees; P = 0.0125, t = 2.732) and left hip side rotation (41.7 degrees +/- 10.3 degrees; P = 0.0256; p = 2.402) than the women meso-endomorphic. Conclusion: the results shows a relationship between the somatotype and hip ROM in the women, showing that in the women the most favorable results of joint mobility are related with a greater muscle mass. In contrasts, no significant differences were observed in men. It is important to encourage the development of joint mobility exercises according to the specific needs of each sex.</t>
  </si>
  <si>
    <t>Agüero, Samuel/AAZ-6140-2020; Herrera-Valenzuela, Tomas/L-1819-2019</t>
  </si>
  <si>
    <t>Herrera-Valenzuela, Tomas/0000-0002-5219-5896; Valdes-Badilla, Pablo/0000-0002-3948-8280</t>
  </si>
  <si>
    <t>0212-1611</t>
  </si>
  <si>
    <t>1699-5198</t>
  </si>
  <si>
    <t>10.3305/nh.2015.32.6.9808</t>
  </si>
  <si>
    <t>WOS:000367417600073</t>
  </si>
  <si>
    <t>Bravo, D; Ibarra, P; Retamal, J; Pelissier, T; Laurido, C; Hernandez, A; Constandil, L</t>
  </si>
  <si>
    <t>Bravo, David; Ibarra, Paula; Retamal, Jeffri; Pelissier, Teresa; Laurido, Claudio; Hernandez, Alejandro; Constandil, Luis</t>
  </si>
  <si>
    <t>Pannexin 1: A novel participant in neuropathic pain signaling in the rat spinal cord</t>
  </si>
  <si>
    <t>PAIN</t>
  </si>
  <si>
    <t>Pannexin 1 (panx1) is a large-pore membrane channel expressed in many tissues of mammals, including neurons and glial cells. Panx1 channels are highly permeable to calcium and adenosine triphosphatase (ATP); on the other hand, they can be opened by ATP and glutamate, two crucial molecules for acute and chronic pain signaling in the spinal cord dorsal horn, thus suggesting that panx1 could be a key component for the generation of central sensitization during persistent pain. In this study, we examined the effect of three panx1 blockers, namely, 10panx peptide, carbenoxolone, and probenecid, on C-reflex wind-up activity and mechanical nociceptive behavior in a spared nerve injury neuropathic rat model involving sural nerve transection. In addition, the expression of panx1 protein in the dorsal horn of the ipsilateral lumbar spinal cord was measured in sural nerve-transected and sham-operated control rats. Sural nerve transection resulted in a lower threshold for C-reflex activation by electric stimulation of the injured hindpaw, together with persistent mechanical hypersensitivity to pressure stimuli applied to the paw. Intrathecal administration of the panx1 blockers significantly depressed the spinal C-reflex wind-up activity in both neuropathic and sham control rats, and decreased mechanical hyperalgesia in neuropathic rats without affecting the nociceptive threshold in sham animals. Western blotting showed that panx1 was similarly expressed in the dorsal horn of lumbar spinal cord from neuropathic and sham rats. The present results constitute the first evidence that panx1 channels play a significant role in the mechanisms underlying central sensitization in neuropathic pain. (C) 2014 International Association for the Study of Pain. Published by Elsevier B.V. All rights reserved.</t>
  </si>
  <si>
    <t>Bravo, David/G-5788-2017; IBARRA, PAULA/HDO-1009-2022; Hernandez, Alejandro/M-4796-2019</t>
  </si>
  <si>
    <t>Bravo Lopez, David/0009-0008-5143-4278; Retamal, Jeffri S./0000-0003-4984-4530; Hernandez, Alejandro/0000-0001-9222-6522; Constandil, Luis/0000-0002-2504-0119</t>
  </si>
  <si>
    <t>0304-3959</t>
  </si>
  <si>
    <t>1872-6623</t>
  </si>
  <si>
    <t>10.1016/j.pain.2014.07.024</t>
  </si>
  <si>
    <t>WOS:000343831300029</t>
  </si>
  <si>
    <t>Mallol, J; Raby, P; Cambiazo, D; Peñaloza, C; Palma, R; De Orúe, M</t>
  </si>
  <si>
    <t>Mallol, Javier; Raby, Pablo; Cambiazo, David; Penaloza, Cesar; Palma, Ricardo; De Orue, Manuel</t>
  </si>
  <si>
    <t>Prevalence of atopy in 1,199 asthmatic children from southern Santiago, Chile</t>
  </si>
  <si>
    <t>Background: The prevalence of atopy in asthmatic children is widely variable around the world as demonstrated by large multicentric international studies. Aim: To determine the prevalence of atopy, defined as a positive reaction to one or more allergens in the skin prick test (SPT), in children with persistent asthma. Material and Methods: We studied 1,199 children (54% male), aged between 4 and 16 years with confirmed diagnosis of asthma and followed at a Department of Pediatric Respiratory Medicine, between 2006 and 2011. SPT was performed according to international recommendations using standardized aeroallergens, in the forearm. A positive reaction was defined as a wheal &gt;= 3 mm to one or more allergens. Results: The overall prevalence of atopy (positive SPT) was 49.4% (95% confidence interval (CI) 46.5-52.2) and there was a significant trend towards a higher prevalence with increasing age (p &lt; 0.01). The main allergens with positive reactions were Dermatophagoides with 24.9% (95% CI 26.7-31.9), grass 24.0% (95% CI 21.6-26.5), weeds 19.0% (95% CI 16.9-21.4), cat 17.7% (95% CI 15.4-20.2), and Alternaria with 11.0% (95% CI 9.1-13.1). Sixty five percent of positive children reacted to one or more allergens. There were no adverse reactions. Conclusions: In the southern metropolitan area of Santiago de Chile, half of children with asthma are sensitized to common aeroallergens.</t>
  </si>
  <si>
    <t>Penaloza, Cesar/ACM-7883-2022</t>
  </si>
  <si>
    <t>10.4067/S0034-98872014000500003</t>
  </si>
  <si>
    <t>WOS:000338270300003</t>
  </si>
  <si>
    <t>Crampon, M; Marquis, L</t>
  </si>
  <si>
    <t>Crampon, Mickael; Marquis, Ludovic</t>
  </si>
  <si>
    <t>GEOMETRICAL FINITENESS OF HILBERT GEOMETRY</t>
  </si>
  <si>
    <t>ANNALES DE L INSTITUT FOURIER</t>
  </si>
  <si>
    <t>We study the notion of geometrical finiteness for those Hilbert geometries defined by strictly convex sets with C-1 boundary. In Gromov-hyperbolic spaces, geometrical finiteness is defined by a property of the group action on the boundary of the space. We show by constructing an explicit counter-example that this definition has to be strenghtened in order to get equivalent characterizations in terms of the geometry of the quotient orbifold, similar to those obtained by Brian Bowditch in hyperbolic geometry.</t>
  </si>
  <si>
    <t>0373-0956</t>
  </si>
  <si>
    <t>1777-5310</t>
  </si>
  <si>
    <t>10.5802/aif.2914</t>
  </si>
  <si>
    <t>WOS:000348013000004</t>
  </si>
  <si>
    <t>Espinoza, V; Núñez, J</t>
  </si>
  <si>
    <t>Espinoza, Vicente; Nunez, Javier</t>
  </si>
  <si>
    <t>OCCUPATIONAL MOBILITY IN CHILE 2001-2009 Inequality of income with equal opportunities?</t>
  </si>
  <si>
    <t>REVISTA INTERNACIONAL DE SOCIOLOGIA</t>
  </si>
  <si>
    <t>The paper compares the regimes of intergenerational occupational mobility in Chile between 2001 and 2009. Data for the study considers published mobility tables for 2001 as well as original data for 2009 from the National Survey of Social Stratification (ENES). The analysis of mobility patterns replicates the constant fluidity model proposed by Erikson and Goldthorpe (1992), considering also special parameters for Chile as proposed by Torche (2005). His depiction of Chilean society as unequal but fluid is challenged by the 2009 data in two special respects: First, we find a stronger hierarchical effect and a larger sectoral barriers to mobility than previously reported. Secondly, the latter yields a less fluid mobility regime. The paper also explores the hierarchical dimension of mobility by testing a vertical model (RCII), which provides an adequate fit in both samples. Finally, the paper compares the vertical dimension of occupational mobility with income distribution for occupational groups. These findings open a new agenda for the study of the opportunities that Chilean society offers to its inhabitants.</t>
  </si>
  <si>
    <t>Espinoza, Vicente/EAY-3744-2022</t>
  </si>
  <si>
    <t>Espinoza, Vicente/0000-0002-2943-4430</t>
  </si>
  <si>
    <t>0034-9712</t>
  </si>
  <si>
    <t>1988-429X</t>
  </si>
  <si>
    <t>JAN-APR</t>
  </si>
  <si>
    <t>10.3989/ris.2011.11.08</t>
  </si>
  <si>
    <t>WOS:000331617100003</t>
  </si>
  <si>
    <t>Abudinén, G; Soto, D; Rodríguez-Morales, AJ</t>
  </si>
  <si>
    <t>Abudinen A, Gabriel; Soto, Diego, V; Rodriguez-Morales, Alfonso J.</t>
  </si>
  <si>
    <t>Importance of promoting scientific research in public health from undergraduates</t>
  </si>
  <si>
    <t>SALUD PUBLICA DE MEXICO</t>
  </si>
  <si>
    <t>Rodriguez-Morales, Alfonso/R-9765-2016</t>
  </si>
  <si>
    <t>Rodriguez-Morales, Alfonso J./0000-0001-9773-2192</t>
  </si>
  <si>
    <t>0036-3634</t>
  </si>
  <si>
    <t>1606-7916</t>
  </si>
  <si>
    <t>SEP-OCT</t>
  </si>
  <si>
    <t>10.1590/S0036-36342012000500001</t>
  </si>
  <si>
    <t>WOS:000309320100001</t>
  </si>
  <si>
    <t>García-Herrera, CM; Celentano, DJ; Cruchaga, MA; Rojo, FJ; Atienza, JM; Guinea, GV; Goicolea, JM</t>
  </si>
  <si>
    <t>Garcia-Herrera, Claudio M.; Celentano, Diego J.; Cruchaga, Marcela A.; Rojo, Francisco J.; Atienza, Jose Miguel; Guinea, Gustavo V.; Goicolea, Jose M.</t>
  </si>
  <si>
    <t>Mechanical characterisation of the human thoracic descending aorta: experiments and modelling</t>
  </si>
  <si>
    <t>COMPUTER METHODS IN BIOMECHANICS AND BIOMEDICAL ENGINEERING</t>
  </si>
  <si>
    <t>This work presents experiments and modelling aimed at characterising the passive mechanical behaviour of the human thoracic descending aorta. To this end, uniaxial tension and pressurisation tests on healthy samples corresponding to newborn, young and adult arteries are performed. Then, the tensile measurements are used to calibrate the material parameters of the Holzapfel constitutive model. This model is found to adequately adjust the material behaviour in a wide deformation range; in particular, it captures the progressive stiffness increase and the anisotropy due to the stretching of the collagen fibres. Finally, the assessment of these material parameters in the modelling of the pressurisation test is addressed. The implication of this study is the possibility to predict the mechanical response of the human thoracic descending aorta under generalised loading states like those that can occur in physiological conditions and/or in medical device applications.</t>
  </si>
  <si>
    <t>García-Herrera, Claudio/ABE-8991-2020; Atienza, Jose/ABG-8742-2020; Celentano, Diego/JQW-5027-2023; Goicolea, Jose Maria/R-6125-2018; GUINEA TORTUERO, GUSTAVO VICTOR/N-1241-2014; Cruchaga, Marcela/M-7522-2014; ROJO PEREZ, FRANCISCO JAVIER/F-7710-2016</t>
  </si>
  <si>
    <t>Garcia-Herrera, Claudio/0000-0002-1283-8551; Goicolea, Jose Maria/0000-0003-0328-7345; GUINEA TORTUERO, GUSTAVO VICTOR/0000-0002-4326-3746; ATIENZA RIERA, JOSE MIGUEL/0000-0002-1444-8979; Cruchaga, Marcela/0000-0002-8708-2402; ROJO PEREZ, FRANCISCO JAVIER/0000-0001-9517-0050</t>
  </si>
  <si>
    <t>1025-5842</t>
  </si>
  <si>
    <t>1476-8259</t>
  </si>
  <si>
    <t>10.1080/10255842.2010.520704</t>
  </si>
  <si>
    <t>WOS:000301596300010</t>
  </si>
  <si>
    <t>Guinea, GV; Atienza, JM; Rojo, FJ; García-Herrera, CM; Li, YQ; Claes, E; Goicolea, JM; García-Montero, C; Burgos, RL; Goicolea, FJ; Elices, M</t>
  </si>
  <si>
    <t>Guinea, Gustavo V.; Atienza, Jose M.; Rojo, Francisco J.; Garcia-Herrera, Claudio M.; Li Yiqun; Claes, Els; Goicolea, Jose M.; Garcia-Montero, Carlos; Burgos, Raul L.; Goicolea, Francisco J.; Elices, Manuel</t>
  </si>
  <si>
    <t>Factors influencing the mechanical behaviour of healthy human descending thoracic aorta</t>
  </si>
  <si>
    <t>PHYSIOLOGICAL MEASUREMENT</t>
  </si>
  <si>
    <t>In recent times, significant effort has been made to understand the mechanical behaviour of the arterial wall and how it is affected by the different vascular pathologies. However, to be able to interpret the results correctly, it is essential that the influence of other factors, such as aging or anisotropy, be understood. Knowledge of mechanical behaviour of the aorta has been customarily constrained by lack of data on fresh aortic tissue, especially from healthy young individuals. In addition, information regarding the point of rupture is also very limited. In this study, the mechanical behaviour of the descending thoracic aorta of 28 organ donors with no apparent disease, whose ages vary from 17 to 60 years, is evaluated. Tensile tests up to rupture are carried out to evaluate the influence of age and wall anisotropy. Results reveal that the tensile strength and stretch at failure of healthy descending aortas show a significant reduction with age, falling abruptly beyond the age of 30. This fact places age as a key factor when mechanical properties of descending aorta are considered.</t>
  </si>
  <si>
    <t>Li, Yiqun/MCJ-0306-2025; Atienza, Jose/ABG-8742-2020; García-Herrera, Claudio/ABE-8991-2020; Elices, Manuel/F-7703-2016; ROJO PEREZ, FRANCISCO JAVIER/F-7710-2016; GUINEA TORTUERO, GUSTAVO VICTOR/N-1241-2014; Goicolea, Jose Maria/R-6125-2018</t>
  </si>
  <si>
    <t>Elices, Manuel/0000-0002-8204-1580; ATIENZA RIERA, JOSE MIGUEL/0000-0002-1444-8979; ROJO PEREZ, FRANCISCO JAVIER/0000-0001-9517-0050; Garcia-Herrera, Claudio/0000-0002-1283-8551; GUINEA TORTUERO, GUSTAVO VICTOR/0000-0002-4326-3746; Goicolea, Jose Maria/0000-0003-0328-7345</t>
  </si>
  <si>
    <t>0967-3334</t>
  </si>
  <si>
    <t>1361-6579</t>
  </si>
  <si>
    <t>10.1088/0967-3334/31/12/001</t>
  </si>
  <si>
    <t>WOS:000284398300002</t>
  </si>
  <si>
    <t>Tolosa, JM; Schjenken, JE; Clifton, VL; Smith, R</t>
  </si>
  <si>
    <t>Tolosa, J. M.; Schjenken, J. E.; Clifton, V. L.; Smith, R.</t>
  </si>
  <si>
    <t>THE RETROVIRAL ENVELOPE PROTEIN SYNCYIN-1 IS IMMUNOSUPPRESSIVE AND HAS HIJACKED THE EXOSOMAL PATHWAY IN THE HUMAN PLACENTA</t>
  </si>
  <si>
    <t>PLACENTA</t>
  </si>
  <si>
    <t>International-Federation-of-Placental-Associations Meeting 2010</t>
  </si>
  <si>
    <t>OCT 19-22, 2010</t>
  </si>
  <si>
    <t>Clifton, Vicki/AAV-2749-2021; Schjenken, John/ABB-8754-2021; Clifton, Vicki L./G-7094-2015</t>
  </si>
  <si>
    <t>Clifton, Vicki L./0000-0002-4892-6748</t>
  </si>
  <si>
    <t>0143-4004</t>
  </si>
  <si>
    <t>WOS:000282147100193</t>
  </si>
  <si>
    <t>Pires, GFM; Rodrigues, HO; Almeida, JS; Sancho, EO; Góes, JC; Costa, MM; Denardin, JC; Sombra, ASB</t>
  </si>
  <si>
    <t>Pires Junior, G. F. M.; Rodrigues, H. O.; Almeida, J. S.; Sancho, E. O.; Goes, J. C.; Costa, M. M.; Denardin, J. C.; Sombra, A. S. B.</t>
  </si>
  <si>
    <t>Study of the dielectric and magnetic properties of Co2Y, Y-type hexaferrite (Ba2Co2Fei2O22) added with PbO and Bi2O3 in the RF frequency range</t>
  </si>
  <si>
    <t>JOURNAL OF ALLOYS AND COMPOUNDS</t>
  </si>
  <si>
    <t>In this paper the magnetic and dielectric properties of Y-type hexaferrite (Co2Y:Ba(2)Co(2)Fei(2)O(22)) added with 3,5 and 10 wt.% of MO and Bi2O3, obtained in a new procedure of the solid-state method, is presented. The analysis by X-ray diffraction (XRD) using the Rietveld refinement confirmed the formation of single-phase compound with a hexagonal crystal structure (a = b = 5.8560 angstrom and c = 43.4977 angstrom; alpha = beta = 90 degrees and gamma = 120 degrees). SEM micrograph of the material shows an uniform distribution of grains throughout the surface of the samples. Detailed studies of the dielectric properties of Co2Y, investigated in a wide frequency range (100 Hz to 100 MHz) at room temperature by complex impedance spectroscopy (CIS) technique, showed that these properties are strongly dependent on frequency and on the added level of the impurity. The effect of polyvinyl alcohol (PVA) and tetraethyl orthosilicate (TEOS) on the properties of Co2Y hexaferrite was also studied. (C) 2010 Elsevier B.V. All rights reserved.</t>
  </si>
  <si>
    <t>Sombra, Antonio/B-2963-2013; Denardin, Juliano/S-6407-2019; Costa, Mauro/AAU-3345-2020; de Almeida, José/I-3367-2012</t>
  </si>
  <si>
    <t>Goes, Julio Cesar/0000-0002-6324-7647; sombra, A.S.B./0000-0001-6461-6793; Denardin, Juliano/0000-0002-1373-6207</t>
  </si>
  <si>
    <t>0925-8388</t>
  </si>
  <si>
    <t>1873-4669</t>
  </si>
  <si>
    <t>MAR 18</t>
  </si>
  <si>
    <t>10.1016/j.jallcom.2009.12.094</t>
  </si>
  <si>
    <t>WOS:000276054200071</t>
  </si>
  <si>
    <t>Cabezas, NJ; Urzúa, AM; Niemeyer, HM</t>
  </si>
  <si>
    <t>Cabezas, Nancy J.; Urzua, Alejandro M.; Niemeyer, Hermann M.</t>
  </si>
  <si>
    <t>Translocation of isoquinoline alkaloids to the hemiparasite, Tristerix verticillatus from its host, Berberis montana</t>
  </si>
  <si>
    <t>; Niemeyer, Hermann/I-1100-2013</t>
  </si>
  <si>
    <t>Urzua, Alejandro/0000-0003-2638-0921; Niemeyer, Hermann/0000-0003-2273-1608</t>
  </si>
  <si>
    <t>1873-2925</t>
  </si>
  <si>
    <t>10.1016/j.bse.2009.02.002</t>
  </si>
  <si>
    <t>WOS:000266960700014</t>
  </si>
  <si>
    <t>Cordero, RR; Seckmeyer, G; Pissulla, D; Labbe, F</t>
  </si>
  <si>
    <t>Cordero, Raul R.; Seckmeyer, Gunther; Pissulla, Darius; Labbe, Fernando</t>
  </si>
  <si>
    <t>Exploitation of spectral direct UV irradiance measurements</t>
  </si>
  <si>
    <t>METROLOGIA</t>
  </si>
  <si>
    <t>Because of both scattering and absorption, ozone and aerosols lead to an attenuation in the surface UV irradiance. These factors can be efficiently retrieved from ground-based measurements of the spectral direct UV irradiance performed by using spectroradiometer systems. In this paper, we applied a Monte Carlo based exploitation technique of spectral direct UV irradiance measurements, which allowed us to obtain a bound within which the retrieved parameter (either the ozone column or an aerosol property) is expected to lie with a relatively high probability. The applied exploitation technique required sequentially comparing the ground-based measurements with a large number of spectra, each of them calculated by a radiative transfer model with randomly generated values of input parameters (i.e. the ozone column and aerosol properties). The dispersion of the generated values that led to acceptable matches between the measured and calculated spectra allowed us to compute both the estimates and the uncertainties of the retrieved parameters. The applied exploitation technique enabled us to describe the uncertainty propagation through the retrieval process and to assess the influence of the involved uncertainty sources. Methodological details are provided.</t>
  </si>
  <si>
    <t>Cordero, Raul/M-7979-2017</t>
  </si>
  <si>
    <t>Cordero, Raul R./0000-0001-7607-7993</t>
  </si>
  <si>
    <t>0026-1394</t>
  </si>
  <si>
    <t>1681-7575</t>
  </si>
  <si>
    <t>10.1088/0026-1394/46/1/003</t>
  </si>
  <si>
    <t>WOS:000262849900006</t>
  </si>
  <si>
    <t>Hernández, E; Henríquez, HR; dos Santos, JPC</t>
  </si>
  <si>
    <t>Hernandez M, Eduardo; Henriquez, Hernan R.; dos Santos, Jose Paulo C.</t>
  </si>
  <si>
    <t>Existence Results for Abstract Partial Neutral Integro-differential Equation with Unbounded Delay</t>
  </si>
  <si>
    <t>ELECTRONIC JOURNAL OF QUALITATIVE THEORY OF DIFFERENTIAL EQUATIONS</t>
  </si>
  <si>
    <t>In this paper we study the existence and regularity of mild solutions for a class of abstract partial neutral integro-differential equations with unbounded delay.</t>
  </si>
  <si>
    <t>Hernández, Eduardo/N-4531-2013; Santos, José/F-9905-2012</t>
  </si>
  <si>
    <t>Hernandez, Eduardo/0000-0002-4279-8570</t>
  </si>
  <si>
    <t>1417-3875</t>
  </si>
  <si>
    <t>WOS:000265800500001</t>
  </si>
  <si>
    <t>Ispolatov, I; Maslov, S</t>
  </si>
  <si>
    <t>Ispolatov, Iaroslav; Maslov, Sergei</t>
  </si>
  <si>
    <t>Detection of the dominant direction of information flow and feedback links in densely interconnected regulatory networks</t>
  </si>
  <si>
    <t>BMC BIOINFORMATICS</t>
  </si>
  <si>
    <t>Background: Finding the dominant direction of flow of information in densely interconnected regulatory or signaling networks is required in many applications in computational biology and neuroscience. This is achieved by first identifying and removing links which close up feedback loops in the original network and hierarchically arranging nodes in the remaining network. In mathematical language this corresponds to a problem of making a graph acyclic by removing as few links as possible and thus altering the original graph in the least possible way. The exact solution of this problem requires enumeration of all cycles and combinations of removed links, which, as an NP-hard problem, is computationally prohibitive even for modest-size networks. Results: We introduce and compare two approximate numerical algorithms for solving this problem: the probabilistic one based on a simulated annealing of the hierarchical layout of the network which minimizes the number of backward links going from lower to higher hierarchical levels, and the deterministic, greedy algorithm that sequentially cuts the links that participate in the largest number of feedback cycles. We find that the annealing algorithm outperforms the deterministic one in terms of speed, memory requirement, and the actual number of removed links. To further improve a visual perception of the layout produced by the annealing algorithm, we perform an additional minimization of the length of hierarchical links while keeping the number of anti-hierarchical links at their minimum. The annealing algorithm is then tested on several examples of regulatory and signaling networks/pathways operating in human cells. Conclusion: The proposed annealing algorithm is powerful enough to performs often optimal layouts of protein networks in whole organisms, consisting of around similar to 10(4) nodes and similar to 10(5) links, while the applicability of the greedy algorithm is limited to individual pathways with similar to 100 vertices. The considered examples indicate that the annealing algorithm produce biologically meaningful layouts: The function of the most of the anti-hierarchical links is indeed to send a feedback signal to the upstream pathway elements. Source codes of F90 and Matlab implementation of the two algorithms are available at http://www.cmth.bnl.gov/similar to maslov/programs.htm</t>
  </si>
  <si>
    <t>Maslov, Sergei/C-2397-2009; Ispolatov, Iaroslav/E-8544-2010</t>
  </si>
  <si>
    <t>Maslov, Sergei/0000-0002-3701-492X; Ispolatov, Iaroslav/0000-0002-0201-3396</t>
  </si>
  <si>
    <t>1471-2105</t>
  </si>
  <si>
    <t>OCT 8</t>
  </si>
  <si>
    <t>10.1186/1471-2105-9-424</t>
  </si>
  <si>
    <t>WOS:000260890200002</t>
  </si>
  <si>
    <t>Vallejo, Guiillermo; Ato, Manuel; Fernandez, M. Paula; Livacic-Rojas, Pablo E.</t>
  </si>
  <si>
    <t>A practical method for analyzing factorial designs with heteroscedastic data</t>
  </si>
  <si>
    <t>PSYCHOLOGICAL REPORTS</t>
  </si>
  <si>
    <t>The Type I error rates and powers of three recent tests for analyzing nonorthogonal factorial designs under departures from the assumptions of homogeneity and normality were evaluated using Monte Carlo simulation. Specifically, this work compared the performance of the modified Brown-Forsythe procedure, the generalization of Box's method proposed by Brunner, Dette, and Munk, and the mixed-model procedure adjusted by the Kenward-Roger solution available in the SAS statistical package. With regard to robustness, the three approaches adequately controlled Type I error when the data were generated from symmetric distributions; however, this study's results indicate that, when the data were extracted from asymmetric distributions, the modified Brown-Forsythe approach controlled the Type I error slightly better than the other procedures. With regard to sensitivity, the higher power rates were obtained when the analyses were done with the MIXED procedure of the SAS program. Furthermore, results also identified that, when the data were generated from symmetric distributions, little power was sacrificed by using the generalization of Box's method in place of the modified Brown-Forsythe procedure.</t>
  </si>
  <si>
    <t>Fernandez, Paula/0000-0003-0140-7702; Guillermo, Vallejo/0000-0001-6569-9279; Vallejo, Guillermo/0000-0002-8010-6854</t>
  </si>
  <si>
    <t>0033-2941</t>
  </si>
  <si>
    <t>1558-691X</t>
  </si>
  <si>
    <t>10.2466/PR0.102.3.643-656</t>
  </si>
  <si>
    <t>WOS:000258463000001</t>
  </si>
  <si>
    <t>Uzcátegui, GC; Hung, F; Ortega, MC; Pardey, AJ; Longo, C; Aguirre, P; Moya, SA</t>
  </si>
  <si>
    <t>Reppe reaction catalyzed by soluble carbonylrhodium complexes</t>
  </si>
  <si>
    <t>The catalysis of the hydroesterification and hydroformylation-acetalization of 1-hexene by rhodium(I), cis-[Rh(CO)(2)(amine)(2)] (PF6) complexes (amine = pyridine, 2-picoline, 3-picoline, 4-picoline, 3,5-lutidine or 2,6-tutidine) dissolved in 10 mL of ethanol or 10 mL of 80% aqueous ethanol, 0.4 mL (3 x 10(-3) mol) of 1-hexene, [Rh] = 5 x 10(-5) mol, 1-hexene/Rh = 64 under P(CO) = 0.9 atm at 100 degrees C for 4 h, is described in this work. The mayor products are ethyl-heptanoate, heptanal and 1,1-diethoxyheptane coming from the hydroesterification, hydroformylation reactions and the nucleophilic addition reaction of the ethanol over the formed heptanal, respectively. The reaction product distribution depends on the nature of the coordinate amine to the rhodium center.</t>
  </si>
  <si>
    <t>10.4067/S0717-97072005000400003</t>
  </si>
  <si>
    <t>WOS:000234356200003</t>
  </si>
  <si>
    <t>Celedón, G; González, G; Ferrer, V; Lissi, EA</t>
  </si>
  <si>
    <t>Peroxyl-oxidized erythrocyte membrane band 3 protein with anion transport capacity is degraded by membrane-bound proteinase</t>
  </si>
  <si>
    <t>FREE RADICAL RESEARCH</t>
  </si>
  <si>
    <t>Human red blood cells anion exchange protein (band 3) exposed to peroxyl radicals produced by thermolysis of 2,2'-azo-bis(2-amidinopropane) (AAPH) is degraded by proteinases that prevent accumulation of oxidatively damaged proteins. To assess whether this degradation affects anion transport capacity we used the anionic fluorescent probe 2-[N-(7-nitrobenz-2-oxa-1,3-diazol-4-y) amino] ethanosulfonate (NBD-taurine). A decrease of band 3 function was observed after exposure to peroxyl radicals. In the presence of proteinase inhibitors the decrement of anion transport through band 3 was smaller indicating that removal achieved by proteinases includes oxidized band 3 which still retain transport ability. Proteinases recognize band 3 aggregates produced by peroxyl radicals as was evaluated by immunoblotting. It is concluded that decrease of band 3 transport capacity may result from a direct protein oxidation and from its degradation by proteinases and that band 3 aggregates removal may prevent macrophage recognition of the senescent condition which would lead to cell disposal.</t>
  </si>
  <si>
    <t>1071-5762</t>
  </si>
  <si>
    <t>1029-2470</t>
  </si>
  <si>
    <t>10.1080/10715760400000992</t>
  </si>
  <si>
    <t>WOS:000224819900002</t>
  </si>
  <si>
    <t>Barbosa, LB; Ardila, DR; Kakuno, EM; Camparin, RH; Cusatis, C; Andreeta, JP</t>
  </si>
  <si>
    <t>Processing of crystals with controlled lattice parameter gradient by the LHPG technique</t>
  </si>
  <si>
    <t>JOURNAL OF CRYSTAL GROWTH</t>
  </si>
  <si>
    <t>14th American Conference on Crystal Growth and Epitaxy</t>
  </si>
  <si>
    <t>AUG 04-09, 2002</t>
  </si>
  <si>
    <t>SEATTLE, WA</t>
  </si>
  <si>
    <t>Amer Assoc Crystal Growth,Amer Chem Soc,Journal Crystal Growth &amp; Design,Coherent Crystal Associates,Crystal Syst Inc,Engelhard Clal LP,Eichem Inc,Haraus, Mat Technol Div,Johnson Matthey Corp,Thermal Technol Inc,Toyo Tanso USA Inc,Vesuvius McDanel,Zicar Ceramics Inc,Shopley Metalorgan,Pillar Ind,Rath Performance Fibers</t>
  </si>
  <si>
    <t>The existing methods to prepare crystals with controlled lattice parameters gradients are based on techniques that use accurate programmable temperature control and, often, a crucible. Little efforts have been made to adapt a crucibleless technique to prepare this kind of materials. Here we report on a procedure to design and grow crystals of any multinary oxide system having this property by the laser-heated pedestal growth technique. We studied the system CaMoO4-SrMoO4 with the purpose of obtaining crystals having a full solubility range. Preliminary data on composition and crystal perfection of these crystals show that they gather enough requirements for several technological applications. (C) 2002 Elsevier Science B.V. All rights reserved.</t>
  </si>
  <si>
    <t>Barbosa, L.B./R-3411-2016; Cusatis, Cesar/N-7559-2014</t>
  </si>
  <si>
    <t>Cusatis, Cesar/0000-0002-1621-3727</t>
  </si>
  <si>
    <t>0022-0248</t>
  </si>
  <si>
    <t>1873-5002</t>
  </si>
  <si>
    <t>10.1016/S0022-0248(02)02228-5</t>
  </si>
  <si>
    <t>WOS:000181373100013</t>
  </si>
  <si>
    <t>Lissi, E; Abuin, E; Lanio, ME; Alvarez, C</t>
  </si>
  <si>
    <t>A new and simple procedure for the evaluation of the association of surfactants to proteins</t>
  </si>
  <si>
    <t>JOURNAL OF BIOCHEMICAL AND BIOPHYSICAL METHODS</t>
  </si>
  <si>
    <t>A new and simple method useful for the evaluation of the association of surfactants to proteins is proposed. The method is based on an analysis of the effect promoted by surfactant addition upon the fluorescence intensity of the intrinsic tryptophan chromophore and its dependence with protein concentration, The proposed methodology is applied to quantify the binding of an anionic (sodium dodecylsulfate), a zwitterionic (N-hexadecyl-N,N'-dimethyl-3-ammonio-1-propane-sulfonate) and a neutral (Triton X-100, reduced) surfactant to bovine serum albumin (BSA). (C) 2002 Elsevier Science B.V. All rights reserved.</t>
  </si>
  <si>
    <t>0165-022X</t>
  </si>
  <si>
    <t>JAN 4</t>
  </si>
  <si>
    <t>10.1016/S0165-022X(01)00237-8</t>
  </si>
  <si>
    <t>WOS:000173190500015</t>
  </si>
  <si>
    <t>Gulppi, M; Griveau, S; Bedioui, F; Zagal, JH</t>
  </si>
  <si>
    <t>Electrocatalysis of 2-mercaptoethanesulfonic acid oxidation on cobalt phthalocyanine modified electrodes. Effect of surface concentration of the catalyst</t>
  </si>
  <si>
    <t>The catalytic oxidation of 2-mereaptoethanesulfonic acid (2-MESA) was studied on ordinary pyrolytic graphite (OPG) and vitreous carbon electrodes modified with different surface concentrations of the adsorbed cobalt phthalocyanine (CoPc) and with electropolymerized cobalt tetra-aminophthalocyanine (CoTAPc). The electrocatalytic oxidation of 2-MESA at the examined cobalt phthalocyanine modified electrodes is sensitive to the surface concentration of the catalyst, suggesting that the oxidation of 2-MESA is of first-order on the surface concentration of CoPc, for high coverage. They also tend to indicate that it must be the presence of electronic factors in the monolayer levels of the adsorbed cobalt phthalocyanines which are completely different from those present in the tri-dimensional arrays of the active part of the thicker adsorbed or electropolymerized complex deposits. (C) 2001 Elsevier Science Ltd. All rights reserved.</t>
  </si>
  <si>
    <t>zagal, jose/L-9648-2014; Gulppi, Miguel/KTA-6210-2024; Bedioui, Fethi/N-3507-2014</t>
  </si>
  <si>
    <t>Gulppi, Miguel/0000-0001-6099-4463; Bedioui, Fethi/0000-0002-0063-4412</t>
  </si>
  <si>
    <t>AUG 1</t>
  </si>
  <si>
    <t>10.1016/S0013-4686(01)00537-0</t>
  </si>
  <si>
    <t>WOS:000170850900008</t>
  </si>
  <si>
    <t>Duarte, M; Suárez, A; Bassi, D</t>
  </si>
  <si>
    <t>Control of grinding plants using predictive multivariable neural control</t>
  </si>
  <si>
    <t>POWDER TECHNOLOGY</t>
  </si>
  <si>
    <t>This work investigates the use of a recently developed direct neural network (NN) multivariable predictive controller applied to a grinding plant. The NN controller is trained so that an estimation of the control error several steps ahead is minimized, which are given by a properly designed NN called predictor. An NN, which identifies the plant, is used to backpropagate the control error at present instant of time, as well as at various steps ahead. A linear, as well as a phenomenological (nonlinear), model of CODELCO-ANDINA. grinding plant are used to simulate the proposed control strategy. The linear model was built from empirical data obtained from a real grinding plant around an operating point. The phenomenological model is based on a mass balance and power consumption of the mills containing 17 particle size intervals. Several tests are performed, driving the process to an operation point, and then, controlling it by training the NN controller on line. Finally, a comparison with other control strategies already applied at a simulation level is presented. These include classical and adaptive multivariable control algorithms. All the results presented in the paper are based on simulations. (C) 2001 Elsevier Science B.V. All rights reserved.</t>
  </si>
  <si>
    <t>0032-5910</t>
  </si>
  <si>
    <t>1873-328X</t>
  </si>
  <si>
    <t>10.1016/S0032-5910(00)00340-5</t>
  </si>
  <si>
    <t>WOS:000168096900010</t>
  </si>
  <si>
    <t>Chaïeb, S; Melo, F</t>
  </si>
  <si>
    <t>From creases to conical deflections in a buckled thin sheet:: stress focusing vs singularities in strong deformations of a thin elastic sheet</t>
  </si>
  <si>
    <t>JOURNAL OF THE MECHANICS AND PHYSICS OF SOLIDS</t>
  </si>
  <si>
    <t>The localization of deformation is a simple consequence of the fact that bending a thin sheet is energetically cheaper than stretching it. Thus, on examining a crumpled piece of paper, we find that it is made of nearly-planar or cylindrically curved regions folded along line-like stretched ridges or point-like conical singularities. Since the real crumpled paper problem is fairly difficult to deal with, we investigate two simple model experiments where one or two singularities are isolated and studied. When a cylindrical panel is axially compressed, a crease terminated by two conical type singularities appears. The length of this crease is selected by the width of the panel when the length and the thickness of the panel are kept constant. We study also a single conical singularity. This is achieved by pushing a thin sheet into a hollow cylinder similar to pushing coffee-filter paper in a funnel. We measured the singularity energy of the plate, or the work required to form a scar in the sheet. A simple model is proposed to understand the energetics of the crease formation. (C) 2000 Elsevier Science Ltd. All rights reserved.</t>
  </si>
  <si>
    <t>Melo, Francisco Esteban/0000-0001-6818-5476; chaieb, sahraoui/0000-0002-8053-3610</t>
  </si>
  <si>
    <t>0022-5096</t>
  </si>
  <si>
    <t>1873-4782</t>
  </si>
  <si>
    <t>10.1016/S0022-5096(99)00047-2</t>
  </si>
  <si>
    <t>WOS:000085210400006</t>
  </si>
  <si>
    <t>PEREZ, P; THEODORAKOPOULOS, N</t>
  </si>
  <si>
    <t>COMPETING MECHANISMS FOR THE TRANSPORT OF ENERGY IN THE ALPHA-HELIX</t>
  </si>
  <si>
    <t>PHYSICS LETTERS A</t>
  </si>
  <si>
    <t>Perez, Patricio/AAS-7390-2020; Theodorakopoulos, Nikos/L-8490-2013</t>
  </si>
  <si>
    <t>Perez, Patricio/0000-0003-1234-4233; Theodorakopoulos, Nikos/0000-0003-2654-1625</t>
  </si>
  <si>
    <t>0375-9601</t>
  </si>
  <si>
    <t>SEP 28</t>
  </si>
  <si>
    <t>10.1016/0375-9601(87)90635-9</t>
  </si>
  <si>
    <t>WOS:A1987K323100017</t>
  </si>
  <si>
    <t>Aedo, G; Chahuán, M; Gatica, E; Herrera, I; Parada, LF; Seguel, A; Murray, NP; Aedo, S; Aragón-Caqueo, D</t>
  </si>
  <si>
    <t>Aedo, Gabriel; Chahuan, Marco; Gatica, Elsa; Herrera, Isabel; Parada, Luis Felipe; Seguel, Alvaro; Murray, Nigel P.; Aedo, Socrates; Aragon-Caqueo, Diego</t>
  </si>
  <si>
    <t>Managing a Burning Face: Clinical Manifestations and Therapeutic Approaches for Neurogenic Rosacea</t>
  </si>
  <si>
    <t>Rosacea is a common chronic inflammatory condition primarily affecting middle-aged women. It presents with flushing, erythema, telangiectasia, papules, pustules, phymatous changes, and ocular involvement. Although typically grouped into four subtypes-erythematotelangiectatic, papulopustular, ocular, and phymatous-overlapping features often favor a phenotypic diagnostic approach. Neurogenic rosacea (NR) has emerged as a distinct subgroup featuring distinguishing features such as peripheral facial erythema, severe burning and stinging sensations, and resistance to standard rosacea therapies. Recent insights into the pathophysiology of NR propose neural dysregulation as the main driver of the condition. Specifically, the activation of TRP channels at cutaneous sensory nerve endings in the dermis triggers the release of vasoactive peptides, driving neuroinflammation and resulting in burning and stinging. Additionally, there is a marked association with neuropsychiatric comorbidities, which would further mediate the pathogenesis of the condition. In line with this pathophysiological model, NR often fails to respond to conventional rosacea treatments. Instead, patients benefit more from antidepressants and neuroleptic agents that help modulate neuronal activity and alleviate symptoms. This review explores and summarizes the scientific evidence regarding the new insights on disease pathogenesis, clinical manifestations, and proposed treatments for NR.</t>
  </si>
  <si>
    <t>Aragón, Diego/GPX-8482-2022</t>
  </si>
  <si>
    <t>Aragon-Caqueo, Diego/0000-0001-7233-960X</t>
  </si>
  <si>
    <t>10.3390/ijms26052366</t>
  </si>
  <si>
    <t>WOS:001442608300001</t>
  </si>
  <si>
    <t>Silva-Paz, RJ; nope-Quito, CE; Rivera-Ashqui, TA; Jamanca-Gonzales, NC; Eccoña-Sota, A; Riquelme, N; Arancibia, C</t>
  </si>
  <si>
    <t>Silva-Paz, Reynaldo J.; nope-Quito, Celenia E.; Rivera-Ashqui, Thalia A.; Jamanca-Gonzales, Nicodemo C.; Eccona-Sota, Amparo; Riquelme, Natalia; Arancibia, Carla</t>
  </si>
  <si>
    <t>Encapsulation of Canola Oil by Sonication for the Development of Protein and Starch Systems: Physical Characteristics and Rheological Properties</t>
  </si>
  <si>
    <t>COLLOIDS AND INTERFACES</t>
  </si>
  <si>
    <t>Canola oil, extracted from Brassica napus, is appreciated for its nutritional profile, but its use in the food industry is limited by its susceptibility to oxidation. This study aimed to evaluate the nanoemulsion of canola oil by sonication to develop stable nanoemulsified gels from protein and starch systems. Two stages were performed. In the first stage, oil-in-water (O/W) nanoemulsions were prepared using soy lecithin and Tween 80 as emulsifiers, analyzing their physical stability by particle size and polydispersity index. The results show that the sonication conditions and emulsifier concentration significantly affected the creaming index and particle size. In the second stage, gels were developed from these nanoemulsions, evaluating their colorimetric and rheological properties. It was observed that the gels presented a viscoelastic behavior suitable for food applications, with a higher luminosity in protein systems. In conclusion, nanoemulsion by sonication improves the stability of canola oil, suggesting its potential use in various food applications. Additional emulsifier combinations and optimization of processing conditions are recommended to further improve the stability and functionality of the encapsulated oil.</t>
  </si>
  <si>
    <t>Jamanca Gonzales, Nicodemo/HLX-3089-2023; Silva-Paz, Reynaldo Justino/JXM-0022-2024</t>
  </si>
  <si>
    <t>Rivera-Ashqui, Thalia A./0000-0003-0431-2178; Riquelme Hinojosa, Natalia Andrea/0000-0003-3490-1045</t>
  </si>
  <si>
    <t>2504-5377</t>
  </si>
  <si>
    <t>10.3390/colloids9010010</t>
  </si>
  <si>
    <t>WOS:001429668500001</t>
  </si>
  <si>
    <t>Wong-Guerra, M; Montano-Peguero, Y; Ramírez-Sánchez, J; Alfonso, EG; Hernández-Enseñat, D; Isaac, YA; Padrón-Yaquis, AS; da Rocha, JBT; Fonseca-Fonseca, LA; Núñez-Figueredo, Y</t>
  </si>
  <si>
    <t>Wong-Guerra, Maylin; Montano-Peguero, Yanay; Ramirez-Sanchez, Jeney; Alfonso, Enrique Garcia; Hernandez-Ensenat, Daniela; Isaac, Yeniceis Alcantara; Padron-Yaquis, Alejandro Saul; da Rocha, Joao Batista Teixeira; Fonseca-Fonseca, Luis Arturo; Nunez-Figueredo, Yanier</t>
  </si>
  <si>
    <t>Effect of JM-20 on Age-Related Cognitive Impairment in Mice</t>
  </si>
  <si>
    <t>NEUROCHEMICAL RESEARCH</t>
  </si>
  <si>
    <t>The decline in cognitive function associated with aging significantly impacts the well-being of elderly individuals and their families. This decline is a major recognized risk factor for neurodegenerative diseases, notably Alzheimer's disease. Animal models of aging provide a platform for evaluating drugs concerning aspects like memory and oxidative stress. JM-20 has demonstrated protective effects on short-term memory acquisition and consolidation, along with antioxidant properties and modulation of Acetylcholinesterase activity. This study assesses the potential protective JM-20 against cognitive decline and age-related memory loss. For the study, aged mice exhibiting aging-associated damage were initially selected. Experimental groups were then formed, and the effect of 8 mg/kg of JM-20 was evaluated for 40 days on aging-related behavior, such as spatial memory, novelty recognition memory, ambulatory activity, and anxiety. Subsequently, animals were sacrificed, and the hippocampal region was extracted for redox studies and to assess acetylcholinesterase activity. Results indicated that JM-20 at 8 mg/kg reversed damage to spatial working and reference memory, exhibiting performance comparable to untreated young adult animals. Furthermore, JM-20 preserved the enzymatic activity of superoxide dismutase, catalase, and total sulfhydryl levels in age-related cognitive impairment in mice, indicating a potent protective effect against oxidative events at the brain level. However, only young, healthy animals showed decreased acetylcholinesterase enzyme activity. These findings provide preclinical pharmacological evidence supporting the neuroprotective activity of JM-20, positioning it as a promising therapeutic candidate for treating memory disorders associated with aging.</t>
  </si>
  <si>
    <t>Rocha, João/AAI-5377-2021; Ramírez-Sánchez, Jeney/AAF-8598-2021; Hernandez, Daniela/AAD-1201-2022</t>
  </si>
  <si>
    <t>Hernandez-Ensenat, Daniela/0000-0001-8235-2269; Garcia Alfonso, Enrique/0000-0001-7789-6528</t>
  </si>
  <si>
    <t>0364-3190</t>
  </si>
  <si>
    <t>1573-6903</t>
  </si>
  <si>
    <t>10.1007/s11064-024-04254-1</t>
  </si>
  <si>
    <t>WOS:001355442700001</t>
  </si>
  <si>
    <t>Grande-Tovar, CD; Castro, JIC; Barba-Rosado, LV; Zapata, PA; Insuasty, D; Valencia-Llano, CH</t>
  </si>
  <si>
    <t>Grande-Tovar, Carlos David; Castro Castro, Jorge Ivan; Barba-Rosado, Lemy Vanessa; Zapata, Paula A.; Insuasty, Daniel; Valencia-Llano, Carlos-Humberto</t>
  </si>
  <si>
    <t>Histology Assessment of Chitosan-Polyvinyl Alcohol Scaffolds Incorporated with CaO Nanoparticles</t>
  </si>
  <si>
    <t>Scaffolds for regenerative therapy can be made from natural or synthetic polymers, each offering distinct benefits. Natural biopolymers like chitosan (CS) are biocompatible and biodegradable, supporting cell interactions, but lack mechanical strength. Synthetic polymers like polyvinyl alcohol (PVA) provide superior mechanical strength and cost efficiency but are not biodegradable or supportive of cell adhesion. Combining these polymers optimizes their advantages while adding metal oxide nanoparticles like calcium oxide (CaO NPs) enhances antimicrobial properties by damaging bacterial membranes. In this study, we obtained the formation of CaO NPs by calcinating eggshells, which were mixed in a polymeric network of CS and PVA to obtain four different membrane formulations for subdermal tissue regeneration. The spherical nanoparticles measured 13.43 +/- 0.46 nm in size. Their incorporation into the membranes broadened the hydroxyl bands in the Fourier transform infrared (FTIR) analysis at 3331 cm(-)1. X-ray diffraction (XRD) analysis showed changes in the crystalline structure, with new diffraction peaks at 2 theta values of 7.2 degrees for formulations F2, F3, and F4, likely due to the increased amorphous nature and concentration of CaO NPs. Additionally, higher CaO NPs concentrations led to a reduction in thermal properties and crystallinity. Scanning electron microscopy (SEM) revealed a heterogeneous morphology with needle-like structures on the surface, resulting from the uniform dispersion of CaO NPs among the polymer chains and the solvent evaporation process. A histological examination of the implanted membranes after 60 days indicated their biocompatibility and biodegradability, facilitated by incorporating CaO NPs. During the degradation process, the material fragmented and was absorbed by inflammatory cells, which promoted the proliferation of collagen fibers and blood vessels. These findings highlight the potential of incorporating CaO NPs in soft tissue regeneration scaffolds.</t>
  </si>
  <si>
    <t>Tovar, Carlos/J-9638-2019; Valencia Llano, Carlos Humberto/KZU-6023-2024</t>
  </si>
  <si>
    <t>Insuasty, Daniel/0000-0001-9662-9505; Grande Tovar, Carlos David/0000-0002-6243-4571; Valencia Llano, Carlos Humberto/0000-0003-4892-9786</t>
  </si>
  <si>
    <t>10.3390/molecules30020276</t>
  </si>
  <si>
    <t>WOS:001404441700001</t>
  </si>
  <si>
    <t>Correa, F; Inzunza, L; Jakubsky, V</t>
  </si>
  <si>
    <t>Correa, Francisco; Inzunza, Luis; Jakubsky, Vit</t>
  </si>
  <si>
    <t>Lorentzian quantum wells in graphene: The role of shape invariance in zero-energy-state trapping</t>
  </si>
  <si>
    <t>PHYSICAL REVIEW B</t>
  </si>
  <si>
    <t>Confining Dirac fermions in graphene using electrostatic fields is a challenging task. Electric quantum created by a scanning tunneling microscope tip can trap zero-energy quasiparticles. The Lorentzian quantum well provides a faithful, exactly solvable approximation for such a potential, hosting zero-energy bound states for certain values of the coupling constant. We show that in this critical configuration, the system can be related to the free-particle model by means of a supersymmetric transformation. The revealed shape invariance of model greatly simplifies the calculation of the zero modes and naturally explains the degeneracy of the energy.</t>
  </si>
  <si>
    <t>Jakubsky, Vit/H-2972-2014; Inzunza, Luis/KDM-9912-2024; Correa, Francisco/S-4564-2018</t>
  </si>
  <si>
    <t>Correa, Francisco/0000-0003-1735-2822; Inzunza, Luis/0000-0002-3659-6956; Jakubsky, Vit/0000-0002-1025-9353</t>
  </si>
  <si>
    <t>2469-9950</t>
  </si>
  <si>
    <t>2469-9969</t>
  </si>
  <si>
    <t>AUG 9</t>
  </si>
  <si>
    <t>10.1103/PhysRevB.110.075120</t>
  </si>
  <si>
    <t>WOS:001290945400008</t>
  </si>
  <si>
    <t>Menghrajani, KS; Vasista, AB; Tan, WJ; Thomas, PA; Herrera, F; Barnes, WL</t>
  </si>
  <si>
    <t>Menghrajani, Kishan S.; Vasista, Adarsh B.; Tan, Wai Jue; Thomas, Philip A.; Herrera, Felipe; Barnes, William L.</t>
  </si>
  <si>
    <t>Molecular Strong Coupling and Cavity Finesse</t>
  </si>
  <si>
    <t>Molecular strong coupling offers exciting prospects in physics, chemistry, and materials science. While attention has been focused on developing realistic models for the molecular systems, the important role played by the entire photonic mode structure of the optical cavities has been less explored. We show that the effectiveness of molecular strong coupling may be critically dependent on cavity finesse. Specifically we only see emission associated with a dispersive lower polariton for cavities with sufficient finesse. By developing an analytical model of cavity photoluminescence in a multimode structure we clarify the role of finite-finesse in polariton formation and show that lowering the finesse reduces the extent of the mixing of light and matter in polariton states. We suggest that the detailed nature of the photonic modes supported by a cavity will be as important in developing a coherent framework for molecular strong coupling as the inclusion of realistic molecular models.</t>
  </si>
  <si>
    <t>Menghrajani, Kishan/AEP-1357-2022; Herrera, Felipe/KHD-8453-2024; Menghrajani, Kishan/AAB-4319-2019; Barnes, Bill/J-7111-2013</t>
  </si>
  <si>
    <t>Tan, Wai Jue/0000-0001-9243-4989; Thomas, Philip/0000-0003-0384-8800; Menghrajani, Kishan/0000-0002-9282-9689; Vasista, Adarsh/0000-0001-7641-8647; Barnes, Bill/0000-0002-9474-5534</t>
  </si>
  <si>
    <t>10.1021/acs.jpclett.4c00782</t>
  </si>
  <si>
    <t>WOS:001277605200001</t>
  </si>
  <si>
    <t>Geldres-Weiss, VV; Nicolas, C; Massa, NP</t>
  </si>
  <si>
    <t>Geldres-Weiss, Valeska V.; Nicolas, Carolina; Massa, Nathaniel P.</t>
  </si>
  <si>
    <t>Toward a sustainable research agenda on food eco-labelling in the business and management research domain</t>
  </si>
  <si>
    <t>EUROPEAN JOURNAL OF MANAGEMENT AND BUSINESS ECONOMICS</t>
  </si>
  <si>
    <t>Purpose - This study aims to critically review the research on food eco-labels to identify research gaps and recommend future research directions in business and management. Design/methodology/approach - A hybrid integrated review combines bibliometric analysis with an in-depth framework-based study of theory-context-characteristics-methodology (TCCM) and reviews quality research published over 21 years between 2002 and 2022. Findings - We identify key research themes and the knowledge structure of food eco-label research. Future researchers should explore food eco-label dynamics and phenomena in areas related to consumer behaviour, information, consumer knowledge, environmental concerns, trust, packaging and willingness-to-pay as antecedent factors. Research limitations/implications - This review contributes to the business and management literature by quantifying existing research and consolidating its evolution. The articles were sourced from the established Web of Science (WoS) database. Other databases should be included in future reviews. We also focus on research published in business and management. Further studies could include research beyond such specialised domains. Practical implications - Consumers need more information on the objectives and meaning of food eco-labels. The dissemination of knowledge on eco-labels, as well as effective communication and information on eco-labels, are relevant to future research issues. Social implications - The knowledge derived from this research holds significant potential in shaping policies and devising tools aimed at reducing the carbon footprint linked to food production and consumption. Considering the substantial impact of these activities on our planet's carbon footprint, addressing food security and sustainability emerges as a crucial concern for humanity. Recognising the importance of eco-label communication and information becomes particularly pertinent for future generations, who stand to bear the most substantial impact of climate change and sustainable development. These generations are also more inclined toward embracing and implementing sustainable practices. Originality/value - There are no comprehensive, integrated reviews exploring the methods, variables and constructs used in studies on food eco-labels based on all articles published in WoS journals in the business and management domains. This is the first comprehensive literature review using a hybrid approach (bibliometric review with TCCM framework) in the field of food eco-label research.</t>
  </si>
  <si>
    <t>Nicolas, Carolina/AAQ-8797-2021; Geldres Weiss, Valeska Viola/C-8673-2015</t>
  </si>
  <si>
    <t>Geldres Weiss, Valeska Viola/0000-0002-4963-0789; NICOLAS, CAROLINA/0000-0002-1911-2972</t>
  </si>
  <si>
    <t>2444-8451</t>
  </si>
  <si>
    <t>2444-8494</t>
  </si>
  <si>
    <t>10.1108/EJMBE-08-2023-0246</t>
  </si>
  <si>
    <t>WOS:001209572100001</t>
  </si>
  <si>
    <t>Sáez, G; Díaz, P; Vidal-Silva, N; Escrig, J; Vogel, EE</t>
  </si>
  <si>
    <t>Saez, Guidobeth; Diaz, Pablo; Vidal-Silva, Nicolas; Escrig, Juan; Vogel, Eugenio E.</t>
  </si>
  <si>
    <t>Bloch points stabilization by means of diameter modulations in cylindrical nanowires</t>
  </si>
  <si>
    <t>RESULTS IN PHYSICS</t>
  </si>
  <si>
    <t>The storage of information in long nanowires with a succession of independently oriented magnetic segments is of great practical use. It requires both the possibility of independently orienting the magnetization of each segment and great stability of the inscribed magnetization regarding spontaneous reversals. A practical way to separate sectors along the wire is by short modulations wider than the original wire that acts as a valve separating segments with independent magnetic orientations. When these two orientations are different, a Bloch Point (BP) develops within the modulation. It is precisely this BP that controls the stability of the system. In the present paper, we study the robustness of such BPs depending on geometrical parameters, such as the diameter and thickness of the cylindrical modulations as well as on external magnetic fields applied along the axis.</t>
  </si>
  <si>
    <t>Escrig, Juan/N-4304-2015; Vidal Silva, Nicolas/IAN-0226-2023</t>
  </si>
  <si>
    <t>Vidal Silva, Nicolas/0000-0002-3717-3816; Vogel, Eugenio/0000-0002-1701-3030; Diaz, Pablo/0000-0002-8624-1707; Saez, Guidobeth/0000-0003-1401-2531</t>
  </si>
  <si>
    <t>2211-3797</t>
  </si>
  <si>
    <t>10.1016/j.rinp.2022.105768</t>
  </si>
  <si>
    <t>JUL 2022</t>
  </si>
  <si>
    <t>WOS:000879243600013</t>
  </si>
  <si>
    <t>Cordoba-calquin, CA; Rojas-patuelli, KH; Gonzalez-lagos, RE</t>
  </si>
  <si>
    <t>Cordoba-calquin, Claudia Alejandra; Rojas-patuelli, Karina Hortensia; Gonzalez-lagos, Rodrigo Edgardo</t>
  </si>
  <si>
    <t>The Segregation of Migrant Students in Schools in Santiago, Chile</t>
  </si>
  <si>
    <t>MAGIS-REVISTA INTERNACIONAL DE INVESTIGACION EN EDUCACION</t>
  </si>
  <si>
    <t>The Chilean school system gradually teaches migrant students who usually attend public schools and are clustered in some institutions which, in Santiago, are located in the central communes district. This phenomenon is usually explained by the residential pattern of the students, a hypothesis which this study analyzes. It took the form of a comparative case study, of a quantitative and longitudinal nature, which took advantage of data (for the period from 2006 to 2018), on schools which have a large number of foreign students and neighboring schools which do not. It concludes that neither the residential pattern nor the administrative structure explains the phenomenon. Nor did it find evidence to suggest that Chilean students leave schools with many foreign students.</t>
  </si>
  <si>
    <t>2027-1174</t>
  </si>
  <si>
    <t>2027-1182</t>
  </si>
  <si>
    <t>10.11144/Javeriana.m15.seem</t>
  </si>
  <si>
    <t>WOS:000915234900002</t>
  </si>
  <si>
    <t>Cañón-Mancisidor, W; Paredes-Castillo, G; Hermosilla-Ibáñez, P; Venegas-Yazigi, D; Cador, O; Le Guennic, B; Pointillart, F</t>
  </si>
  <si>
    <t>Canon-Mancisidor, Walter; Paredes-Castillo, Gabriela; Hermosilla-Ibanez, Patricio; Venegas-Yazigi, Diego; Cador, Olivier; Le Guennic, Boris; Pointillart, Fabrice</t>
  </si>
  <si>
    <t>Role of the Templating Heteroatom on Both Structural and Magnetic Properties of POM-Based SIM Lanthanoid Complexes</t>
  </si>
  <si>
    <t>EUROPEAN JOURNAL OF INORGANIC CHEMISTRY</t>
  </si>
  <si>
    <t>The plasticity of the coordination chemistry of Lanthanoid ions (Ln(III)) has allow the design of novel coordination compounds with slow relaxation of the magnetization since the first Single Ion Magnet (SIMs) was reported by Ishikawa, who used the phthalocyaninate ligand to make a sandwich type complex. The coordination chemistry has allowed the possibility to design different types of molecular complexes with SIMs behaviour based on organic ligands. There is also SIMs based on inorganic ligands, using different types of lacunary polyoxometalates (LPOM) like, [XW11O39](n-). The combination of both types of ligands can produce hybrid inorganic-organic Ln(III) complexes with SIM behaviour. This is an attractive approach since these hybrid materials could benefit from the combination of the ease of functionalization of the organic ligands with the robustness of the inorganic moieties. There are reports that a hybrid mononuclear Dy-III complex could improve the relaxation dynamics when it is compared to the inorganic analogues. Thus, in this review we present a study and comparison on the improvement that inorganic and organic ligands can cause to the geometry of the metal centres of fully inorganic and hybrid (mononuclear and dinuclear) lanthanoid complexes (for Dy-III, Er-III and Yb-III). Moreover, we will discuss which of these changes can modify the magnetic properties of the Lanthanoid Complexes.</t>
  </si>
  <si>
    <t>Venegas-Yazigi, Diego/C-5022-2009; Le Guennic, Boris/G-5243-2010; Canon-Mancisidor, Walter/K-8764-2014; Hermosilla-Ibanez, Patricio/Y-7454-2018</t>
  </si>
  <si>
    <t>Venegas-Yazigi, Diego/0000-0001-7816-2841; Cador, Olivier/0000-0003-2064-6223; Le Guennic, Boris/0000-0003-3013-0546; Canon-Mancisidor, Walter/0000-0003-1703-8729; Pointillart, Fabrice/0000-0001-7601-1927; Hermosilla-Ibanez, Patricio/0000-0002-2272-9690</t>
  </si>
  <si>
    <t>1434-1948</t>
  </si>
  <si>
    <t>1099-0682</t>
  </si>
  <si>
    <t>DEC 7</t>
  </si>
  <si>
    <t>10.1002/ejic.202100670</t>
  </si>
  <si>
    <t>WOS:000700507200001</t>
  </si>
  <si>
    <t>Gómez, M; Pizarro, J; Castillo, X; Díaz, C; Ghisolfi, A; Chávez, MD; Cazorla-Amorós, D; Arenas-Alatorre, J</t>
  </si>
  <si>
    <t>Gomez, Mauricio; Pizarro, Jaime; Castillo, Ximena; Diaz, Carlos; Ghisolfi, Alessio; de Lourdes Chavez, Maria; Cazorla-Amoros, Diego; Arenas-Alatorre, Jesus</t>
  </si>
  <si>
    <t>Preparation of mesoporous γ-Al2O3 with high surface area from an AlOOH extract of recycling biomass ash</t>
  </si>
  <si>
    <t>This study explores the potential application of recycled materials extracted from arboreal ABA (ABA); this waste is used as an alternative source of aluminium oxyhydroxide for the synthesis of gamma-Al2O3 with high surface area based mesoporous materials with interesting applications in environmental remediation. The aluminium present in ABA was extracted by desilication and reflux in acid and subsequently converted to mesoporous gamma-Al2O3 via a sol-gel process with Pluronic P-123 as surfactant. The surface of that material was successfully functionalized with racemic glycine (GLY) and N,N-dimethylacetamide (DMAC) by liquid impregnation in order to study and compare their applications in capture of Fe3+ cations. All the materials were unambiguously characterized by adsorption-desorption isotherms of N-2 at 77 K, X-ray fluorescence (XRF), elemental analysis (EA), X-ray diffraction (XRD), diffuse reflectance infrared fourier transform spectroscopy (DRIFTS), scanning electron microscopy with dispersive energy detector of X-ray (SEM-EDS), transmission electronic microscopy (TEM) and Xray photoelectron spectroscopy (XPS). This process afforded gamma-Al2O3 with high purity and the surface area of the mesoporous materials ranged from 115 m(2) g(-1) for AlOOH to 230 m(2) g(-1) for gamma-Al2O3. The achieved surface functionalization was of 2 and 3 wt% with glycine and DMAC, respectively. The effective performance of these materials (both pristine and functionalized) in the removal of Fe3+ ions from an aqueous solution was evaluated in batch systems. In particular, the materials presented extraction capacities of about 78.2% for bare gamma-Al2O3, 83.2% for Al-GLY and 93.9% for Al-DMAC.</t>
  </si>
  <si>
    <t>Diaz, Carlos/ITT-9959-2023; Diaz, Carlos/R-8646-2018; Cazorla-Amoros, Diego/A-3967-2008</t>
  </si>
  <si>
    <t>Gomez Barrena, Mauricio/0000-0003-2010-5910; Diaz, Carlos/0000-0002-7250-8829; Cazorla-Amoros, Diego/0000-0001-5745-4271</t>
  </si>
  <si>
    <t>10.1016/j.jece.2021.105925</t>
  </si>
  <si>
    <t>WOS:000703966400004</t>
  </si>
  <si>
    <t>Vásquez-Stuardo, J; Morales-Flores, H; Cofré-Bolados, C</t>
  </si>
  <si>
    <t>Vasquez-Stuardo, J.; Morales-Flores, H.; Cofre-Bolados, C.</t>
  </si>
  <si>
    <t>MONITORING SPORTS TRAINING WITH HEART RATE VARIABILITY. A NARRATIVE REVIEW</t>
  </si>
  <si>
    <t>JOURNAL OF SPORT AND HEALTH RESEARCH</t>
  </si>
  <si>
    <t>The objective of this review is to present current recommendations on the use of controlled resting heart rate variability in monitoring sports training. A search was carried out in the literature of works related to training monitoring and heart rate variability recorded at rest, in subjects of different levels, ages and sports. In addition, the protocol and results generated by training guided by heart rate variability were reviewed. The main findings were that the metric of choice of heart rate variability to use in training monitoring is obtained through the square root of the mean value of the sum of the squared differences of all successive RR intervals and its interpretation. it should be complemented with resting heart rate, well-being parameters, fatigue and external load.It is concluded that good quality short records of heart rate variability can be obtained through mobile devices, which can be used in the monitoring of sports training to know the level of psychophysiological preparation of the athlete to perform in the face of a stressful stimulus.</t>
  </si>
  <si>
    <t>1989-6239</t>
  </si>
  <si>
    <t>WOS:000709411800002</t>
  </si>
  <si>
    <t>Aguirre, F; Abrigo, J; Gonzalez, F; Gonzalez, A; Simon, F; Cabello-Verrugio, C</t>
  </si>
  <si>
    <t>Aguirre, Francisco; Abrigo, Johanna; Gonzalez, Francisco; Gonzalez, Andrea; Simon, Felipe; Cabello-Verrugio, Claudio</t>
  </si>
  <si>
    <t>Protective Effect of Angiotensin 1-7 on Sarcopenia Induced by Chronic Liver Disease in Mice</t>
  </si>
  <si>
    <t>Sarcopenia associated with chronic liver disease (CLD) is one of the more common extrahepatic features in patients with these pathologies. Among the cellular alterations observed in the muscle tissue under CLD is the decline in the muscle strength and function, as well as the increased fatigue. Morphological changes, such as a decrease in the fiber diameter and transition in the fiber type, are also reported. At the molecular level, sarcopenia for CLD is characterized by: (i) a decrease in the sarcomeric protein, such as myosin heavy chain (MHC); (ii) an increase in the ubiquitin-proteasome system markers, such as atrogin-1/MAFbx1 and MuRF-1/TRIM63; (iii) an increase in autophagy markers, such as LC3II/LC3I ratio. Among the regulators of muscle mass is the renin-angiotensin system (RAS). The non-classical axis of RAS includes the Angiotensin 1-7 [Ang-(1-7)] peptide and its receptor Mas, which in skeletal muscle has anti-atrophic effect in models of muscle wasting induced by immobilization, lipopolysaccharide, myostatin or angiotensin II. In this paper, we evaluated the effect of Ang-(1-7) on the sarcopenia by CLD in a murine model induced by the 5-diethoxycarbonyl-1,4-dihydrocollidine (DDC) hepatotoxin administered through diet. Our results show that Ang-(1-7) administration prevented the decline of the function and strength of muscle and increased the fatigue detected in the DDC-fed mice. Besides, we observed that the decreased fiber diameter and MHC levels, as well as the transition of fiber types, were all abolished by Ang-(1-7) in mice fed with DDC. Finally, Ang-(1-7) can decrease the atrogin-1 and MuRF-1 expression as well as the autophagy marker in mice treated with DDC. Together, our data support the protective role of Ang-(1-7) on the sarcopenia by CLD in mice.</t>
  </si>
  <si>
    <t>Cabello-Verrugio, Claudio/AAD-1454-2020; Gonzalez, Andrea/HGU-7618-2022</t>
  </si>
  <si>
    <t>Aguirre Galaz, Francisco/0000-0001-8103-9473; Abrigo, Johanna/0000-0002-5598-513X; Simon, Felipe/0000-0002-2653-9798; Cabello-Verrugio, Claudio/0000-0001-7273-2102; Gonzalez, Andrea/0000-0001-5003-7109</t>
  </si>
  <si>
    <t>10.3390/ijms21113891</t>
  </si>
  <si>
    <t>WOS:000543400300153</t>
  </si>
  <si>
    <t>Fujimoto, M; Lylyk, I; Bleise, C; Albiña, P; Chudyk, J; Lylyk, P</t>
  </si>
  <si>
    <t>Fujimoto, M.; Lylyk, I.; Bleise, C.; Albina, P.; Chudyk, J.; Lylyk, P.</t>
  </si>
  <si>
    <t>Long-Term Outcomes of the WEB Device for Treatment of Wide-Neck Bifurcation Aneurysms</t>
  </si>
  <si>
    <t>AMERICAN JOURNAL OF NEURORADIOLOGY</t>
  </si>
  <si>
    <t>With a mean follow-up of approximately 15 months, the authors evaluated 41 cases of wide-neck aneurysms. Overall, 78.8% of the aneurysms had complete occlusion in the last follow-up, and 19.5% required retreatment with additional endovascular devices. A good clinical outcome (mRS: 0?2) was obtained in 95.1% of the patients, and the overall treatment-related morbidity and mortality rates were 2.4% and 0.0%, respectively. They conclude that treatment of wide-neck bifurcation aneurysms with a WEB device is feasible with an acceptable safety and efficacy rate. BACKGROUND AND PURPOSE: Treatment of wide-neck bifurcation aneurysms using endovascular therapy is still challenging even with the development of treatment devices. The purpose of this investigation was to assess the safety and efficacy of treatment with a Woven EndoBridge (WEB) device for wide-neck bifurcation aneurysms. MATERIALS AND METHODS: All patients treated with a WEB device at our institution between May 2009 and November 2016 were retrospectively evaluated. Clinical and imaging evaluation, aneurysm occlusion status, and modified Rankin scale score were analyzed 1?day after treatment and in the short- (&lt;6?months), mid- (&lt;24?months), and long-term (&gt;24?months) follow-up periods. RESULTS: Forty-one cases of wide-neck aneurysms were analyzed in this study. Overall, 78.8% of the aneurysms had complete occlusion in the last follow-up, and 19.5% required retreatment with additional endovascular devices. A good clinical outcome (modified Rankin scale: 0?2) was obtained in 95.1% of the patients, and the overall treatment-related morbidity and mortality rates were 2.4% and 0.0%, respectively. The mean follow-up time was 15.3 ? 13.5?months. CONCLUSIONS: The results obtained in this study suggest that treatment of wide-neck bifurcation aneurysms with a WEB device is feasible with an acceptable safety and efficacy rate.</t>
  </si>
  <si>
    <t>FUJIMOTO, MICHIO/JAC-8114-2023; Albina-Palmarola, Pablo/AAK-5112-2020</t>
  </si>
  <si>
    <t>CHUDYK, JORGE/0000-0003-2551-5169; Fujimoto, Michio/0000-0002-1752-7744; Albina-Palmarola, Pablo/0000-0002-0434-5466; Lylyk, Ivan/0000-0002-6048-4225; Bleise, Carlos/0000-0003-2292-3263</t>
  </si>
  <si>
    <t>0195-6108</t>
  </si>
  <si>
    <t>1936-959X</t>
  </si>
  <si>
    <t>10.3174/ajnr.A6548</t>
  </si>
  <si>
    <t>WOS:000548058500024</t>
  </si>
  <si>
    <t>Quezada, D; Bambach, G; Pérez, JT; Serrano, J; Olmedo, NM</t>
  </si>
  <si>
    <t>Quezada, David; Bambach, Gerardo; Perez, Jose Tomas; Serrano, Joaquin; Olmedo, Nicolas Maturana</t>
  </si>
  <si>
    <t>OUTSIDE THE LAW</t>
  </si>
  <si>
    <t>ARQ</t>
  </si>
  <si>
    <t>A series of regulations and ordinances are consciously disobeyed by this intervention. Its transgressive character, however, was overcome by the events of October 18, 2019, in Chile, which even led the government to declare a state of constitutional exception, that is, a temporary suspension of the rule of law. Thus, both this project and the political context that determined it, open the same question: to what extent can a temporary intervention have permanent consequences?</t>
  </si>
  <si>
    <t>0717-6996</t>
  </si>
  <si>
    <t>WOS:000531030500009</t>
  </si>
  <si>
    <t>Antiochia, R; Oyarzun, D; Sanchez, J; Tasca, F</t>
  </si>
  <si>
    <t>Antiochia, Riccarda; Oyarzun, Diego; Sanchez, Julio; Tasca, Federico</t>
  </si>
  <si>
    <t>Comparison of Direct and Mediated Electron Transfer for Bilirubin Oxidase from Myrothecium Verrucaria. Effects of Inhibitors and Temperature on the Oxygen Reduction Reaction</t>
  </si>
  <si>
    <t>CATALYSTS</t>
  </si>
  <si>
    <t>One of the processes most studied in bioenergetic systems in recent years is the oxygen reduction reaction (ORR). An important challenge in bioelectrochemistry is to achieve this reaction under physiological conditions. In this study, we used bilirubin oxidase (BOD) from Myrothecium verrucaria, a subclass of multicopper oxidases (MCOs), to catalyse the ORR to water via four electrons in physiological conditions. The active site of BOD, the T2/T3 cluster, contains three Cu atoms classified as T2, T3 alpha, and T3 beta depending on their spectroscopic characteristics. A fourth Cu atom; the T1 cluster acts as a relay of electrons to the T2/T3 cluster. Graphite electrodes were modified with BOD and the direct electron transfer (DET) to the enzyme, and the mediated electron transfer (MET) using an osmium polymer (OsP) as a redox mediator, were compared. As a result, an alternative resting (AR) form was observed in the catalytic cycle of BOD. In the absence and presence of the redox mediator, the AR direct reduction occurs through the trinuclear site (TNC) via T1, specifically activated at low potentials in which T2 and T3 alpha of the TNC are reduced and T3 beta is oxidized. A comparative study between the DET and MET was conducted at various pH and temperatures, considering the influence of inhibitors like H2O2, F-, and Cl-. In the presence of H2O2 and F-, these bind to the TNC in a non-competitive reversible inhibition of O-2. Instead; Cl- acts as a competitive inhibitor for the electron donor substrate and binds to the T1 site.</t>
  </si>
  <si>
    <t>Oyarzun, Diego/MTF-4062-2025; Sanchez, Julio/AEO-4360-2022; Tasca, Federico/J-4134-2015</t>
  </si>
  <si>
    <t>Tasca, Federico/0000-0002-4111-4624; ANTIOCHIA, RICCARDA/0000-0001-8990-8506; Sanchez, Julio/0000-0003-4245-0096</t>
  </si>
  <si>
    <t>2073-4344</t>
  </si>
  <si>
    <t>10.3390/catal9121056</t>
  </si>
  <si>
    <t>WOS:000507336600085</t>
  </si>
  <si>
    <t>Alburquenque, D; Troncoso, L; Marco, JF; Gautier, JL</t>
  </si>
  <si>
    <t>Alburquenque, D.; Troncoso, L.; Marco, J. F.; Gautier, J. L.</t>
  </si>
  <si>
    <t>Bulk and surface characterization of LiNixCoyMn2-x-yO4+δ (x, y=1/ 3, 1/4) synthesized by sol-gel and sol-gel ultrasound assisted methods</t>
  </si>
  <si>
    <t>MATERIALS LETTERS</t>
  </si>
  <si>
    <t>Oxides LiNixCoyMn2-x-yO4+delta d (x, y = 1/3, 1/4) were synthesized at 800 degrees C by sol-gel (SG) and sol-gelassisted ultrasound (UASG) methods. The Rietveld refinement of the XRD data indicated that all the compounds crystallize in the spinel structure and allowed to propose the corresponding cation distributions. SEM and TEM images showed that the oxides prepared by both methods consist of irregular polyhedra in the submicron size range. The samples prepared by UASG have both higher surface areas and Li+ ion diffusion coefficients than those synthesized by the SG method. XPS studies of these oxides reveal the presence of Ni2+, Ni3+, Co3+, Mn3+ and Mn4+ ions on the surface. (C) 2018 Elsevier B.V. All rights reserved.</t>
  </si>
  <si>
    <t>; Marco, JF/N-3176-2014</t>
  </si>
  <si>
    <t>Alburquenque, Daniela/0000-0001-9236-3308; Marco, JF/0000-0002-5147-1449; Troncoso, Loreto/0000-0003-1621-3310</t>
  </si>
  <si>
    <t>0167-577X</t>
  </si>
  <si>
    <t>1873-4979</t>
  </si>
  <si>
    <t>10.1016/j.matlet.2018.03.163</t>
  </si>
  <si>
    <t>WOS:000429899800042</t>
  </si>
  <si>
    <t>Lepe, GO; Medina, AW; Fernández, PO; Yánez-Sepúlveda, R; Valenzuela, TH; Bastías, JZ</t>
  </si>
  <si>
    <t>Orellana Lepe, Gladys; Warnier Medina, Alberto; Olivares Fernandez, Pedro; Yanez-Sepulveda, Rodrigo; Herrera Valenzuela, Tomas; Zapata Bastias, Jose</t>
  </si>
  <si>
    <t>Somatotype of Taekwondo Athletes at the Regional Training Center in Valparaiso, Chile</t>
  </si>
  <si>
    <t>The aim of the study was to determine the somatotype of taekwondo athletes at the Regional Training Center (CER) in Valparaiso, Chile. The first four were classified according to sex (8 athletes in total), men (18.75 +/- 2.62 years) and women (18.50 +/- 1.91 years), all of them active competitors in the discipline nationally and internationally. For the evaluation, the standards established by the International Society for the Advancement of Kinanthropometry (ISAK) and the Spanish Group of Cineanthropometry (GREC) were considered. The materials used were CESCORF (R) basic Innovare kit, TANITA (R) weight/height scale. To determine the somatotype, the Heath &amp; Carter proposal was considered. The results showed that in men a classification of the somatotype of balanced mesomorph (2.5-4.0-3.0), while in women it was classified as mesomorphic - endomorphic (3,3-3,6 - 2,3). It is concluded that in both sexes the mesomorphic component predominates, women present a higher level of endomorphy and a lower development of mesomorphy compared to men.</t>
  </si>
  <si>
    <t>HERRERA, TOMAS/AAH-3739-2019; Yañez, Rodrigo/HFZ-9707-2022</t>
  </si>
  <si>
    <t>WOS:000438813400034</t>
  </si>
  <si>
    <t>Osorio, F; Valdés, G; Skurtys, O; Andrade, R; Villalobos-Carvajal, R; Silva-Weiss, A; Silva-Vera, W; Giménez, B; Zamorano, M; Lopez, J</t>
  </si>
  <si>
    <t>Osorio, Fernando; Valdes, Gonzalo; Skurtys, Olivier; Andrade, Ricardo; Villalobos-Carvajal, Ricardo; Silva-Weiss, Andrea; Silva-Vera, Wladimir; Gimenez, Begona; Zamorano, Marcela; Lopez, Johana</t>
  </si>
  <si>
    <t>Surface Free Energy Utilization to Evaluate Wettability of Hydrocolloid Suspension on Different Vegetable Epicarps</t>
  </si>
  <si>
    <t>COATINGS</t>
  </si>
  <si>
    <t>Surface free energy is an essential physicochemical property of a solid and it greatly influences the interactions between vegetable epicarps and coating suspensions. Wettability is the property of a solid surface to reduce the surface tension of a liquid in contact with it such that it spreads over the surface and wets it, resulting from intermolecular interactions when the two are brought together. The degree of wetting (wettability) is determined by an energy balance between adhesive and cohesive work. The spreading coefficient (S-cf/food) is the difference between the work of adhesion and the work of cohesion. Surface wettability is measured by the contact angle, which is formed when a droplet of a liquid is placed on a surface. The objective of this work was to determine the effect of hydroxypropyl methylcellulose (HPMC), -carrageenan, glycerol, and cellulose nanofiber (CNF) concentrations on the wettability of edible coatings on banana and eggplant epicarps. Coating suspension wettability on both epicarps were evaluated by contact angle measurements. For the (S-cf/food) values obtained, it can be concluded that the surfaces were partially wet by the suspensions. S-cf/food on banana surface was influenced mainly by kappa-carrageenan concentration, HPMC-glycerol, kappa-carrageenan-CNF, and glycerol-CNF interactions. Thus, increasing kappa-carrageenan concentrations within the working range led to a 17.7% decrease in S-cf/banana values. Furthermore, a HPMC concentration of 3 g/100 g produced a 10.4% increase of the S-cf/banana values. Finally, S-cf/fruit values for banana epicarps were higher (similar to 10%) than those obtained for eggplant epicarp, indicating that suspensions wetted more the banana than the eggplant surface.</t>
  </si>
  <si>
    <t>skurtys, olivier/HNS-4835-2023; Villalobos-Carvajal, Ricardo/AAO-3646-2021; Silva-Weiss, Andrea/AAL-3271-2021; Andrade-Pizarro, Ricardo/H-4016-2017; Villalobos-Carvajal, Ricardo/X-6422-2019; osorio, fernando/AAY-7304-2021</t>
  </si>
  <si>
    <t>Andrade-Pizarro, Ricardo/0000-0002-1673-0361; Villalobos-Carvajal, Ricardo/0000-0002-7471-0211; skurtys, olivier/0000-0003-1432-7242; osorio, fernando/0000-0001-7206-0924</t>
  </si>
  <si>
    <t>2079-6412</t>
  </si>
  <si>
    <t>10.3390/coatings8010016</t>
  </si>
  <si>
    <t>WOS:000424107200016</t>
  </si>
  <si>
    <t>Palominos, FE; Palominos, SK; Durán, CA; Córdova, FM; Díaz, H</t>
  </si>
  <si>
    <t>Shi, Y; Wolcott, P; Kwak, W; Chen, Z; Tian, Y; Lee, H</t>
  </si>
  <si>
    <t>Palominos, Fredi E.; Palominos, Seomara K.; Duran, Claudia A.; Cordova, Felisa M.; Diaz, Hernan</t>
  </si>
  <si>
    <t>Challenges in the use of a support tool with automated review in student learning of programming courses</t>
  </si>
  <si>
    <t>6TH INTERNATIONAL CONFERENCE ON INFORMATION TECHNOLOGY AND QUANTITATIVE MANAGEMENT</t>
  </si>
  <si>
    <t>6th International Conference on Information Technology and Quantitative Management (ITQM)</t>
  </si>
  <si>
    <t>OCT 20-21, 2018</t>
  </si>
  <si>
    <t>Omaha, NE</t>
  </si>
  <si>
    <t>Int Acad Informat Technol &amp; Quantitat Management,Univ Nebraska,Chinese Acad Sci, Res Ctr Fictitious Economy &amp; Data Sci,UCAS, Sch Econ &amp; Management,Chinese Acad Sci, Inst Sci &amp; Dev,Chinese Acad Sci, Key Lab Big Data Mining &amp; Knowledge Management,Chinese Acad Management, Business Intelligence Soc,SW Minzu Univ,TIBD</t>
  </si>
  <si>
    <t>Computer programming learning requires the acquisition of skills to design algorithms. The level of achievement of these skills depends on the student's effort involved to develop a program, as well as the final quality of the product. The level of skills that students achieve in programming courses is diverse, being able to observe significant differences in the degree of effectiveness of the solutions, as well as in the students' learning development time. This paper describes a pilot experience aimed at measuring the incidence of focused practical activities assigned by the teacher through a CMS, as well as the self regulation carried out by them. These aspects were measured and based on indicators derived from the activities carried out by the students in the CMS. The results are not statistically conclusive regarding the qualifications; however, the experience shows that it significantly improves the information available to the teacher and the student: (1) It provides the teacher with information regarding the ability of each student to solve different types of problems, at different moments during the course directly. (2) It allows the teacher to recommend activities or exercises tending to improve students' learning results, and (3)It provides the student with immediate feedback of the solution developed, to correct it when appropriate. (C) 2018 The Authors. Published by Elsevier B. V.</t>
  </si>
  <si>
    <t>Duran, Claudia/S-1175-2019; Palominos, Fredi/U-4690-2019; Córdova, Felisa/AAK-4280-2020</t>
  </si>
  <si>
    <t>CORDOVA, FELISA/0000-0002-5557-8569; Duran, Claudia/0000-0002-0903-4333</t>
  </si>
  <si>
    <t>10.1016/j.procs.2018.10.260</t>
  </si>
  <si>
    <t>WOS:000471259200057</t>
  </si>
  <si>
    <t>Prado, G; Ibañez, MB; Acosta, A; Chamorro, E; Hermosilla-Ibáñez, P; Günther, G; Pizarro, N; Vega, A</t>
  </si>
  <si>
    <t>Prado, Gaspar; Belen Ibanez, Maria; Acosta, Alison; Chamorro, Eduardo; Hermosilla-Ibanez, Patricio; Gunther, German; Pizarro, Nancy; Vega, Andres</t>
  </si>
  <si>
    <t>Kinetics and photophysical behavior of the P,N-ReI complex [P,N-{(C6H5)2(C5H4N)P}Re(CO)3(O-O3SCF3)]: A directly coordinated (and labile) triflate</t>
  </si>
  <si>
    <t>The reaction of [P,N-{(C6H5)(2)(C5H4N)P}Re(CO)(3)Br] (RePNBr) with silver triflate leads to the complex [P,N-{(C6H5)(2)(C5H4N)P}Re(CO)(3)(O-CF3SO3)] (RePNTfO) with moderate yield. This new P,N-Re-I triflate compound contains the anion directly coordinated to the metal, completing an octahedral environment. RePNTfO displays in dichloromethane (DCM) solution an irreversible oxidation about +1.35 V and three irreversible reduction processes at -1.38 V, -2.03 V and -2.30 V. Oxidation has been attributed to the Re-I/Re-II couple, while the reduction corresponds to PN-ligand processes, which is consistent with those computed by means of DFT. The absorption spectrum of RePNTfO in DCM displays a maximum at 295 nm (epsilon= 7.1 x 10(3) M-1 cm(-1)) and a shoulder around 350 nm (epsilon = 1.8 x 10(3) M-1 cm(-1)), which have been assigned to intraligand (pi -&gt; pi*) and metal to ligand charge transfer (MLCT, d pi -&gt; pi*) transitions with the help of DFT/TDDFT. Excitation of RePNTfO in DCM at 350 nm leads to an emission spectrum centered at 535 nm. The analysis of the variation of the absorption and emission spectra in coordinating solvents compared to non-coordinating DCM, DFT/TDDFT calculations modeling and ELF analysis suggests for coordinating solvents that triflate ligand is replaced in the coordination sphere of Re-I in solution. Kinetics of the exchange of triflate by bromide measured in DCM at different temperatures allowed to estimate the Eyring parameters: Delta H-not equal, Delta S-not equal and Delta G(not equal), 50.8 kJ mol(-1), -109.6 J K-1 mol(-1) and 83.5 kJ mol(-1) respectively. The high negative entropy is indicative of a compact transition state, compatible with an associative mechanism, la, for the exchange. (C) 2017 Elsevier Ltd. All rights reserved.</t>
  </si>
  <si>
    <t>Pizarro, Nancy/E-1131-2015; Vega, Andres/B-2122-2010; Acosta, Alison/KYP-7555-2024; Chamorro, Eduardo/B-4286-2009; Gunther, German/I-1028-2013; Hermosilla-Ibanez, Patricio/Y-7454-2018</t>
  </si>
  <si>
    <t>Gunther, German/0000-0002-4733-8426; Hermosilla-Ibanez, Patricio/0000-0002-2272-9690; Pizarro, Nancy/0000-0002-4688-0889; Vega, Andres/0000-0001-6501-4161</t>
  </si>
  <si>
    <t>1873-3719</t>
  </si>
  <si>
    <t>NOV 24</t>
  </si>
  <si>
    <t>10.1016/j.poly.2017.08.018</t>
  </si>
  <si>
    <t>WOS:000414881700027</t>
  </si>
  <si>
    <t>Panichini, M; Neculman, R; Godoy, R; Arancibia-Miranda, N; Matus, F</t>
  </si>
  <si>
    <t>Panichini, Marcelo; Neculman, Rodrigo; Godoy, Roberto; Arancibia-Miranda, Nicolas; Matus, Francisco</t>
  </si>
  <si>
    <t>Understanding carbon storage in volcanic soils under selectively logged temperate rainforests</t>
  </si>
  <si>
    <t>GEODERMA</t>
  </si>
  <si>
    <t>A disturbance due to selective logging causes the release of carbon from forest soils. Here, we examine this effect under Nothofagus stands in Andisols of southern Chile (39 degrees 38'S, 72 degrees 02'W, &gt; 4000 mm yr(-1)). We postulate that soil carbon destabilization caused by forest management is counteracted by two contrasting carbon stabilization mechanisms linked to pedogenic processes: (1) the formation of allophane-imogolite-like materials (i.e., short-range ordered aluminosilicate particles with a specific Al/Si molar ratio, for example in the present study 3.8) and (2) formation of Al- and Fe-carbon complexes. The aim of this study was to compare the effects of selective logging on the organic carbon storage of forest Andisols. We estimated that carbon storage occurred in the uppermost 1 m of soils under evergreen (EGF) and secondary growth mixed deciduous forests (DMF). The selective dissolution method was used to estimate the mechanisms of soil carbon storage. The soil carbon storage under the unmanaged EGF did not differ significantly from that of the stands measured 10 or 50 years after selective logging. Likewise, the soil carbon storage under DMF was similar to that under stands measured 2, 6 or 50 years after selective logging. Overall, soil carbon storage was 24% lower under DMF than under EGF, which was attributed to the faster decomposition of organic matter produced by deciduous forests. The soil pH of the Ah-horizon was significantly lower (4.5-5.1) than that of the subsoil (5.5-6.0) due to the leaching of cations, leading to the development of less allophanic properties (i.e., an aluandic horizon). This effect increased the formation of organo-mineral complexes and reduced the content of allophane-imogolite-like precursors (e.g., non-crystalline Si and Al). As a result, an inverse relationship was found between metals (Al, Fe) complexed with carbon and the content of non-crystalline Si and Al, both of which were within single horizons and the entire soil profile in general. We conclude that disturbances caused by forest management did not alter carbon storage in these Andisols, which can be explained by (1) the potential mechanisms of carbon stabilization studied here and (2) humid climate, which protected the bare horizon from irreversible drying after the management of these ecosystems, thus preventing potential carbon loss.</t>
  </si>
  <si>
    <t>Matus, Francisco/AAY-9383-2020; Arancibia-Miranda, Nicolás/I-6743-2013</t>
  </si>
  <si>
    <t>0016-7061</t>
  </si>
  <si>
    <t>1872-6259</t>
  </si>
  <si>
    <t>10.1016/j.geoderma.2017.04.023</t>
  </si>
  <si>
    <t>WOS:000403522800008</t>
  </si>
  <si>
    <t>Bermejo-Cantarero, A; Alvarez-Bueno, C; Martinez-Vizcaino, V; García-Hermoso, A; Torres-Costoso, AI; Sánchez-López, M</t>
  </si>
  <si>
    <t>Bermejo-Cantarero, Alberto; Alvarez-Bueno, Celia; Martinez-Vizcaino, Vicente; Garcia-Hermoso, Antonio; Isabel Torres-Costoso, Ana; Sanchez-Lopez, Mairena</t>
  </si>
  <si>
    <t>Association between physical activity, sedentary behavior, and fitness with health related quality of life in healthy children and adolescents</t>
  </si>
  <si>
    <t>MEDICINE</t>
  </si>
  <si>
    <t>Background: Health related quality of life (HRQoL) is a subjective, multidimensional and changing over time construct. When HRQoL is decreased, a child is less likely to be able to develop normally and mature into a healthy adult. Physical inactivity is a priority public health problem. Evidence suggests how even moderate levels of physical activity or high fitness levels are associated with benefits for the health in children and adolescents. The aims of this systematic review are to examine the evidence about the relationship between physical activity, sedentary behavior, and fitness with HRQoL, and estimate the effects of interventions that have tested the effectiveness of the increase of the physical activity, the improvement of the physical fitness or the avoidance of sedentary behaviors in HRQoL in healthy subjects aged under 18 years old. Methods: This systematic review and meta-analysis protocol was conducted following the preferred reporting items for systematic review and meta-analysis protocols (PRISMA-P) statement. To identify relevant studies, the following electronic databases will be searched: MEDLINE, EMBASE, Cochrane Database, Web of Science, and PEDro. Reference lists of relevant studies will be examined for links to potential related articles. The methodological quality of the observational included studies will be scored using a quality assessment checklist. For the intervention studies, the risk of bias will be estimated using The Cochrane Collaboration tool for assessing risk of bias. Reviewers will determine whether a meta-analysis is possible when data have been extracted. If it is, subgroup analyses will be carried out by age and socioeconomic status, and by the different dimensions of the HRQoL. If is not possible, a descriptive analysis will be conducted. Conclusion: To our knowledge, this systematic review and meta-analysis will be the first that synthesizes the existing results about the relationship between physical activity, sedentary behavior, physical fitness, and HRQoL, and the effect of physical activity interventions on HRQoL, in healthy subjects under 18 years old. This study will clarify this relationship and will provide evidence for decision-making. Limitations may include the quality of the selected studies and their characteristics. Only studies published in English and Spanish will be included.</t>
  </si>
  <si>
    <t>SANCHEZ-LOPEZ, MAIRENA/J-7933-2016; Alvarez-Bueno, Celia/R-4075-2019; García-Hermoso, Antonio/ADU-2591-2022; Torres-Costoso, Ana/R-4847-2019; VIZCAINO, VICENTE/R-4336-2017; Garcia-Hermoso, Antonio/P-1857-2017; Bermejo-Cantarero, Alberto/I-5989-2016</t>
  </si>
  <si>
    <t>Garcia-Hermoso, Antonio/0000-0002-1397-7182; Alvarez-Bueno, Celia/0000-0002-6176-1618; Sanchez Lopez, Mairena/0000-0002-0217-0623; Torres-Costoso, Ana/0000-0001-8961-3169; Bermejo-Cantarero, Alberto/0000-0001-6463-5556</t>
  </si>
  <si>
    <t>0025-7974</t>
  </si>
  <si>
    <t>1536-5964</t>
  </si>
  <si>
    <t>e6407</t>
  </si>
  <si>
    <t>10.1097/MD.0000000000006407</t>
  </si>
  <si>
    <t>WOS:000397619800042</t>
  </si>
  <si>
    <t>Barbosa, KA; Coutinho, D; de Souza, CE; Rodríguez, C</t>
  </si>
  <si>
    <t>Barbosa, Karina A.; Coutinho, Daniel; de Souza, Carlos E.; Rodriguez, Carlos</t>
  </si>
  <si>
    <t>Bounded Real Lemma for Discrete Linear Time-Varying Descriptor Systems</t>
  </si>
  <si>
    <t>2017 11TH ASIAN CONTROL CONFERENCE (ASCC)</t>
  </si>
  <si>
    <t>Asian Control Conference ASCC</t>
  </si>
  <si>
    <t>11th Asian Control Conference (ASCC)</t>
  </si>
  <si>
    <t>DEC 17-20, 2017</t>
  </si>
  <si>
    <t>Gold Coast, AUSTRALIA</t>
  </si>
  <si>
    <t>This paper addresses the problem of admissibility analysis with a guaranteed bound on the system H-infinity norm for discrete linear time-varying descriptor systems. Two equivalent necessary and sufficient versions of the bounded real lemma are derived based on strict matrix inequality constraints. Then, these results are applied to deal with uncertain descriptor systems in which all the system state-space matrices depend affinely on convex bounded uncertain time-varying parameters. Both affine and quadratic parameter-dependent Lyapunov functions are considered to evaluate robust H-infinity performance in terms of linear matrix inequalities which incorporate available information on the variation of the uncertain parameters. A numerical example is presented to illustrate the approach.</t>
  </si>
  <si>
    <t>Ledesma, Carlos/V-5540-2019; Barbosa, Karina/A-2236-2014; de Souza, Carlos/A-6676-2009; Coutinho, Daniel/M-6790-2013</t>
  </si>
  <si>
    <t>2072-5639</t>
  </si>
  <si>
    <t>978-1-5090-1573-3</t>
  </si>
  <si>
    <t>WOS:000426957300321</t>
  </si>
  <si>
    <t>López-González, L; Amutio, A; Oriol, X; Bisquerra, R</t>
  </si>
  <si>
    <t>Lopez-Gonzalez, Luis; Amutio, Alberto; Oriol, Xavier; Bisquerra, Rafael</t>
  </si>
  <si>
    <t>Habits related to relaxation and (mindfulness) in high school students: influence on classroom climate and academic performance</t>
  </si>
  <si>
    <t>REVISTA DE PSICODIDACTICA</t>
  </si>
  <si>
    <t>The objective of this study was to know the personal, family and school habits related to relaxation and mindfulness and to find out their impact, both in classroom climate and academic performance in adolescents. It also aims to check whether classroom climate has a mediating role in this relationship. The mean of academic performance at the end of the academic year, the Brief Questionnaire of Classroom Climate and the School Relaxation Habits Brief Questionnaire, an instrument designed for the occasion, were used. The study was conducted with a sample of 420 students of Secondary Education and Baccalaureate in a high school center. Results showed that personal and family relaxation/mindfulness habits predicted academic performance. This relationship was mediated by classroom climate. There were not statistical differences by gender in personal, family and school habits.</t>
  </si>
  <si>
    <t>Amutio, Alberto/AAP-7380-2020; Amutio, Alberto/O-3068-2016; Oriol, Xavier/AAO-3112-2021</t>
  </si>
  <si>
    <t>Amutio, Alberto/0000-0003-3989-9992; Oriol, Xavier/0000-0001-7130-7729</t>
  </si>
  <si>
    <t>1136-1034</t>
  </si>
  <si>
    <t>2254-4372</t>
  </si>
  <si>
    <t>10.1387/RevPsicodidact.13866</t>
  </si>
  <si>
    <t>WOS:000369211400007</t>
  </si>
  <si>
    <t>Denardin, JC; Burgos, E; Lavín, R; Vojkovic, S; Briones, J; Flores, M</t>
  </si>
  <si>
    <t>Denardin, Juliano C.; Burgos, Erick; Lavin, Roberto; Vojkovic, Smiljan; Briones, Joel; Flores, Marcos</t>
  </si>
  <si>
    <t>Magnetic Properties of Co/Cu/Py Antidot Films With Different Pore Diameters</t>
  </si>
  <si>
    <t>IEEE TRANSACTIONS ON MAGNETICS</t>
  </si>
  <si>
    <t>IEEE International Magnetics Conference (Intermag)</t>
  </si>
  <si>
    <t>MAY 04-08, 2014</t>
  </si>
  <si>
    <t>Dresden, GERMANY</t>
  </si>
  <si>
    <t>The magnetic properties of ordered nanoscale Co/Cu/Py multilayer antidot films with different pore sizes prepared on top of nanoporous alumina membranes (NAMs) are presented. Using Co and Py films separated by a Cu thin layer, and tuning the pore diameters of the NAMs, we were able to play with the coercivity of the films and observe stepped magnetization curves, as a consequence of the different coercivities of the Co and Py films. The magnetic properties of the multilayer antidots have been measured and compared with results obtained for antidots of Cu/Py. The magnetization reversal process that occurs in each individual layer and in the multilayer was studied by means of micromagnetic simulations.</t>
  </si>
  <si>
    <t>Denardin, Juliano/S-6407-2019; Burgos, Erick/IAN-2858-2023; Flores Carrasco, Marcos/E-8058-2012; Burgos Parra, Erick Omar/C-9532-2011</t>
  </si>
  <si>
    <t>Briones, Joel/0000-0002-1860-0173; Denardin, Juliano/0000-0002-1373-6207; Flores Carrasco, Marcos/0000-0002-9766-2830; Burgos Parra, Erick Omar/0000-0001-6931-5252</t>
  </si>
  <si>
    <t>0018-9464</t>
  </si>
  <si>
    <t>1941-0069</t>
  </si>
  <si>
    <t>10.1109/TMAG.2014.2331973</t>
  </si>
  <si>
    <t>WOS:000349465900100</t>
  </si>
  <si>
    <t>Correa, F; Lechtenfeld, O; Plyushchay, M</t>
  </si>
  <si>
    <t>Correa, Francisco; Lechtenfeld, Olaf; Plyushchay, Mikhail</t>
  </si>
  <si>
    <t>Nonlinear supersymmetry in the quantum Calogero model</t>
  </si>
  <si>
    <t>JOURNAL OF HIGH ENERGY PHYSICS</t>
  </si>
  <si>
    <t>It is long known that the rational Calogero model describing n identical particles on a line with inverse-square mutual interaction potential is quantum superintegrable. We review the (nonlinear) algebra of the conserved quantum charges and the intertwiners which relate the Liouville charges at couplings g and g+/-1. For integer values of g, these intertwiners give rise to additional conserved charges commuting with all Liouville charges and known since the 1990s. We give a direct construction of such a charge, the unique one being totally antisymmetric under particle permutations. It is of order 1/2n(n-1)(2g-1) in the momenta and squares to a polynomial in the Liouville charges. With a natural Z(2) grading, this charge extends the algebra of conserved charges to a nonlinear supersymmetric one. We provide explicit expressions for intertwiners, charges and their algebra in the cases of two, three and four particles.</t>
  </si>
  <si>
    <t>Correa, Francisco/S-4564-2018</t>
  </si>
  <si>
    <t>Correa, Francisco/0000-0003-1735-2822; Lechtenfeld, Olaf/0000-0003-1947-484X</t>
  </si>
  <si>
    <t>1029-8479</t>
  </si>
  <si>
    <t>APR 24</t>
  </si>
  <si>
    <t>10.1007/JHEP04(2014)151</t>
  </si>
  <si>
    <t>WOS:000336492300002</t>
  </si>
  <si>
    <t>Torres, B; Martínez-Lope, MJ; Alonso, JA; Serafini, D; Fernández-Díaz, MT; Martínez-Coronado, R</t>
  </si>
  <si>
    <t>Torres, B.; Martinez-Lope, M. J.; Alonso, J. A.; Serafini, D.; Fernandez-Diaz, M. T.; Martinez-Coronado, R.</t>
  </si>
  <si>
    <t>Short communication: High-pressure synthesis and crystal structure of a novel Mg3CuHx ternary hydride</t>
  </si>
  <si>
    <t>A novel ternary hydride in the Mg-Cu-H system has been identified by a new synthesis method based on the direct reaction of simple hydrides under high-pressure and moderate-temperature conditions. A well-crystallized sample was obtained in a piston-cylinder hydrostatic press at moderate pressures of 3.5 GPa and temperatures around 850 degrees C starting from mixtures of MgH2 and Cu enclosed in platinum capsules. X-ray and neutron powder diffraction analysis were used to identify the purity of the samples and provide an accurate description of the crystal structure features. The crystal structure of Mg3CuHx was determined by ab-initio procedures from neutron powder diffraction (NPD) data in the cubic space group F-43m (No. 216), with lattice parameter a = 6.285 angstrom. The hydrogen positions were determined by Fourier synthesis revealing the introduction of hydrogen atoms in the system. A final Rietveld refinement of the structure gives up a Mg3CuH0.6 composition, which is consistent with the Fourier synthesis. Thermogravimetric analysis (TGA) has been carried out to determine the hydrogen desorption temperature, and to confirm the hydrogen contents. A destabilization with respect to MgH2 hydride, with a reduction of the desorption temperature of approximately 240 degrees C, suggests that Cu-doping of MgH2 may find applications in the hydrogen storage field. Copyright (C) 2013, Hydrogen Energy Publications, LLC. Published by Elsevier Ltd. All rights reserved.</t>
  </si>
  <si>
    <t>Fernandez-Diaz, Maria Teresa/D-7373-2014; Alonso, Jose Antonio/A-5245-2011</t>
  </si>
  <si>
    <t>Fernandez-Diaz, Maria Teresa/0009-0009-0524-0787; Alonso, Jose Antonio/0000-0001-5329-1225; Serafini, Daniel/0000-0002-1764-5900</t>
  </si>
  <si>
    <t>NOV 22</t>
  </si>
  <si>
    <t>10.1016/j.ijhydene.2013.09.026</t>
  </si>
  <si>
    <t>WOS:000328006500033</t>
  </si>
  <si>
    <t>Cruz, N; Olivares, M; Villanueva, JR</t>
  </si>
  <si>
    <t>Cruz, Norman; Olivares, Marco; Villanueva, J. R.</t>
  </si>
  <si>
    <t>Geodesic structure of Lifshitz black holes in 2+1 dimensions</t>
  </si>
  <si>
    <t>We present a study of the geodesic equations of a black hole space-time which is a solution of the three-dimensional NMG theory and is asymptotically Lifshitz with z = 3 and d = 1 as found in Ayon-Beato et al. (Phys. Rev. D 80: 104029, 2009). By means of the corresponding effective potentials for massive particles and photons we find the allowed motions by the energy levels. Exact solutions for radial and non-radial geodesics are given in terms of the Weierstrass elliptic rho, sigma, and zeta functions.</t>
  </si>
  <si>
    <t>10.1140/epjc/s10052-013-2485-8</t>
  </si>
  <si>
    <t>WOS:000322575300010</t>
  </si>
  <si>
    <t>Amat, S; Argyros, IK; Busquier, S; Castro, R; Hilout, S; Plaza, S</t>
  </si>
  <si>
    <t>Amat, S.; Argyros, I. K.; Busquier, S.; Castro, R.; Hilout, S.; Plaza, S.</t>
  </si>
  <si>
    <t>On a bilinear operator free third order method on Riemannian manifolds</t>
  </si>
  <si>
    <t>We present a semilocal convergence analysis of a bilinear operator free third order method on Riemannian manifolds. Using a combination of generalized Lipschitz and center-Lipschitz conditions, we provide a convergence analysis which expands the applicability of the method even in the setting of nonlinear equations considered in earlier studies such as (cf. [4,9,38]). (C) 2013 Published by Elsevier Inc.</t>
  </si>
  <si>
    <t>Sáez, Sonia/AAA-6148-2019; Argyros, Ioannis/R-1580-2018; Plata, Sergio/AAA-6144-2019</t>
  </si>
  <si>
    <t>Castro, Rodrigo/0000-0003-0010-7775</t>
  </si>
  <si>
    <t>10.1016/j.amc.2013.01.030</t>
  </si>
  <si>
    <t>WOS:000316668800016</t>
  </si>
  <si>
    <t>Vaca, I; Faúndez, C; Maza, F; Paillavil, B; Hernández, V; Acosta, F; Levicán, G; Martínez, C; Chávez, R</t>
  </si>
  <si>
    <t>Vaca, Inmaculada; Faundez, Carolina; Maza, Felipe; Paillavil, Braulio; Hernandez, Valentina; Acosta, Fermin; Levican, Gloria; Martinez, Claudio; Chavez, Renato</t>
  </si>
  <si>
    <t>Cultivable psychrotolerant yeasts associated with Antarctic marine sponges</t>
  </si>
  <si>
    <t>WORLD JOURNAL OF MICROBIOLOGY &amp; BIOTECHNOLOGY</t>
  </si>
  <si>
    <t>Unlike filamentous fungi and bacteria, very little is known about cultivable yeasts associated with marine sponges, especially those from Antarctic seas. During an expedition to King George Island, in the Antarctica, samples of 11 marine sponges were collected by scuba-diving. From these sponges, 20 psychrotolerant yeast isolates were obtained. Phylogenetic analyses of D1/D2 and ITS rRNA gene sequences revealed that the marine ascomycetous yeast Metschnikowia australis is the predominant organism associated with these invertebrates. Other species found belonged to the Basidiomycota phylum: Cystofilobasidium infirmominiatum, Rhodotorula pinicola, Leucosporidiella creatinivora and a new yeast from the Leucosporidiella genus. None of these yeasts have been previously associated with marine sponges. A screening to estimate the ability of these yeasts as producers of extracellular enzymatic activities at several pH and temperature conditions was performed. Several yeast isolates demonstrated amylolytic, proteolytic, lipolytic or cellulolytic activity, but none of them showed xylanolytic activity under the conditions assayed. To our knowledge, this work is the first description of cultivable yeasts associated with marine sponges from the Antarctic sea.</t>
  </si>
  <si>
    <t>Levican, Gloria/R-5191-2019; Acosta, Fermin/AAP-3869-2021; Martinez, Claudio/MGS-9961-2025; Vaca, Inmaculada/I-2758-2013</t>
  </si>
  <si>
    <t>Martinez, Claudio/0000-0001-8564-9287; Vaca, Inmaculada/0000-0002-8952-9036; Maza, Felipe/0009-0003-1353-1484; Acosta, Fermin/0000-0003-4849-9704; Levican, Gloria/0000-0002-1275-7399; Chavez, Renato/0000-0003-1754-3610</t>
  </si>
  <si>
    <t>0959-3993</t>
  </si>
  <si>
    <t>1573-0972</t>
  </si>
  <si>
    <t>10.1007/s11274-012-1159-2</t>
  </si>
  <si>
    <t>WOS:000312075300020</t>
  </si>
  <si>
    <t>Davidovitch, B; Schroll, RD; Cerda, E</t>
  </si>
  <si>
    <t>Davidovitch, B.; Schroll, R. D.; Cerda, E.</t>
  </si>
  <si>
    <t>Nonperturbative model for wrinkling in highly bendable sheets</t>
  </si>
  <si>
    <t>PHYSICAL REVIEW E</t>
  </si>
  <si>
    <t>The wrinkled geometry of thin films is known to vary appreciably as the applied stresses exceed their buckling threshold. Here we derive and analyze a minimal, nonperturbative set of equations that captures the continuous evolution of radial wrinkles in the simplest axisymmetric geometry from threshold to the far-from-threshold limit, where the compressive stress collapses. This description of the growth of wrinkles is different from the traditional post-buckling approach and is expected to be valid for highly bendable sheets. Numerical analysis of our model predicts two surprising results. First, the number of wrinkles scales anomalously with the thickness of the sheet and the exerted load, in apparent contradiction with previous predictions. Second, there exists an invariant quantity that characterizes the mutual variation of the amplitude and number of wrinkles from threshold to the far-from-threshold regime.</t>
  </si>
  <si>
    <t>1539-3755</t>
  </si>
  <si>
    <t>1550-2376</t>
  </si>
  <si>
    <t>JUN 13</t>
  </si>
  <si>
    <t>10.1103/PhysRevE.85.066115</t>
  </si>
  <si>
    <t>WOS:000305256400002</t>
  </si>
  <si>
    <t>Géminard, JC; Champougny, L; Lidon, P; Melo, F</t>
  </si>
  <si>
    <t>Geminard, Jean-Christophe; Champougny, Lorene; Lidon, Pierre; Melo, Francisco</t>
  </si>
  <si>
    <t>Flexural fracturing of a cohesive granular layer</t>
  </si>
  <si>
    <t>We report on the fracturing of cohesive granular materials subjected to a flexural deformation. A thin layer of glass beads or of flour is deposited on an unstretchable membrane to which flexion is imposed. We observe the formation of a periodic fracturing pattern whose characteristics are discussed in comparison with results previously obtained for an in-plane stretching [Alarcon, Ramos, Vanel, Vittoz, Melo, and Geminard, Phys. Rev. Lett. 105, 208001 (2010)]. In particular, at a given relative humidity, the wavelength is observed to depend linearly on the layer thickness but to be independent of the grain size, although the smallest grains are clearly more cohesive.</t>
  </si>
  <si>
    <t>Melo, Francisco/M-3923-2014; Lidon, Pierre/LRT-8721-2024</t>
  </si>
  <si>
    <t>GEMINARD, Jean-Christophe Nicolas Denis/0000-0002-9773-4806; Melo, Francisco Esteban/0000-0001-6818-5476; Champougny, Lorene/0000-0002-0166-7945; Lidon, Pierre/0000-0001-7454-0294</t>
  </si>
  <si>
    <t>JAN 17</t>
  </si>
  <si>
    <t>10.1103/PhysRevE.85.012301</t>
  </si>
  <si>
    <t>WOS:000299949300008</t>
  </si>
  <si>
    <t>Velasquez, L; García, K; Morales, F; Heckels, JE; Orihuela, P; Rodas, PI; Christodoulides, M; Cardenas, H</t>
  </si>
  <si>
    <t>Velasquez, Luis; Garcia, Katherine; Morales, Francisco; Heckels, John E.; Orihuela, Pedro; Rodas, Paula I.; Christodoulides, Myron; Cardenas, Hugo</t>
  </si>
  <si>
    <t>Neisseria gonorrhoeae Pilus Attenuates Cytokine Response of Human Fallopian Tube Explants</t>
  </si>
  <si>
    <t>JOURNAL OF BIOMEDICINE AND BIOTECHNOLOGY</t>
  </si>
  <si>
    <t>Background. A role for pilus during attachment of Neisseria gonorrhoeae to epithelia of the female reproductive tract is currently assumed. However, Pil(-) gonococci have been observed during infection of the reproductive tract, which prompted us to examine the effect of pili on the dynamics of infection and the inflammatory responses of mucosal explants of the human Fallopian tube. Methods. Mucosal explants were infected in vitro with Opa negative Pil(-) and Pil(+) N. gonorrhoeae strains. Results. Piliation enhanced gonococcal adherence to the epithelium within 3 h of infection (P &lt; 0.05) but thereafter did not offer advantage to gonococci to colonize the epithelial cell surface (P &gt; 0.05). No differences were found between the strains in numbers of gonococci inside epithelial cells. Pil(-) bacteria induced higher levels (P &lt; 0.05) of IL-1 beta, TNF-alpha, GM-CSF, MCP-1, and MIP-1 beta than Pil(+) bacteria. There were no differences between both strains in LOS pattern, and Pil expression did not change after coincubation with mucosal strips. Conclusions. Results show that gonococcal invasion of the human Fallopian tube can occur independently of pilus or Opa expression, and suggest that pilus, by inhibition of several key elements of the initial inflammatory response, facilitates sustained infection of this organ.</t>
  </si>
  <si>
    <t>Christodoulides, Myron/C-6699-2011; Rodas, Paula I./I-3631-2013; Morales Zavala, Francisco/H-7384-2014</t>
  </si>
  <si>
    <t>Christodoulides, Myron/0000-0002-9663-4731; Velasquez, Luis/0000-0002-9479-1792; Rodas, Paula I./0000-0002-8071-1229; Garcia, Katherine/0000-0003-0443-604X; Morales Zavala, Francisco/0000-0002-7743-5219</t>
  </si>
  <si>
    <t>1110-7243</t>
  </si>
  <si>
    <t>10.1155/2012/491298</t>
  </si>
  <si>
    <t>WOS:000301379900001</t>
  </si>
  <si>
    <t>Salinas, F; Mandakovic, D; Urzua, U; Massera, A; Miras, S; Combina, M; Ganga, MA; Martínez, C</t>
  </si>
  <si>
    <t>Salinas, F.; Mandakovic, D.; Urzua, U.; Massera, A.; Miras, S.; Combina, M.; Angelica Ganga, M.; Martinez, C.</t>
  </si>
  <si>
    <t>Genomic and phenotypic comparison between similar wine yeast strains of Saccharomyces cerevisiae from different geographic origins</t>
  </si>
  <si>
    <t>JOURNAL OF APPLIED MICROBIOLOGY</t>
  </si>
  <si>
    <t>Aims: To study genomic and phenotypic changes in wine yeasts produced in short time periods analysing yeast strains possibly derived from commercial strains recently dispersed. Methods and Results: We conducted a genomic and phenotypic comparison between the commercial yeast strain EC1118 and two novel strains (LV CB and L-957) isolated from different wine areas industrially intervened &lt; 20 years ago. Molecular analysis by amplified fragment length polymorphism (AFLP) and RAPD-PCR was not able to distinguish between these strains. However, comparative genomic hybridization (aCGH) showed discrete DNA gains and losses that allowed unequivocal identification of the strains. Furthermore, analysis of aCGH data supports the hypothesis that strains LV CB and L-957 are derivatives from strain EC1118. Finally, scarce phenotypic differences in physiological and metabolic parameters were found among the strains. Conclusion: The wine yeasts have a very dynamic genome that accumulates changes in short time periods. These changes permit the unique genomic identification of the strains. Significance and Impact of the Study: This study permits the evaluation of microevolutive events in wine yeasts and its relationship with the phenotype in this species.</t>
  </si>
  <si>
    <t>Martinez, Claudio/MGS-9961-2025; Ganga, Maria/S-8176-2019; Salinas, Francisco/W-3269-2017; Urzua, Ulises/AAK-8708-2021</t>
  </si>
  <si>
    <t>Salinas, Francisco/0000-0002-8391-8145; Martinez, Claudio/0000-0001-8564-9287; Urzua, Ulises/0000-0003-0522-5754; Combina, Mariana/0000-0002-0798-1564; Mandakovic, Dinka/0000-0002-1406-8175; Massera, Ariel/0000-0002-9423-0346</t>
  </si>
  <si>
    <t>1364-5072</t>
  </si>
  <si>
    <t>1365-2672</t>
  </si>
  <si>
    <t>10.1111/j.1365-2672.2010.04689.x</t>
  </si>
  <si>
    <t>WOS:000276503800037</t>
  </si>
  <si>
    <t>Palomino, WA; Fuentes, A; González, RR; Gabler, F; Boric, MA; Vega, M; Devoto, L</t>
  </si>
  <si>
    <t>Differential expression of endometrial integrins and progesterone receptor during the window of implantation in normo-ovulatory women treated with clorniphene citrate</t>
  </si>
  <si>
    <t>FERTILITY AND STERILITY</t>
  </si>
  <si>
    <t>\Objective: To assess the effect of clomiphene citrate (CC) on endometrial epithelial integrins and P receptors (PR) during the window of implantation. Design: Controlled, prospective, clinical study. Setting: Teaching hospital and university research laboratory. Patient(s): Thirty-one fertile, normo-ovulatory women participated in this trial. Thirteen women exhibited a CC-stimulated cycle with 50 mg on days 5-9, and 18 women with spontaneous menstrual cycles served as controls. Intervention(s): Endometrial biopsies in the midluteal phase. Main Outcome Measure(s): Immunohistochemical determination and endometrial cellular localization of alpha(1), alpha v, beta(3), and alpha(4) epithelial integrins and PR during the window of implantation. The staining intensity was assessed by a semiquantitative index (HSCORE) and compared by nonparametric Mann-Whitney test. Result(s): Higher plasma levels of P and E-2 and delayed histologic dating of the endometrium (38%) were features of CC-treated women. In addition, a low epithelial beta(3) integrin expression and persistent PR were observed in glandular epithelial cells of out-of-phase endometrial biopsies from CC-treated women. In contrast, in in-phase biopsies, neither epithelial PR nor beta(3) integrin were different from spontaneous control cycles. There was no difference in the expression of alpha(1), alpha v, and alpha(4) between the groups studied. Conclusion(s): The administration of clorniphene produces aberrant endometrial beta(3), integrin expression in conjunction with a failure in the down-regulation of PR during the window of implantation in a significant number of normo-ovulatory women, notwithstanding the higher plasma P levels. Therefore, CC might affect the expression of endometrial receptivity markers. (c) 2005 by American Society for Reproductive Medicine.</t>
  </si>
  <si>
    <t>0015-0282</t>
  </si>
  <si>
    <t>1556-5653</t>
  </si>
  <si>
    <t>10.1016/j.fertnstert.2004.11.020</t>
  </si>
  <si>
    <t>WOS:000227637600012</t>
  </si>
  <si>
    <t>Gutiérrez, G; Rogan, J</t>
  </si>
  <si>
    <t>Structure of liquid GeO2 from a computer simulation model -: art. no. 031201</t>
  </si>
  <si>
    <t>The structural properties of liquid GeO2 are investigated by means of molecular dynamics simulation using a pairwise potential. The simulations were performed in the microcanonical ensemble on systems with up to 576 particles prepared at 21 different densities, corresponding to pressures from -2 to 30 GPa, and temperatures of 1500 K and 3000 K. The pair correlation function, coordination number, angular distribution, and both the neutron and x-ray static structure factors are obtained and compared with those of liquid silica. The analysis of these results for the system at zero pressure indicates that in the liquid state the short range order is dominated by the presence of slightly distorted Ge(O-1/2)(4) tetrahedra. These tetrahedra are linked to each other mainly through the corners, with a Ge-O-Ge angle of approximate to130degrees, similar to the amorphous phase. Beyond the basic tetrahedron some order persists, but to less extent than in liquid silica. Simulation of systems at higher densities shows a volume collapse in the pressure-volume curve in the range of 4-8 GPa, suggesting the possibility that a liquid-liquid phase transition occurs, as the one observed in the amorphous phase.</t>
  </si>
  <si>
    <t>Rogan, José/B-8819-2008; Gutierrez, Gonzalo/A-4973-2008</t>
  </si>
  <si>
    <t>Rogan, Jose/0000-0003-1080-2739; Gutierrez, Gonzalo/0000-0003-0676-0089</t>
  </si>
  <si>
    <t>10.1103/PhysRevE.69.031201</t>
  </si>
  <si>
    <t>WOS:000220729100018</t>
  </si>
  <si>
    <t>Porcal, G; Bertolotti, SG; Previtah, CM; Encinas, MV</t>
  </si>
  <si>
    <t>Electron transfer quenching of singlet and triplet excited states of flavins and lumichrome by aromatic and aliphatic electron donors</t>
  </si>
  <si>
    <t>The quenching of excited singlet and triplet states of riboflavin, lumiflavin and lumichrome was investigated in methanol. The quenchers were aromatic electron donors and aliphatic amines. Bimolecular quenching rate constants were determined from static and dynamic fluorescence measurements. Triplet quenching was studied by laser flash photolysis. Transient absorption spectra showed the presence of semireduced flavins and lumichrome. and the radical cation of quenchers. The results confirm that the quenching rate constants for aliphatic donors are lower than those of aromatic donors of similar oxidation potential. Plots of the quenching rate constants vs. the free energy for the electron transfer reaction, DeltaG(o), were fitted by the Rehm-Weller model of electron transfer quenching. The aliphatic quenchers needed a higher intrinsic barrier for the fitting that was ascribed to the internal reorganisation of the amines. For the aromatic donors the singlet quenching rate constants reach the diffusional limit at highly negative DeltaG(o). However, for the triplet quenching the limiting value of the rate constants is lower than the plateau of the singlet quenching. This is explained in terms of the non-adiabaticity of the triplet quenching process.</t>
  </si>
  <si>
    <t>10.1039/b306945a</t>
  </si>
  <si>
    <t>WOS:000186173300010</t>
  </si>
  <si>
    <t>Jashés, M; Mlynarz, G; De Clercq, E; Sandino, AM</t>
  </si>
  <si>
    <t>Inhibitory effects of EICAR on infectious pancreatic necrosis virus replication</t>
  </si>
  <si>
    <t>ANTIVIRAL RESEARCH</t>
  </si>
  <si>
    <t>Recently, the antiviral 5-ethynyl-1-beta-D-ribofuranosylimidazole-4-carboxamide (EICAR) was shown to inhibit the replication of the infectious pancreatic necrosis virus (IPNV). In order to obtain more information about the mechanism of the antiviral action of EICAR we studied its effect on viral macromolecules synthesis. EICAR was found to inhibit IPNV messenger and genomic RNA synthesis. To inhibit viral RNA synthesis, EICAR must be added at least 3 h before the start of RNA synthesis. This suggests that EICAR does not directly affect the viral RNA polymerization process. Moreover, the antiviral action of EICAR was reversed by the exogenous addition; of guanosine (5-50 mu g/ml), but not adenosine or cytidine (10-100 mu g/ml). Our findings suggest that the antiviral action of EICAR is mediated by a reduction of the intracellular guanosine 5'-triphosphate (GTP) pool level, as has been observed with ribavirin and EICAR in other biological systems. (C) 2000 Elsevier Science B.V. All rights reserved.</t>
  </si>
  <si>
    <t>SANDINO, ANA MARIA/0000-0002-3862-3743; De Clercq, Erik/0000-0002-2985-8890</t>
  </si>
  <si>
    <t>0166-3542</t>
  </si>
  <si>
    <t>10.1016/S0166-3542(99)00071-6</t>
  </si>
  <si>
    <t>WOS:000085336000002</t>
  </si>
  <si>
    <t>Griessl, M; Mack, G; Xylander, Y; Palma, G</t>
  </si>
  <si>
    <t>Self-consistent calculation of real space renormalization group flows and effective potentials</t>
  </si>
  <si>
    <t>NUCLEAR PHYSICS B</t>
  </si>
  <si>
    <t>We show how to compute real space renormalization group flows in lattice field theory by a self-consistent method which is designed to preserve the basic stability properties of a Boltzmann factor. Particular attention is paid to controlling the errors which come from truncating the action to a manageable form. In each step, the integration over the fluctuation field (high frequency components of the field) is performed by a saddle point method. The saddle point depends on the block spin. Higher powers of derivatives of the field are neglected in the actions, but no polynomial approximation in the field is made. The flow preserves a simple parameterization of the action. In the first part the method is described and numerical results are presented. In the second part we discuss an improvement of the method where the saddle point approximation is preceded by self-consistent normal ordering, i.e. solution of a gap equation. In the third part we describe a general procedure to obtain higher order corrections with the help of Schwinger-Dyson equations. In this paper we treat scalar field theories as an example. The basic limitations of the method are also discussed. They come from a possible breakdown of stability which may occur when a composite block spin or block variables for domain walls would be needed.</t>
  </si>
  <si>
    <t>0550-3213</t>
  </si>
  <si>
    <t>1873-1562</t>
  </si>
  <si>
    <t>OCT 21</t>
  </si>
  <si>
    <t>10.1016/0550-3213(96)00340-9</t>
  </si>
  <si>
    <t>WOS:A1996VN05300011</t>
  </si>
  <si>
    <t>AmatGuerri, F; Lempe, E; Lissi, EA; Rodriguez, FJ; Trull, FR</t>
  </si>
  <si>
    <t>Water-soluble 1,3-diphenylisobenzofuran derivatives. Synthesis and evaluation as singlet molecular oxygen acceptors for biological systems</t>
  </si>
  <si>
    <t>Two isomeric water-soluble 1,3-diphenylisobenzofuran derivatives, containing an m- or p-trimethylammonium iodide group in one of the phenyl substituents (m-4 and p-4 respectively), were prepared and characterized, and their ability to quench O-2((1) Delta(g)) was evaluated in both homogeneous aqueous media and dioctadecyldimethylammonium chloride (DODAC) vesicles. The solubility in water of each isomer was higher than 2 X 10(-4) M and the respective O-2(1 Delta(g)) total quenching rate constants (k(q)) were (2.3+/-0.2) X 10(9) and (1.1+/-0.1) X 10(9) M(-1) s(-1). The reactive pathway fraction for isomer m-4 in D2O was 0.72+/-0.10, a value obtained by comparison with unsubstituted 1,3-di phenylisobenzofuran in the system cetyltrimethylammonium chloride-D2O. Both quenchers m-4 and p-4 can be used with O-2((1) Delta(g)) generators, e.g. thionine and methylene blue, but not with anionic dyes, such as rose bengal, because of the formation of ground stare, ion pair complexes. When methylene blue and isomer p-4 were separated by a DODAC bilayer, the quencher was consumed with zero-order kinetics, but the consumption rate was much smaller than in the absence of the bilayer. A rough estimate indicates that the quencher p-4 reacts with approximately 25% of the generated O-2((1) Delta(g)) escaping from the vesicle.</t>
  </si>
  <si>
    <t>10.1016/1010-6030(95)04149-4</t>
  </si>
  <si>
    <t>WOS:A1996TW54400007</t>
  </si>
  <si>
    <t>Hidalgo-Rojas, D; García-Garfido, J; Enriquez, J; Rojas-Aedo, R; Wheatley, RA; Fritz, RA; Singh, DP; Herrera, F; Seifert, B</t>
  </si>
  <si>
    <t>Hidalgo-Rojas, Diego; Garcia-Garfido, Juan; Enriquez, Javier; Rojas-Aedo, Ricardo; Wheatley, Robert Alastair; Fritz, Ruben A.; Singh, Dinesh P.; Herrera, Felipe; Seifert, Birger</t>
  </si>
  <si>
    <t>Phase-Coherent Optical Frequency Up-Conversion with Millimeter-Size Zn(3-ptz)2 Metal-Organic Framework Single Crystals</t>
  </si>
  <si>
    <t>ADVANCED OPTICAL MATERIALS</t>
  </si>
  <si>
    <t>Metal-organic frameworks (MOFs) have emerged as candidate materials for nonlinear optics due to their enhanced optical and chemical stability in comparison with conventional organic crystals. However, producing large single crystals that support perfect phase matching conditions for frequency conversion is a long-standing challenge due to the highly metastable conditions in which MOF crystals tend to self-assemble in solution. By modulating the synthesis and growth conditions, this limitation is overcome to produce millimeter-sized Zn(3-ptz)(2) uniaxial MOF single crystals. Optimized MOF crystals with large birefringence in the visible &amp; UDelta;n &amp; AP; -0.3 and high transparency allow for the observation of strong second-harmonic (SHG) and third-harmonic generation (THG) signals for the first time, using femtosecond near-infrared pump pulses. For conditions of type-I SHG phase-matching, the measured effective nonlinear coefficient of Zn(3-ptz)(2) is d(eff) &amp; AP; 0.10 pm V-1, the largest measured nonlinearity for MOF materials to date. The experiments quantitatively agree with first-principles simulations based on the crystal lattice structure. The damage threshold is estimated on the order of 0.2 TW cm(-2) for raw single crystals, which can be further increased with additional crystal engineering steps. The demonstration of efficient frequency up-conversion of light with long-range phase coherence establishes MOF single crystals as promising materials for nonlinear optical devices.</t>
  </si>
  <si>
    <t>Herrera, Felipe/KHD-8453-2024; SINGH, DINESH/A-2509-2011</t>
  </si>
  <si>
    <t>SINGH, DINESH/0000-0002-2893-7749; Seifert, Birger/0000-0002-3371-323X; Hidalgo Rojas, Diego Mauricio/0000-0002-1954-0010; Fritz Fritz, Ruben Alejandro/0000-0002-6691-4740</t>
  </si>
  <si>
    <t>2195-1071</t>
  </si>
  <si>
    <t>10.1002/adom.202300142</t>
  </si>
  <si>
    <t>JUL 2023</t>
  </si>
  <si>
    <t>WOS:001022784100001</t>
  </si>
  <si>
    <t>Pizarro, T; Jara, M; Margarit, D; Palacios, JL; Pinheiro, AC; Páez, K; Suárez-Reyes, M; Silva, D; Arias, A; Rivas, M; Astudillo, M; González, D</t>
  </si>
  <si>
    <t>Pizarro, Tito; Jara, Macarena; Margarit, Daisy; Palacios, Jose Luis; Pinheiro, Anna Christina; Paez, Katherine; Suarez-Reyes, Monica; Silva, Daniela; Arias, Alvaro; Rivas, Marcela; Astudillo, Maria; Gonzalez, Daniela</t>
  </si>
  <si>
    <t>Dietary and physical activity practices and preferences in children: An approach from school parliaments in educational public establishments</t>
  </si>
  <si>
    <t>ANDES PEDIATRICA</t>
  </si>
  <si>
    <t>In Chile, overnutrition continues to increase, especially affecting children. Solving this public health problem requires the development of promotion and prevention strategies that consider the sugges-tions of the communities, especially those of the children themselves. Objective: To know the opi-nions and suggestions of third and fourth-grade children from schools in the southern area of San-tiago, Chile, regarding their eating practices and physical activity, as part of the FONDEF IT 1810016 project. Subjects and Method: Seven School Meetings were held in seven schools using a participa-tory qualitative methodology, collecting the opinions of 176 children regarding both their food and physical activity habits and preferences. Results: The most consumed and preferred foods are those easy to prepare and highly available, such as bread, pasta, and milk. Foods that require preparation or are less available, such as fish, legumes, fruits, vegetables, and homemade preparations, are less consumed and have less preference. Regarding physical activities, video games and soccer stand out. Students propose increasing the hours of physical education and recesses and improving the availa-bility and access to healthy foods in school environments as a solution strategy. Conclusions: School Meetings as a participatory strategy contribute to the joint generation of knowledge. The need to include communities as participants in health initiatives recognizes, through their role, children as subjects of rights.</t>
  </si>
  <si>
    <t>Pizarro, Tito/AAY-2260-2021; Silva, Daniela/LDF-0575-2024; Suarez-Reyes, Monica/JQV-9348-2023; FERNANDES, ANNA/AAS-5661-2021</t>
  </si>
  <si>
    <t>pizarro, tito/0000-0002-2514-0072</t>
  </si>
  <si>
    <t>****_****</t>
  </si>
  <si>
    <t>2452-6053</t>
  </si>
  <si>
    <t>MAR-APR</t>
  </si>
  <si>
    <t>10.32641/andespediatr.v94i2.4164</t>
  </si>
  <si>
    <t>WOS:001001813600006</t>
  </si>
  <si>
    <t>Del'Arco, APWT; Previdelli, AN; Ferrari, G; Fisberg, M</t>
  </si>
  <si>
    <t>Del'Arco, Ana Paula Wolf Tasca; Previdelli, Agatha Nogueira; Ferrari, Gerson; Fisberg, Mauro</t>
  </si>
  <si>
    <t>Food intake, physical activity and body composition of adolescents and young adults: data from Brazilian Study of Nutrition and Health</t>
  </si>
  <si>
    <t>BMC PUBLIC HEALTH</t>
  </si>
  <si>
    <t>Background: Lifestyle acquired in youth can determine the individual's health. Constant vigilances in all aspects related to the health of the young population is essential, and evaluate their health parameters is important. The objective of this study was to describe and to compare food intake, physical activity (PA) practice, nutritional status and body composition between adolescents and young adults. Methods: Four hundred seventy-six individuals from the Brazilian Study of Nutrition and Health (EBANS) were analyzed. Food intake was evaluated by applying two 24-h Dietary Recall. The PA and sitting time (ST) were measured by the International Physical Activity Questionnaire in minutes/week and metabolic equivalent task (METs). Body weight and waist circumference (WC) were measured. Body mass index (BMI) and waist circumference to height ratio (WHtR) were calculated. Mann-Whitney and Chi-Square tests were used. Results: Energy and macronutrients intake, number of meals, and breakfast skippers weren't different between age groups. 48% of adolescents and 53% of young adults didn't meet the PA recommendation, and adolescents practiced more PA than young adults (total PA: p = 0.006; METs: p &lt; 0.001; leisure PA: p = 0.001); the individuals who studied practiced more PA (total PA: p = 0.034; METs: p = 0.029; leisure PA: p &lt; 0.001) and had ST significantly higher (p = 0.009) than those who worked. Almost 30% of adolescents and 45% of young adults had excess weight; presenting difference according to nutritional status, WC and WHtR (p &lt; 0.001). Conclusion: There is a high prevalence of excess weight among young Brazilians and differences were observed between age groups regarding nutritional status, body composition and PA practice.</t>
  </si>
  <si>
    <t>Ferrari, Gerson/ABG-6635-2021; Ferrari, Gerson/P-1152-2014</t>
  </si>
  <si>
    <t>1471-2458</t>
  </si>
  <si>
    <t>JUN 12</t>
  </si>
  <si>
    <t>10.1186/s12889-021-11171-3</t>
  </si>
  <si>
    <t>WOS:000663030300008</t>
  </si>
  <si>
    <t>Drenowatz, C; Ferrari, G; Greier, K; Hinterkörner, F</t>
  </si>
  <si>
    <t>Drenowatz, Clemens; Ferrari, Gerson; Greier, Klaus; Hinterkoerner, Franz</t>
  </si>
  <si>
    <t>Relative Age Effect in Physical Fitness during the Elementary School Years</t>
  </si>
  <si>
    <t>PEDIATRIC REPORTS</t>
  </si>
  <si>
    <t>Age-groups are commonly implemented in education and sports in order to provide fair and equal opportunities. Various studies, however, have shown a competitive advantage for early born children over their relatively younger peers, which is referred to as relative age effect. The present study examined differences in various components of physical fitness in Austrian elementary-school children. A total of 18,168 children (51% boys) between 6 and 11 years of age provided valid data on anthropometric characteristics and physical fitness. Specifically, children completed eight fitness tests that assessed cardiorespiratory endurance, muscular strength and power, speed, agility, flexibility and object control. Across age-specific quartiles, older children were significantly taller and heavier than their younger peers. Older children also displayed better performance for strength and power, speed, agility and object control, while differences in cardio-respiratory endurance were less pronounced. These results highlight the presence of a relative age effect during the elementary school years and emphasize the need to consider individual differences in the evaluation of children's performance. As all children should be given equal opportunities to engage successfully in physical education and sports, physical education teachers and youth coaches need to be educated on the implications of a relative age effect.</t>
  </si>
  <si>
    <t>Drenowatz, Clemens/A-1928-2013; Ferrari, Gerson/ABG-6635-2021; Ferrari, Gerson/P-1152-2014</t>
  </si>
  <si>
    <t>Ferrari, Gerson/0000-0003-3177-6576; Drenowatz, Clemens/0000-0002-3861-5364; Greier, Klaus/0000-0002-7150-1203</t>
  </si>
  <si>
    <t>2036-749X</t>
  </si>
  <si>
    <t>2036-7503</t>
  </si>
  <si>
    <t>10.3390/pediatric13020040</t>
  </si>
  <si>
    <t>WOS:000668297100001</t>
  </si>
  <si>
    <t>Freire, RM; Palma, JL; Michea, S; Ramirez, R; Baltazar, SE; Denardin, JC</t>
  </si>
  <si>
    <t>Freire, R. M.; Palma, J. L.; Michea, S.; Ramirez, R.; Baltazar, S. E.; Denardin, J. C.</t>
  </si>
  <si>
    <t>Coercivity dependence of cation distribution in Co-based spinel: correlating theory and experiments</t>
  </si>
  <si>
    <t>INORGANIC CHEMISTRY FRONTIERS</t>
  </si>
  <si>
    <t>The inversion degree (X) of a spinel-type nanomaterial is an essential parameter to understand the magnetic and electronic properties of ferrites. In this work, we have related different theoretical and experimental approaches in order to know the X parameter of a Co-based spinel. Our hypothesis is that the hysteresis curve at 5 K may be used to find the X parameter taking into consideration that the coercivity and remanence of this kind of nanoparticle (NP) are strongly dependent on the cation distribution between A and B sites of the spinel structure. To investigate this, CoFe2O4 NPs were firstly synthesized and fully characterized by powder X-ray diffraction (PXRD), transmission electron microscopy (TEM), and vibrating sample magnetometry (VSM). These results pointed out monodisperse CoFe2O4 nanostructures with a spherical shape of 6.85 +/- 0.05 nm. Subsequently, first-principles calculations were carried out to obtain the most stable atomic configuration as a function of the level of inversion, as well as the atomic properties for each X. Then, these data were used to define the constants used in the micromagnetic calculations. A hysteresis loop was generated for each X and further compared to the experimental curve measured at 5 K. In this sense, the best fit was found for X = 0.75, which indicates this value as the most probable inversion degree for the CoFe2O4 nanostructures investigated in this work. Overall, we are able to connect the experiments with the atomistic explanation through micromagnetic simulations in order to find the cationic configuration of the Co-based spinel nanostructure.</t>
  </si>
  <si>
    <t>Palma, Juan/IAP-4554-2023; Baltazar, Samuel/E-1814-2011; Denardin, Juliano/S-6407-2019; Michea, Sebastian/E-9043-2017</t>
  </si>
  <si>
    <t>Baltazar, Samuel/0000-0001-9826-9400; Michea, Sebastian/0000-0001-9312-5766; Melo Freire, Rafael/0000-0002-0914-4962; Palma, JuanLuis/0000-0003-2068-174X</t>
  </si>
  <si>
    <t>2052-1553</t>
  </si>
  <si>
    <t>JAN 21</t>
  </si>
  <si>
    <t>10.1039/d0qi01129k</t>
  </si>
  <si>
    <t>WOS:000611857300018</t>
  </si>
  <si>
    <t>Riquelme, N; Zúñiga, RN; Arancibia, C</t>
  </si>
  <si>
    <t>Riquelme, N.; Zuniga, R. N.; Arancibia, C.</t>
  </si>
  <si>
    <t>Physical stability of nanoemulsions with emulsifier mixtures: Replacement of tween 80 with quillaja saponin</t>
  </si>
  <si>
    <t>LWT-FOOD SCIENCE AND TECHNOLOGY</t>
  </si>
  <si>
    <t>Consumer demand for 'natural' products has led the food industry to substitute synthetic ingredients with others of natural origin. Nanoemulsions are thermodynamically unstable systems, so an emulsifier is necessary to maintain their stability during processing and storage. The aim of this work was to study the replacement of a synthetic emulsifier (Tw80: Tween 80) with one of natural origin (QS: quillaja saponins), evaluating its effect on the physical stability of nanoemulsions under different treatments (ionic strength and temperature). Avocado oil based nanoemulsions were prepared using different emulsifier mixtures: 5% soy lecithin (SL) and 1% Tw80, which was replaced by different QS proportions (1:0, 3:1, 1:1, 1:3, 0:1 Tw80:QS). Results showed that by increasing QS proportion particle size, polydispersity index and electronegativity of nanoemulsions also increased. All nanoemulsions remain stable after centrifugation process, since no creaming formation was observed. The ionic strength treatment had an effect on zeta potential values, but not on PS. The incorporation of quillaja saponin in nanoemulsions increases their thermal stability. Thus, the ternary emulsifier mixture (Tw80-QS-SL) can be used in the elaboration of pasteurized and sterilized emulsion-based food products.</t>
  </si>
  <si>
    <t>Arancibia, Carla/AAN-2290-2020</t>
  </si>
  <si>
    <t>Zuniga, Rommy/0000-0002-4195-8085; Riquelme Hinojosa, Natalia Andrea/0000-0003-3490-1045</t>
  </si>
  <si>
    <t>0023-6438</t>
  </si>
  <si>
    <t>1096-1127</t>
  </si>
  <si>
    <t>10.1016/j.lwt.2019.05.067</t>
  </si>
  <si>
    <t>WOS:000474325500098</t>
  </si>
  <si>
    <t>Trabes, G; Gil-Costa, V; Printista, M; Marin, M</t>
  </si>
  <si>
    <t>Merelli, I; Lio, P; Kotenko, I</t>
  </si>
  <si>
    <t>Trabes, Guillermo; Gil-Costa, Veronica; Printista, Marcela; Marin, Mauricio</t>
  </si>
  <si>
    <t>Multi-BSP vs. BSP: A Case of Study for Dell AMD Multicores</t>
  </si>
  <si>
    <t>2018 26TH EUROMICRO INTERNATIONAL CONFERENCE ON PARALLEL, DISTRIBUTED, AND NETWORK-BASED PROCESSING (PDP 2018)</t>
  </si>
  <si>
    <t>Euromicro Conference on Parallel Distributed and Network-Based Processing</t>
  </si>
  <si>
    <t>26th Euromicro International Conference on Parallel, Distributed, and Network-Based Processing (PDP)</t>
  </si>
  <si>
    <t>MAR 21-23, 2018</t>
  </si>
  <si>
    <t>Univ Cambridge, Comp Lab, Cambridge, ENGLAND</t>
  </si>
  <si>
    <t>Ist Tecnologie Biomediche,Consiglio Nazl Ric,Russian Acad Sci, St Petersburg Inst Informat &amp; Automat, Inst Comp Secur Problems Lab</t>
  </si>
  <si>
    <t>Univ Cambridge, Comp Lab</t>
  </si>
  <si>
    <t>Computer models have been used as a bridge between parallel algorithms and hardware architectures. The Bulk-Synchronous Parallel (BSP) is a well-known computing model originally devised for distributed algorithms running on clusters of single-core processors. The Multi-BSP model, that extends the classic BSP model, was recently proposed for multi-core processors. However, this model - implemented through the MulticoreBSP-for-C library-presents some restrictions such as the explicit synchronizations between the cores, introducing some challenges on which the hardware characteristics should be taken into account to properly model the parallel algorithms. Therefore, we explore the suitability of these models for the Dell multi-core architecture. The objectives of this contribution are twofold. First, we model two different multi-core Dell architectures. Second, we show that a simple model with few parameters can be easily adapted to each Dell platform rather than complex models which tends to use tricky hardware parameters.</t>
  </si>
  <si>
    <t>Gil-Costa, Veronica/GPT-4785-2022; Marin, Mauricio/GLR-7700-2022</t>
  </si>
  <si>
    <t>Marin, Mauricio/0000-0003-0662-7149; Gil-Costa, Veronica/0000-0003-4637-9725</t>
  </si>
  <si>
    <t>1066-6192</t>
  </si>
  <si>
    <t>978-1-5386-4975-6</t>
  </si>
  <si>
    <t>10.1109/PDP2018.2018.00098</t>
  </si>
  <si>
    <t>WOS:000443807600089</t>
  </si>
  <si>
    <t>Zurita-Ortega, F; Castro-Sánchez, M; Rodríguez-Fernández, S; Cofré-Boladós, C; Chacón-Cuberos, R; Martínez-Martínez, A; Muros-Molina, JJ</t>
  </si>
  <si>
    <t>Zurita-Ortega, Felix; Castro-Sanchez, Manuel; Rodriguez-Fernandez, Sonia; Cofre-Bolados, Cristian; Chacon-Cuberos, Ramon; Martinez-Martinez, Asuncion; Joaquin Muros-Molina, Jose</t>
  </si>
  <si>
    <t>Physical activity, obesity and self-esteem in chilean schoolchildren</t>
  </si>
  <si>
    <t>Background: Obesity is a worldwide epidemic disease and a problem for the Chilean society. Aim: To analyze the relationship between physical condition, body mass index (BMI), level of physical activity and self-esteem. Material ad Methods: Questionnaires to assess self-esteem (Rosemberg scale) and levels of physical activity (Physical Activity Questionnaire for older Children, PAQ-C) were answered by 515 children aged 10.5 +/- 0.5 years from 27 schools of Santiago de Chile. BMI was calculated. Course-Navette test was carried out, vertical jump and hand dynamometry were measured. For statistical analysis, structural equations were used. Results: An acceptable goodness of fit for the models was found. There was a positive relationship between BMI and hand dynamometry, as well as a negative relationship between BMI and maximal oxygen consumption, jumping ability, physical activity and self-esteem. Finally, self-esteem was positively related to physical activity engagement. Conclusions: In these children, self-esteem was related to physical activity variables.</t>
  </si>
  <si>
    <t>FERNANDEZ, SONIA/A-6609-2016; ZURITA, FELIX/K-5401-2019; Chacon Cuberos, Ramon/H-7507-2017; ZURITA, FELIX/I-9017-2017</t>
  </si>
  <si>
    <t>Chacon Cuberos, Ramon/0000-0003-0937-1089; ZURITA, FELIX/0000-0002-1189-894X; Muros Molina, Jose Joaquin/0000-0001-7573-0399</t>
  </si>
  <si>
    <t>WOS:000400323400006</t>
  </si>
  <si>
    <t>Reyes, J; Morales-Esteban, A; González, E; Martínez-Alvarez, F</t>
  </si>
  <si>
    <t>Reyes, J.; Morales-Esteban, A.; Gonzalez, E.; Martinez-Alvarez, F.</t>
  </si>
  <si>
    <t>Comparison between Utsu's and Vere-Jones' aftershocks model by means of a computer simulation based on the acceptance-rejection sampling of von Neumann</t>
  </si>
  <si>
    <t>TECTONOPHYSICS</t>
  </si>
  <si>
    <t>In this research, a new algorithm for generating a stochastic earthquake catalog is presented. The algorithm is based on the acceptance-rejection sampling of von Neumann. The result is a computer simulation of earthquakes based.on the calculated statistical properties of each zone. Vere-Jones states that an earthquake sequence can be modeled as a series of random events. This is the model used in the proposed simulation. Contrariwise, Utsu indicates that the mainshocks are special geophysical events. The algorithm has been applied to zones of Chile, China, Spain, Japan, and the USA. This allows classifying the zones according to Vere-Jones' or Utsu's model. The results have been quantified relating the mainshock with the largest aftershock within the next 5 days (which has been named as Bath event). The results show that some zones fit Utsu's model and others Vere-Jones'. Finally, the fraction of seismic events that satisfy certain properties of magnitude and occurrence is analyzed. (C) 2016 Elsevier B.V. All rights reserved.</t>
  </si>
  <si>
    <t>Reyes, Jorge/N-2640-2014; Martínez-Álvarez, Francisco/L-5121-2014; Morales-Esteban, Antonio/M-8070-2014</t>
  </si>
  <si>
    <t>Morales-Esteban, Antonio/0000-0002-3358-3690; Martinez-Alvarez, Francisco/0000-0002-6309-1785</t>
  </si>
  <si>
    <t>0040-1951</t>
  </si>
  <si>
    <t>1879-3266</t>
  </si>
  <si>
    <t>JUL 6</t>
  </si>
  <si>
    <t>10.1016/j.tecto.2016.06.005</t>
  </si>
  <si>
    <t>WOS:000380075800008</t>
  </si>
  <si>
    <t>Sanabria-Martínez, G; García-Hermoso, A; Poyatos-León, R; González-García, A; Sánchez-López, M; Martínez-Vizcaíno, V</t>
  </si>
  <si>
    <t>Sanabria-Martinez, Gema; Garcia-Hermoso, Antonio; Poyatos-Leon, Raquel; Gonzalez-Garcia, Alberto; Sanchez-Lopez, Mairena; Martinez-Vizcaino, Vicente</t>
  </si>
  <si>
    <t>Effects of Exercise-Based Interventions on Neonatal Outcomes: A Meta-Analysis of Randomized Controlled Trials</t>
  </si>
  <si>
    <t>AMERICAN JOURNAL OF HEALTH PROMOTION</t>
  </si>
  <si>
    <t>Objective: The aim of this study was to conduct a systematic review and meta-analysis of randomized controlled clinical trials (RCTs) assessing the influence of physical exercise interventions during pregnancy on some neonatal outcomes. Data Source: Key words were used to conduct a computerized search in six databases: Cochrane Library Plus, Science Direct, EMBASE, PubMed, Web of Science, and ClinicalTrials.gov. Study Inclusion and Exclusion Criteria: RCTs that included an exercise program for healthy pregnant women who were sedentary or had low levels of physical activity were selected. Data Extraction: Two independent reviewers extracted data and assessed the quality of the studies included. Of 4296 articles retrieved, 14 RCTs (3044 pregnant women) met the inclusion criteria. Data Synthesis: Pooled effect sizes (ESs) were calculated using a fixed model. Results: Overall, physical exercise programs during pregnancy produced a small reduction in neonatal birth weight (ES = -.10; p = .04). The Apgar score at 1 minute was also weakly increased with combined exercise (aerobic, strength, and flexibility) (ES = .09; p = .048) and no differences between groups were observed in gestational age at delivery and Apgar score at 5 minutes. Conclusion: Structured physical exercise programs during pregnancy appear to be safe for the neonate, mainly favoring a lower birth weight within normal range. However, more studies are needed to establish recommendations.</t>
  </si>
  <si>
    <t>García-Hermoso, Antonio/ADU-2591-2022; VIZCAINO, VICENTE/R-4336-2017; SANCHEZ-LOPEZ, MAIRENA/J-7933-2016; Sanabria, Gema/R-4782-2019; Garcia-Hermoso, Antonio/P-1857-2017</t>
  </si>
  <si>
    <t>Garcia-Hermoso, Antonio/0000-0002-1397-7182</t>
  </si>
  <si>
    <t>0890-1171</t>
  </si>
  <si>
    <t>2168-6602</t>
  </si>
  <si>
    <t>10.1177/0890117116639569</t>
  </si>
  <si>
    <t>WOS:000373978800002</t>
  </si>
  <si>
    <t>González-Ibáñez, R; Shah, C; White, RW</t>
  </si>
  <si>
    <t>Gonzalez-Ibanez, Roberto; Shah, Chirag; White, Ryen W.</t>
  </si>
  <si>
    <t>Capturing Collabportunities: A Method to Evaluate Collaboration Opportunities in Information Search Using Pseudocollaboration</t>
  </si>
  <si>
    <t>JOURNAL OF THE ASSOCIATION FOR INFORMATION SCIENCE AND TECHNOLOGY</t>
  </si>
  <si>
    <t>In explicit collaborative search, two or more individuals coordinate their efforts toward a shared goal. Every day, Internet users with similar information needs have the potential to collaborate. However, online search is typically performed in solitude. Existing search systems do not promote explicit collaborations, and collaboration opportunities (collabportunities) are missed. In this article, we describe a method to evaluate the feasibility of transforming these collabportunities into recommendations for explicit collaboration. We developed a technique called pseudocollaboration to evaluate the benefits and costs of collabportunities through simulations. We evaluate the performance of our method using three data sets: (a) data from single users' search sessions, (b) data with collaborative search sessions between pairs of searchers, and (c) logs from a large-scale search engine with search sessions of thousands of searchers. Our results establish when and how collabportunities would significantly help or hinder the search process versus searches conducted individually. The method that we describe has implications for the design and implementation of recommendation systems for explicit collaboration. It also connects system-mediated and user-mediated collaborative search, whereby the system evaluates the likely benefits of collaborating for a search task and helps searchers make more informed decisions on initiating and executing such a collaboration.</t>
  </si>
  <si>
    <t>Shah, Chirag/AAU-2437-2020</t>
  </si>
  <si>
    <t>Gonzalez-Ibanez, Roberto/0000-0002-4193-6548; Shah, Chirag/0000-0002-3797-4293</t>
  </si>
  <si>
    <t>2330-1635</t>
  </si>
  <si>
    <t>2330-1643</t>
  </si>
  <si>
    <t>10.1002/asi.23288</t>
  </si>
  <si>
    <t>WOS:000359021200011</t>
  </si>
  <si>
    <t>Lacoste, P; Castro, A; Jiménez, D; Soto, N; Rendón, B; Briones, F</t>
  </si>
  <si>
    <t>Lacoste, Pablo; Castro, Amalia; Jimenez, Diego; Soto, Natalia; Rendon, Bibiana; Briones, Felix</t>
  </si>
  <si>
    <t>The rise and fall of Chanco cheese in Chile (1860-1930)</t>
  </si>
  <si>
    <t>CIENCIA E INVESTIGACION AGRARIA</t>
  </si>
  <si>
    <t>This paper studies the historical evolution of Chanco cheese during two very different time periods: 1860-1900 and 1900-1930. The former was characterized by a high presence of the aforementioned cheese in Chilean society, and the latter period encompassed a time of identity contamination. Unlike Pisco, which has been delimited and protected as an Appellation of Origin (AO), Chanco cheese has been a victim of dilution of its own identity and cultural value. We hypothesize that the dilution and devaluing of Chanco cheese was a result of the incoherent actions of the State, producers and merchants with respect to its assessment, protection and delimitation of its identity.</t>
  </si>
  <si>
    <t>Cabrera, Diego/U-2906-2018; Castro, Amalia/LXV-4156-2024</t>
  </si>
  <si>
    <t>Lacoste, Pablo/0000-0003-1876-8141; Castro San Carlos, Amalia/0000-0003-2868-2739</t>
  </si>
  <si>
    <t>0718-1620</t>
  </si>
  <si>
    <t>10.4067/S0718-1620201500010009</t>
  </si>
  <si>
    <t>WOS:000357186600009</t>
  </si>
  <si>
    <t>Doebeli, M; Ispolatov, I</t>
  </si>
  <si>
    <t>Doebeli, Michael; Ispolatov, Iaroslav</t>
  </si>
  <si>
    <t>Symmetric competition as a general model for single-species adaptive dynamics</t>
  </si>
  <si>
    <t>JOURNAL OF MATHEMATICAL BIOLOGY</t>
  </si>
  <si>
    <t>Adaptive dynamics is a widely used framework for modeling long-term evolution of continuous phenotypes. It is based on invasion fitness functions, which determine selection gradients and the canonical equation of adaptive dynamics. Even though the derivation of the adaptive dynamics from a given invasion fitness function is general and model-independent, the derivation of the invasion fitness function itself requires specification of an underlying ecological model. Therefore, evolutionary insights gained from adaptive dynamics models are generally model-dependent. Logistic models for symmetric, frequency-dependent competition are widely used in this context. Such models have the property that the selection gradients derived from them are gradients of scalar functions, which reflects a certain gradient property of the corresponding invasion fitness function. We show that any adaptive dynamics model that is based on an invasion fitness functions with this gradient property can be transformed into a generalized symmetric competition model. This provides a precise delineation of the generality of results derived from competition models. Roughly speaking, to understand the adaptive dynamics of the class of models satisfying a certain gradient condition, one only needs a complete understanding of the adaptive dynamics of symmetric, frequency-dependent competition. We show how this result can be applied to number of basic issues in evolutionary theory.</t>
  </si>
  <si>
    <t>Ispolatov, Iaroslav/E-8544-2010</t>
  </si>
  <si>
    <t>Ispolatov, Iaroslav/0000-0002-0201-3396</t>
  </si>
  <si>
    <t>0303-6812</t>
  </si>
  <si>
    <t>1432-1416</t>
  </si>
  <si>
    <t>10.1007/s00285-012-0547-4</t>
  </si>
  <si>
    <t>WOS:000320953000001</t>
  </si>
  <si>
    <t>Cruchaga, M; Celentano, D; Breitkopf, P; Villon, P; Rassineux, A</t>
  </si>
  <si>
    <t>Cruchaga, Marcela; Celentano, Diego; Breitkopf, Piotr; Villon, Pierre; Rassineux, Alain</t>
  </si>
  <si>
    <t>A surface remeshing technique for a Lagrangian description of 3D two-fluid flow problems</t>
  </si>
  <si>
    <t>INTERNATIONAL JOURNAL FOR NUMERICAL METHODS IN FLUIDS</t>
  </si>
  <si>
    <t>Classical Lagrangian schemes applied to update the front position between two immiscible incompressible fluids have been long recognized to provide a sharp representation of the interface. However, the main drawback of these approaches is the progressive distortion in the distribution of the markers used to identify the material front. To avoid this problem, a 3D interface remeshing algorithm is proposed in this work. In addition, the remeshed front is enforced to preserve the global volume. These aspects are incorporated in an existing fluid dynamics formulation for the analysis of two-fluid flows problems. The resulting formulation, called as the 3D-moving Lagrangian interface remeshing technique, is applied in the numerical analysis of two-fluid flow problems. Copyright (C) 2009 John Wiley &amp; Sons, Ltd.</t>
  </si>
  <si>
    <t>Breitkopf, Piotr/J-7250-2019; Celentano, Diego/JQW-5027-2023; Cruchaga, Marcela/M-7522-2014</t>
  </si>
  <si>
    <t>Breitkopf, Piotr/0000-0002-3842-6520; Cruchaga, Marcela/0000-0002-8708-2402</t>
  </si>
  <si>
    <t>0271-2091</t>
  </si>
  <si>
    <t>JUN 10</t>
  </si>
  <si>
    <t>10.1002/fld.2073</t>
  </si>
  <si>
    <t>WOS:000277525700001</t>
  </si>
  <si>
    <t>Aliaga, C; Juárez-Ruiz, JM; Scaiano, JC; Aspée, A</t>
  </si>
  <si>
    <t>Aliaga, Carolina; Juarez-Ruiz, Juan M.; Scaiano, J. C.; Aspee, Alexis</t>
  </si>
  <si>
    <t>Hydrogen-transfer reactions from phenols to TEMPO prefluorescent probes in micellar systems</t>
  </si>
  <si>
    <t>ORGANIC LETTERS</t>
  </si>
  <si>
    <t>A nitroxide prefluorescent probe has been used to evaluate local reactivity of antioxidants in micellar systems. An apparent rate constant that directly reflects the relevance of antioxidant hydrophobicity on the reaction toward nitroxide radicals has been defined. Dramatic increases in this parameter for quercetin are shown on moving from methanol to micellar media: 90 and 230 fold enhancements for SDS and Triton X100 micelles, respectively. This is a clear consequence of the favorable partition of reactants in the micelles.</t>
  </si>
  <si>
    <t>; Aliaga, Carolina/G-6024-2019</t>
  </si>
  <si>
    <t>Scaiano, Juan/0000-0002-4838-7123; Aliaga, Carolina/0000-0002-1352-3164</t>
  </si>
  <si>
    <t>1523-7060</t>
  </si>
  <si>
    <t>JUN 5</t>
  </si>
  <si>
    <t>10.1021/ol800446c</t>
  </si>
  <si>
    <t>WOS:000256281600015</t>
  </si>
  <si>
    <t>Prieto, H; Utz, D; Castro, A; Aguirre, C; González-Agüero, M; Valdés, H; Cifuentes, N; Defilippi, BG; Zamora, P; Zuñiga, G; Campos-Vargas, R</t>
  </si>
  <si>
    <t>Prieto, Humberto; Utz, Daniella; Castro, Alvaro; Aguirre, Carlos; Gonzalez-Agueero, Mauricio; Valdes, Hector; Cifuentes, Nicolas; Defilippi, Bruno G.; Zamora, Pablo; Zuniga, Gustavo; Campos-Vargas, Reinaldo</t>
  </si>
  <si>
    <t>Browning in Annona cherimola fruit:: Role of Polyphenol oxidase and characterization of a coding sequence of the enzyme</t>
  </si>
  <si>
    <t>Cherimoya (Annona cherimola Mill.) fruit is an attractive candidate for food processing applications as fresh cut. However, along with its desirable delicate taste, cherimoya shows a marked susceptibility to browning. This condition is mainly attributed to polyphenol oxidase activity (PPO). A general lack of knowledge regarding PPO and its role in the oxidative loss of quality in processed cherimoya fruit requires a better understanding of the mechanisms involved. The work carried out included the cloning of a full-length cDNA, an analysis of its properties in the deduced amino sequence, and linkage of its mRNA levels with enzyme activity in mature and ripe fruits after wounding. The results showed one gene different at the nucleotide level when compared with previously reported genes, but a well-conserved protein, either in functional and in structural terms. Cherimoya PPO gene (Ac-ppo, GenBank DQ99091 1) showed to be present apparently in one copy of the genome, and its transcripts could be significantly detected in leaves and less abundantly in flowers and fruits. Analysis of wounded matured and ripened fruits revealed an inductive behavior for mRNA levels in the flesh of mature cherimoya after 16 h. Although the highest enzymatic activity was observed on rind, a consistent PPO activity was detected on flesh samples. A lack of correlation between PPO mRNA level and PPO activity was observed, especially in flesh tissue. This is probably due to the presence of monophenolic substrates inducing a lag period, enzyme inhibitors and/or diphenolic substrates causing suicide inactivation, and proenzyme or latent isoforms of PPO. To our knowledge this is the first report of a complete PPO sequence in cherimoya. Furthermore, the gene is highly divergent from known nucleotide sequences but shows a well conserved protein in terms of its function, deduced structure, and physiological role.</t>
  </si>
  <si>
    <t>Prieto, H./B-4400-2008; González-Agüero, Mauricio/H-5188-2013; Defilippi, Bruno/K-7172-2014; Zuñiga, Gustavo/P-8306-2015; Zamora, Pablo/D-1612-2012; Aguirre, Carlos/H-9886-2013; Campos-Vargas, Reinaldo/M-4021-2016</t>
  </si>
  <si>
    <t>Zuniga, Gustavo/0000-0002-8286-9468; Campos-Vargas, Reinaldo/0000-0003-1987-4130; Prieto, Humberto/0000-0002-9013-1906</t>
  </si>
  <si>
    <t>1520-5118</t>
  </si>
  <si>
    <t>OCT 31</t>
  </si>
  <si>
    <t>10.1021/jf070586+</t>
  </si>
  <si>
    <t>WOS:000250479500056</t>
  </si>
  <si>
    <t>Pedreschi, F; Kaack, K; Granby, K; Troncoso, E</t>
  </si>
  <si>
    <t>Pedreschi, Franco; Kaack, Karl; Granby, Kit; Troncoso, Elizabeth</t>
  </si>
  <si>
    <t>Acrylamide reduction under different pre-treatments in French fries</t>
  </si>
  <si>
    <t>JOURNAL OF FOOD ENGINEERING</t>
  </si>
  <si>
    <t>Acrylamide formation in French fries was investigated in relation under different processing conditions and the content of glucose and asparagine of the strips before frying. Potato strips (0.8 x 0.8 x 5 cm) of Bintje variety were fried at 150, 170 and 190 degrees C until reaching moisture contents of similar to 40 g water/100 g (total basis). Prior to frying, potato strips were treated in one of the following ways: (i) immersed in distilled water for 0 min (control), 60 min and 120 min; (ii) immersed in a citric acid solution of 10 g/L for an hour; (iii) immersed in a sodium pyrophosphate solution of 10,g/L for an hour; (iii) blanched in hot water at six different time-temperature combinations (50 degrees C for 40 and 80 min; 70 degrees C for 10 and 45 min; 90 degrees C for 3 and 10 min). Acrylamide content was determined in French fries while the glucose and asparagine content in the potato strips before frying. Immersed strips in water for 120 min showed a reduction of acrylamide formation of 33%, 21% and 27% at 150, 170 and 190 degrees C, respectively, when they were compared against the control. Potato strips blanched at 50 degrees C for 80 min had the lowest acrylamide content when compared against strips blanched at different conditions and fried at the same temperature (135, 327 and 564 mu m acrylamide/kg for 150, 170 and 190 degrees C, respectively). Potato strip immersion in citric acid solution of 10 g/L reduced much more the acrylamide formation after frying than the strip immersion in sodium pyrophosphate solution of 10 g/L (53% vs. 17 /v, respectively-average values for the three temperatures tested). Acrylamide formation decreased dramatically as the frying temperature decreased from 190 to 150 degrees C for all the pre-treatments tested. Color represented by the total color difference showed high correlation (r(2) of 0.854) with the acrylamide content of French fries. (c) 2006 Elsevier Ltd. All rights reserved.</t>
  </si>
  <si>
    <t>pedreschi, franco/F-8844-2013; Granby, Kit/J-7271-2016</t>
  </si>
  <si>
    <t>Troncoso, Elizabeth/0000-0002-6749-774X; Granby, Kit/0000-0002-5264-1577</t>
  </si>
  <si>
    <t>0260-8774</t>
  </si>
  <si>
    <t>1873-5770</t>
  </si>
  <si>
    <t>10.1016/j.jfoodeng.2006.04.014</t>
  </si>
  <si>
    <t>WOS:000242649300024</t>
  </si>
  <si>
    <t>Rezende, MC; Núñez, C; Sepúlveda-Boza, S; Cassels, BK; Hurtado-Guzmán, C</t>
  </si>
  <si>
    <t>S-oxidation products of alkylthioamphetamines</t>
  </si>
  <si>
    <t>SYNTHETIC COMMUNICATIONS</t>
  </si>
  <si>
    <t>The preparation of the sulfoxides and the sulfones of two centrally active alkylthioamphetamine salts, (+/-)-1-(4-methylthiophenyl)-2-aminopropane hydrochloride (2) (MTA . HCl) and (+/-)-1-(2,5-dimethoxy-4-ethylthiophenyl)-2-aminopropane hydrochloride (7) (ALEPH-2 . HCl), is described.</t>
  </si>
  <si>
    <t>Cassels, Bruce/H-6937-2013; Caroli, Marcos/H-3570-2019</t>
  </si>
  <si>
    <t>0039-7911</t>
  </si>
  <si>
    <t>10.1081/SCC-120006041</t>
  </si>
  <si>
    <t>WOS:000177742100022</t>
  </si>
  <si>
    <t>de Almeida, RL; Rezende, MC; Stadler, E</t>
  </si>
  <si>
    <t>Halochromic properties of cis-Ru(bpy)2Cl2 inorganic solvents.</t>
  </si>
  <si>
    <t>SPECTROSCOPY LETTERS</t>
  </si>
  <si>
    <t>The halochromic behaviour of the title ruthenium complex in acetonitrile and dimethylformamide, in the presence of lithium, sodium and magnesium perchlorate, was studied employing parallel spectroscopic and voltammetric measurements. The results point to an association between the added cation and the chloride ligands, that depends on the nature of the cation and of the solvent, and which affects the charge density on the central ruthenium metal.</t>
  </si>
  <si>
    <t>Caroli, Marcos/H-3570-2019</t>
  </si>
  <si>
    <t>0038-7010</t>
  </si>
  <si>
    <t>10.1080/00387019909350001</t>
  </si>
  <si>
    <t>WOS:000080789300014</t>
  </si>
  <si>
    <t>Bégu, D; Mercado, A; Farré, JC; Moenne, A; Holuigue, L; Araya, A; Jordana, X</t>
  </si>
  <si>
    <t>Editing status of mat-r transcripts in mitochondria from two plant species:: C-to-U changes occur in putative functional RT and maturase domains</t>
  </si>
  <si>
    <t>CURRENT GENETICS</t>
  </si>
  <si>
    <t>The intronic mat-r ORF encodes a protein with significant homology to retroviral reverse transcriptases. Here, we describe the nucleotide sequence of potato mat-r and study the editing status of mat-r transcripts in two systems, potato and wheat, where the mat-r ORF is part of the trans-introns but in two different configurations relative to nadl exons d and e. In potato and wheat, 13 and 15 C-to-U transitions respectively were observed. Most transcripts were partially edited, but potato transcripts were edited more efficiently than wheat transcripts. As in functional mitochondrial genes, RNA editing increased the similarity between plant mat-r proteins and their homologous non-plant counterparts. Interestingly, editing of mat-r was clustered in the reverse-transcriptase (RT) and the maturase (X) domains, two well defined regions having known functions in other systems. These results, together with the integrity and sequence conservation of mat-r, strongly suggest that the encoded protein plays a functional role in plant mitochondria.</t>
  </si>
  <si>
    <t>Mercado, Ana/KGM-6572-2024</t>
  </si>
  <si>
    <t>Mercado, Ana/0000-0002-3397-8318; BEGU, DOMINIQUE/0000-0003-4650-9905</t>
  </si>
  <si>
    <t>0172-8083</t>
  </si>
  <si>
    <t>1432-0983</t>
  </si>
  <si>
    <t>10.1007/s002940050355</t>
  </si>
  <si>
    <t>WOS:000074882600005</t>
  </si>
  <si>
    <t>Vergara, C; Ramirez, BU</t>
  </si>
  <si>
    <t>Age-dependent expression of the apamin-sensitive calcium-activated K+ channel in fast and slow rat skeletal muscle</t>
  </si>
  <si>
    <t>EXPERIMENTAL NEUROLOGY</t>
  </si>
  <si>
    <t>An altered expression of the apamin-sensitive K+ channel from skeletal muscle is apparently implicated in human myotonic dystrophy (MD). We found, in rats, that the expression of this channel depends on age and the type of muscle. This result may be one of the bases of the different susceptibilies of fast and slow muscles to drug-induced myotonia. (C) 1997 Academic Press.</t>
  </si>
  <si>
    <t>0014-4886</t>
  </si>
  <si>
    <t>10.1006/exnr.1997.6486</t>
  </si>
  <si>
    <t>WOS:A1997XJ92200031</t>
  </si>
  <si>
    <t>LealCerro, A; Considine, RV; Peino, R; Venegas, E; Astorga, R; Casanueva, FF; Dieguez, C</t>
  </si>
  <si>
    <t>Serum immunoreactive-leptin levels are increased in patients with Cushing's syndrome</t>
  </si>
  <si>
    <t>HORMONE AND METABOLIC RESEARCH</t>
  </si>
  <si>
    <t>Leptin, the product of the ob gene, is a recently discovered hormone secreted by adipocytes. Cushing's syndrome is a disease state usually associated with weight gain due to the accumulation of adipose tissue. In order to study the effect of chronic glucocorticoid excess upon serum leptin levels; in the present work, four patients with recently diagnosed Cushing's syndrome and a group of control subjects matched for age, sex and body mass index (BMI) were studied. Serum leptin concentrations, measured by radioimmunoassay, were assessed in samples taken every 60 minutes over a 24 hour period. Assessment of leptin concentrations over 24 hours, by means of the area under curve showed a twofold increase in serum leptin levels in patients with Cushing's syndrome (mean +/- SEM 54.3 +/- 14) in comparison to control subjects (29.3 +/- 4.4; p &lt; 0.05). In conclusion, our data show that leptin levels are markedly increased in Cushing's syndrome patients. The relevance of this finding to the increased body fat present in patients with Cushing's syndrome merits further studies.</t>
  </si>
  <si>
    <t>dieguez, carlos/0000-0002-0919-4337</t>
  </si>
  <si>
    <t>0018-5043</t>
  </si>
  <si>
    <t>10.1055/s-2007-979884</t>
  </si>
  <si>
    <t>WOS:A1996WC89600018</t>
  </si>
  <si>
    <t>Liendo, F; Pichún, B; de la Vega, AP; Penagos, J; Serrano, N; Díaz-Cruz, JM; Pizarro, J; Segura, R; Aguirre, MJ</t>
  </si>
  <si>
    <t>Liendo, Fabiana; Pichun, Bryan; de la Vega, Amaya Paz; Penagos, Johisner; Serrano, Nuria; Diaz-Cruz, Jose Manuel; Pizarro, Jaime; Segura, Rodrigo; Aguirre, Maria Jesus</t>
  </si>
  <si>
    <t>Electrochemical Sensor Based on Glassy Carbon Electrode Modified with Carbon Nanohorns (SWCNH) for Determination of Cr(VI) via Adsorptive Cathodic Stripping Voltammetry (AdCSV) in Tap Water</t>
  </si>
  <si>
    <t>In this study, a new and simple glassy carbon electrode modified with carbon nanohorns (SWCNH/GCE) was used for the determination of Cr(VI) in aqueous matrices via adsorptive cathodic stripping voltammetry (AdCSV). The modified electrode was characterized via field emission scanning electron microscopy and cyclic voltammetry, which revealed a homogeneous distribution of spherical agglomerates of SWCNH on the electrode surface. The modification increased the electrochemically active area from 0.10 cm2 +/- 0.01 (GCE) to 0.16 cm2 +/- 0.01 (SWCNH/GCE). The optimized analytical conditions were as follows: a supporting electrolyte (0.15 mol L-1 HCl), an accumulation potential of 0.8 V versus Ag/AgCl, and an accumulation time of 240 s. Validation of the analytical methodology was performed, obtaining a linear range between 20 and 100 mu g L-1, a limit of detection of 3.5 mu g L-1, and a limit of quantification of 11.6 mu g L-1 with good accuracy and precision. The method was applied to the analysis of spiked tap water samples, and the results were compared using a flame atomic absorption spectrophotometer (FAAS) with no significant statistical differences.</t>
  </si>
  <si>
    <t>Aguirre, Maria/A-3935-2013; Segura, Rodrigo/J-6696-2016; Diaz-Cruz, Jose Manuel/R-9926-2018</t>
  </si>
  <si>
    <t>, Johisner Penagos Llanos/0000-0003-0517-474X; Liendo, Fabiana/0000-0002-7131-4440; Paz de la vega Quiroz, Amaya/0000-0003-3249-6568; Pichun, Bryan/0009-0009-8719-7056; Diaz-Cruz, Jose Manuel/0000-0001-8241-3463; Segura, Rodrigo/0000-0001-5747-2357; Serrano, Nuria/0000-0001-5951-1823; Aguirre, Maria/0000-0003-1134-4469</t>
  </si>
  <si>
    <t>10.3390/nano14171465</t>
  </si>
  <si>
    <t>WOS:001311000700001</t>
  </si>
  <si>
    <t>Pérez-Lantero, P; Seara, C; Urrutia, J</t>
  </si>
  <si>
    <t>Perez-Lantero, Pablo; Seara, Carlos; Urrutia, Jorge</t>
  </si>
  <si>
    <t>Rectilinear convex hull of points in 3D and applications</t>
  </si>
  <si>
    <t>JOURNAL OF GLOBAL OPTIMIZATION</t>
  </si>
  <si>
    <t>Let P be a set of n points in R-3 in general position, and let RCH(P) be the rectilinear convex hull of P. In this paper we obtain an optimal O(n log n) time and O(n) space algorithm to compute RCH(P). We also obtain an efficient O(n log(2) n) time and O(n log n) space algorithm to compute and maintain the set of vertices of the rectilinear convex hull of P as we rotate R-3 around the Z-axis. We study some combinatorial properties of the rectilinear convex hulls of point sets in R-3. Finally, as an application of the obtained results, we show an approximation algorithm to an optimization fitting problem in R-3.</t>
  </si>
  <si>
    <t>Seara, Carlos/Z-3370-2019</t>
  </si>
  <si>
    <t>Urrutia, Jorge/0000-0002-4158-5979; Seara, Carlos/0000-0002-0095-1725</t>
  </si>
  <si>
    <t>0925-5001</t>
  </si>
  <si>
    <t>1573-2916</t>
  </si>
  <si>
    <t>10.1007/s10898-024-01402-3</t>
  </si>
  <si>
    <t>WOS:001217444500001</t>
  </si>
  <si>
    <t>Valenzuela, CC; Innocenti, PV; Gutierrez, AH; Pinto, PJ; Ramos, XC; Gaete, RC; Catalán, AF; Arias, PA; Varas, JC</t>
  </si>
  <si>
    <t>Valenzuela, Catalina Catan; Innocenti, Paula Vargas; Gutierrez, Aquiles Hachim; Pinto, Pablo Jorquera; Ramos, Ximena Claverie; Gaete, Ruby Carrasco; Catalan, Alvaro Flores; Arias, Pablo Alarcon; Varas, Jose Campos</t>
  </si>
  <si>
    <t>Prenatal presentation of pleuropulmonary blastoma associated to DICER1 syndrome: differential diagnosis of congenital pulmonary malformation</t>
  </si>
  <si>
    <t>Pleuropulmonary blastoma (PPB) is the most common pediatric malignant primary lung tumor. It's associated with the DICER1 gene pathogenic germline variants. Antenatal presentation is infrequent and poses a challenge in the differential diagnosis of congenital pulmonary airway malformation (CPAM). Objective: to report a case of unusual presentation of PPB associated with DICER1 syndro-me and to describe the difficulty in differentiating it from CPAM. Clinical Case: Male patient with prenatal diagnosis of hypervascular left lung lesion, with mediastinal shift and progressive growth, initially interpreted as CPAM. He was born at 38 weeks, requiring transitory treatment with positive pressure due to ventilatory impairment. A CT scan with contrast showed a large multilocular cystic mass containing air causing mass effect, requiring open left upper lobectomy. Histology results were compatible with type I PPB, with negative margins, and positive genetic study for DICER1 syndro-me. Seven weeks post-resection, an aerial image was detected in the upper left side of the chest, with progressive growth, requiring a new tumor resection and upper segmentectomy, with biopsy corres-ponding to recurrence of type I PPB with negative margins. He received adjuvant treatment with chemotherapy, with follow-up for 2 years, remaining asymptomatic, without recurrence, and with negative screening for other neoplasms associated with DICER1 syndrome. Among the family his -tory, the mother had papillary thyroid cancer and tested positive for the mutation. Conclusion: PPB is a rare cancer, difficult to distinguish from CPAM, especially in its antenatal presentation. Nowing its association with DICER1 syndrome and performing a genetic study are key to the early detection of BPP and the search for other tumors associated with the syndrome.</t>
  </si>
  <si>
    <t>10.32641/andespediatr.v94i6.4663</t>
  </si>
  <si>
    <t>WOS:001134372400002</t>
  </si>
  <si>
    <t>Piña, S; Sepúlveda, P; García-García, A; Moreno-Bárcenas, A; Toledo-Neira, C; Salazar-González, R</t>
  </si>
  <si>
    <t>Pina, Samuel; Sepulveda, Pamela; Garcia-Garcia, Alejandra; Moreno-Barcenas, Alejandra; Toledo-Neira, Carla; Salazar-Gonzalez, Ricardo</t>
  </si>
  <si>
    <t>Fast simultaneous electrochemical detection of Bisphenol-A and Bisphenol-S in urban wastewater using a graphene oxide-iron nanoparticles hybrid sensor</t>
  </si>
  <si>
    <t>In this work, a novel and sensitive electrochemical sensor was developed for the simultaneous determination of low concentration levels of Bisphenol-A (BPA) and Bisphenol-S (BPS) in a secondary effluent from a wastewater treatment plant and surface water. The sensor design involved the utilization of a glassy carbon electrode that was modified with hybrid iron nanoparticles and a nanostructure of graphene oxide. The synthesized material displayed a stable heterostructure, facilitating efficient electronic transfer and exhibiting impressive electro-catalytic capacity. Furthermore, the sensor successfully detected anodic signals of BPA and BPS with a peak separation of 0.28 V, confirming its excellent performance. For method optimization, a chemometric tool based on a Central Composite Face (CCF) design response surface was employed. The optimized conditions yielded an analytical curve with a linear range of 15.0 to 120.0 mu mol L-1 for BPA, represented by the equation Iap (mu A)=-0.088 + 0.044 (mu A L mu mol-1) [cBPA], and 20.0 to 70.0 mu mol L-1 for BPS, represented by the equation Iap (mu A)=-0.367 + 0.025 (mu A L mu mol-1) [cBPS]. The detection and quantification limits for BPA were established at 12.05 and 36.51 mu mol L-1, respectively. Similarly, for BPS, the corresponding values were determined to be 11.63 and 35.24 mu mol L-1. The electrochemical method developed was validated by comparing it with the high-performance liquid chromatography coupled to diode array detector (HPLC-DAD) technique. Notably, the electrochemical method demonstrated to be successful in the simultaneous detection and quantification of BPA and BPS in a secondary effluent and surface water.</t>
  </si>
  <si>
    <t>Salazar, Ricardo/L-7870-2013; Sepulvedaor, Pamela/GRO-3516-2022; Garcia, Alejandra/IQT-2699-2023; Garcia-Garcia, A./B-1478-2012</t>
  </si>
  <si>
    <t>Salazar-Gonzalez, Ricardo/0000-0003-2180-6022; Pina Hodges, Samuel/0000-0001-5789-8032; Toledo Neira, Carla Beatriz/0000-0003-2872-3043; Garcia-Garcia, A./0000-0001-7794-135X</t>
  </si>
  <si>
    <t>10.1016/j.electacta.2023.143164</t>
  </si>
  <si>
    <t>WOS:001079804100001</t>
  </si>
  <si>
    <t>Inostroza, M; Utrera, A; García-Herrera, CM; Rivera, E; Celentano, DJ; Herrera, EA</t>
  </si>
  <si>
    <t>Inostroza, Matias; Utrera, Andres; Garcia-Herrera, Claudio M.; Rivera, Eugenio; Celentano, Diego J.; Herrera, Emilio A.</t>
  </si>
  <si>
    <t>Analysis of the geometrical influence of ring-opening samples on arterial circumferential residual stress reconstruction</t>
  </si>
  <si>
    <t>This work consists of analyzing the impact of geometrical features (thickness and curvature) on the estimation of circumferential residual stresses in arteries. For this purpose, a specific sample of lamb abdominal artery is chosen for analysis and, through computational tools based on Python libraries, the stress-free geometry is captured after the ring opening test. Numerical simulations are then used to reconstruct the sample in order to estimate the circumferential residual stresses. Then, four stress-free geometry models are analyzed: an ideal geometry, i.e., constant curvature and thickness; a constant curvature and variable thickness geometry; a variable curvature and constant thickness geometry; and a variable curvature and thickness geometry. The numerical results show that models perform well from a geometric point of view, where the most different feature was the closed outer perimeter that differs about 14% from the closed real sample. As far as residual stress is concerned, differences up to 198% were found in more realistic models taking a constant curvature and thickness model as reference. Thus, the analysis of a realistic geometry with highly variable curvature and thickness can introduce, compared to an idealized geometry, significant differences in the estimation of residual stresses. This could indicate that the characterization of arterial residual stresses is not sufficient when considering only the opening angle and, therefore, it is also necessary to incorporate more geometrical variables.</t>
  </si>
  <si>
    <t>Rivera, Eugenio/LEN-3594-2024; Celentano, Diego/JQW-5027-2023; Herrera, Emilio/H-5992-2018; García-Herrera, Claudio/ABE-8991-2020</t>
  </si>
  <si>
    <t>Rivera Mancilla, Eugenio/0000-0001-8103-2706</t>
  </si>
  <si>
    <t>AUG 22</t>
  </si>
  <si>
    <t>10.3389/fbioe.2023.1233939</t>
  </si>
  <si>
    <t>WOS:001058527400001</t>
  </si>
  <si>
    <t>Bravo, GP; Rojas-Andrade, R; Zúñiga, CC; Navarro, ES; Romo-Medina, I</t>
  </si>
  <si>
    <t>Bravo, Gabriel Prosser; Rojas-Andrade, Rodrigo; Zuniga, Camilo Caro; Navarro, Ema Schroder; Romo-Medina, Ivan</t>
  </si>
  <si>
    <t>Determinants of the implementation of participatory actions in the environmental education with children and adolescents in Chile</t>
  </si>
  <si>
    <t>ENVIRONMENTAL EDUCATION RESEARCH</t>
  </si>
  <si>
    <t>Internationally, academics and social organizations have emphasized the incorporation of the perspective of children and adolescents in the design, evaluation, and execution of environmental education activities. This study sought to identify those contextual factors that influence the implementation of participatory actions in environmental education. An online survey was applied to 78 teachers, non-formal educators, administrators, researchers and journalists involved in environmental education. Through thematic content analysis, 17 determinants of implementation were identified, highlighting the traditional education model, cultural patterns, willing and social support, time, resources, and organizational drivers. It is argued that beyond macro and meso structural conditions, the implementation of these actions falls on a greater measure in the self-efficacy of the people involved in education, as well as in their possibility to manage the implementation conditions and obstacles.</t>
  </si>
  <si>
    <t>Prosser Bravo, Gabriel/0000-0003-1255-5890</t>
  </si>
  <si>
    <t>1350-4622</t>
  </si>
  <si>
    <t>1469-5871</t>
  </si>
  <si>
    <t>MAY 3</t>
  </si>
  <si>
    <t>10.1080/13504622.2023.2240042</t>
  </si>
  <si>
    <t>WOS:001036796600001</t>
  </si>
  <si>
    <t>Burgos-Jara, C; Cerda-Kohler, H; Aedo-Muñoz, E; Miarka, B</t>
  </si>
  <si>
    <t>Burgos-Jara, Carlos; Cerda-Kohler, Hugo; Aedo-Munoz, Esteban; Miarka, Bianca</t>
  </si>
  <si>
    <t>Eccentric Resistance Training: A Methodological Proposal of Eccentric Muscle Exercise Classification Based on Exercise Complexity, Training Objectives, Methods, and Intensity</t>
  </si>
  <si>
    <t>Eccentric resistance training that focuses on the lengthening phase of muscle actions has gained attention for its potential to enhance muscle strength, power, and performance (among others). This review presents a methodological proposal for classifying eccentric exercises based on complexity, objectives, methods, and intensity. We discuss the rationale and physiological implications of eccentric training, considering its benefits and risks. The proposed classification system considers exercise complexity and categorizing exercises by technical requirements and joint involvement, accommodating various skill levels. Additionally, training objectives are addressed, including (i) Sports Rehabilitation and Return To Sport, (ii) Muscle Development, (iii) Injury Prevention, (iv) Special Populations, and (v) Sporting Performance, proposing exercise selection with desired outcomes. The review also highlights various eccentric training methods, such as tempo, isoinertial, plyometrics, and moderate eccentric load, each with different benefits. The classification system also integrates intensity levels, allowing for progressive overload and individualized adjustments. This methodological proposal provides a framework for organizing eccentric resistance training programs, facilitating exercise selection, program design, and progression. Furthermore, it assists trainers, coaches, and professionals in optimizing eccentric training's benefits, promoting advancements in research and practical application. In conclusion, this methodological proposal offers a systematic approach for classifying eccentric exercises based on complexity, objectives, methods, and intensity. It enhances exercise selection, program design, and progression in eccentric resistance training according to training objectives and desired outcomes.</t>
  </si>
  <si>
    <t>Aedo-Muñoz, Esteban/R-5623-2019; Miarka, Bianca/V-7395-2017</t>
  </si>
  <si>
    <t>Burgos, Carlos/0000-0002-5883-7394; Aedo-Munoz, Esteban/0000-0003-1544-2824; Cerda-Kohler, Hugo/0000-0002-4058-3242; Miarka, Bianca/0000-0002-7513-7605</t>
  </si>
  <si>
    <t>10.3390/app13137969</t>
  </si>
  <si>
    <t>WOS:001028620600001</t>
  </si>
  <si>
    <t>Corona, RM; Saavedra, E; Castillo-Sepulveda, S; Escrig, J; Altbir, D; Carvalho-Santos, VL</t>
  </si>
  <si>
    <t>Corona, R. M.; Saavedra, E.; Castillo-Sepulveda, S.; Escrig, J.; Altbir, D.; Carvalho-Santos, V. L.</t>
  </si>
  <si>
    <t>Curvature-induced stabilization and field-driven dynamics of magnetic hopfions in toroidal nanorings</t>
  </si>
  <si>
    <t>Three dimensional magnetic textures are a cornerstone in magnetism research. In this work, we analyze the stabilization and dynamic response of a magnetic hopfion hosted in a toroidal nanoring with intrinsic Dzyaloshinskii-Moriya interaction simulating FeGe. Our results evidence that unlike their planar counterparts, where perpendicular magnetic anisotropies are necessary to stabilize hopfions, the shape anisotropy originated on the torus symmetry naturally yields the nucleation of these topological textures. We also analyze the magnetization dynamical response by applying a magnetic field pulse to differentiate among several magnetic patterns. Finally, to understand the nature of spin wave modes, we analyze the spatial distributions of the resonant mode amplitudes and phases and describe the differences among bulk and surface modes. Importantly, hopfions lying in toroidal nanorings present a non-circularly symmetric poloidal resonant mode, which is not observed in other systems hosting hopfions.</t>
  </si>
  <si>
    <t>Saavedra, Eduardo/IQS-4264-2023; Altbir, Dora/R-6781-2018; Escrig, Juan/N-4304-2015; Carvalho-Santos, Vagson/E-8806-2013</t>
  </si>
  <si>
    <t>Castillo, Sebastian/0000-0001-7730-8773; Altbir, Dora/0000-0002-2945-4909; Escrig, Juan/0000-0002-3958-8185; Carvalho-Santos, Vagson/0000-0002-2759-2152; Corona, Rosa/0000-0001-6054-5019; Saavedra Diaz, Eduardo Andres/0000-0002-2842-2526</t>
  </si>
  <si>
    <t>1361-6528</t>
  </si>
  <si>
    <t>APR 16</t>
  </si>
  <si>
    <t>10.1088/1361-6528/acb557</t>
  </si>
  <si>
    <t>WOS:000931786400001</t>
  </si>
  <si>
    <t>Gacitua, M; Carreno, A; Morales-Guevara, R; Paez-Hernandez, D; Martinez-Araya, JI; Araya, E; Preite, M; Otero, C; Rivera-Zaldivar, MM; Silva, A; Fuentes, JA</t>
  </si>
  <si>
    <t>Gacitua, Manuel; Carreno, Alexander; Morales-Guevara, Rosaly; Paez-Hernandez, Dayan; Martinez-Araya, Jorge I.; Araya, Eyleen; Preite, Marcelo; Otero, Carolina; Rivera-Zaldivar, Maria Macarena; Silva, Andres; Fuentes, Juan A.</t>
  </si>
  <si>
    <t>Physicochemical and Theoretical Characterization of a New Small Non-Metal Schiff Base with a Differential Antimicrobial Effect against Gram-Positive Bacteria</t>
  </si>
  <si>
    <t>Searching for adequate and effective compounds displaying antimicrobial activities, especially against Gram-positive bacteria, is an important research area due to the high hospitalization and mortality rates of these bacterial infections in both the human and veterinary fields. In this work, we explored (E)-4-amino-3-((3,5-di-tert-butyl-2-hydroxybenzylidene)amino) benzoic acid (SB-1, harboring an intramolecular hydrogen bond) and (E)-2-((4-nitrobenzilidene)amino)aniline (SB-2), two Schiff bases derivatives. Results demonstrated that SB-1 showed an antibacterial activity determined by the minimal inhibitory concentration (MIC) against Staphylococcus aureus, Enterococcus faecalis, and Bacillus cereus (Gram-positive bacteria involved in human and animal diseases such as skin infections, pneumonia, diarrheal syndrome, and urinary tract infections, among others), which was similar to that shown by the classical antibiotic chloramphenicol. By contrast, this compound showed no effect against Gram-negative bacteria (Klebsiella pneumoniae, Escherichia coli, and Salmonella enterica). Furthermore, we provide a comprehensive physicochemical and theoretical characterization of SB-1 (as well as several analyses for SB-2), including elemental analysis, ESMS, H-1 and C-13 NMR (assigned by 1D and 2D techniques), DEPT, UV-Vis, FTIR, and cyclic voltammetry. We also performed a computational study through the DFT theory level, including geometry optimization, TD-DFT, NBO, and global and local reactivity analyses.</t>
  </si>
  <si>
    <t>Martínez-Araya, Jorge/GMW-4102-2022; Gacitua, Manuel/R-8868-2019; Páez-Hernández, Dayán/AAJ-3317-2020; Carreno, Alexander/I-6374-2019; Preite, Marcelo/P-6281-2019; Morales-Guevara, Rosaly/LJL-1907-2024</t>
  </si>
  <si>
    <t>Otero, Carolina/0000-0002-8608-9813; Rivera Zaldivar, Maria Macarena/0000-0003-1439-6424; Fuentes, Juan A./0000-0002-9374-0707; araya, Eyleen/0000-0002-4486-384X; Carreno, Alexander/0000-0001-9733-8224; Morales-Guevara, Rosaly/0000-0002-1147-619X; Gacitua, Manuel/0000-0003-0807-2677; Paez-Hernandez, Dayan/0000-0002-8163-1343</t>
  </si>
  <si>
    <t>10.3390/ijms23052553</t>
  </si>
  <si>
    <t>WOS:000768060500001</t>
  </si>
  <si>
    <t>Espoz-Lazo, S; Huete, RR; Espoz-Lazo, P; Farías-Valenzuela, C; Valdivia-Moral, P</t>
  </si>
  <si>
    <t>Espoz-Lazo, Sebastian; Rodriguez Huete, Raquel; Espoz-Lazo, Pablo; Farias-Valenzuela, Claudio; Valdivia-Moral, Pedro</t>
  </si>
  <si>
    <t>Emotional Education for the Development of Primary and Secondary School Students Through Physical Education: Literature Review</t>
  </si>
  <si>
    <t>Emotions are embedded in the everyday life of every individual. In the same way their emotions are immersed in their cultural legacy, they are conditioned by behaviors that cannot be separated from an educational context. In this sense, physical education (PE) has been reported as a school subject that facilitates the emotional expression of primary and secondary school students. Thus, it seems to be important to understand how applied methodologies that enhance emotional education in this context help to develop students' skills regarding emotional management. In this context, 18 articles were selected from the Web of Science (WoS) under robust inclusion and exclusion criteria, which posteriorly were categorized and deeply analyzed. Results show that PE creates a favorable scenario for the expression of emotions. However, there is not sufficient evidence regarding emotional education methodologies that can be applied by PE teachers in their classes to improve primary and secondary students' management of emotions. It has been concluded that more proposals based on scientific evidence in this field are required.</t>
  </si>
  <si>
    <t>Espoz-Lazo, Sebastian/AAV-2358-2020; Valdivia-Moral, Pedro/J-7490-2013</t>
  </si>
  <si>
    <t>Farias Valenzuela, Claudio/0000-0002-4027-4415; Valdivia-Moral, Pedro/0000-0002-1905-3247; Espoz-Lazo, Sebastian/0000-0002-8513-4977</t>
  </si>
  <si>
    <t>10.3390/educsci10080192</t>
  </si>
  <si>
    <t>WOS:000564059500001</t>
  </si>
  <si>
    <t>Schwabe, R; Senges, CHR; Bandow, JE; Heine, T; Lehmann, H; Wiche, O; Schlömann, M; Levicán, G; Tischler, D</t>
  </si>
  <si>
    <t>Schwabe, Ringo; Senges, Christoph Helmut Rudi; Bandow, Julia Elisabeth; Heine, Thomas; Lehmann, Henry; Wiche, Oliver; Schloemann, Michael; Levican, Gloria; Tischler, Dirk</t>
  </si>
  <si>
    <t>Data on metal-chelating, -immobilisation and biosorption properties by Gordonia rubripertincta CWB2 in dependency on rare earth adaptation</t>
  </si>
  <si>
    <t>DATA IN BRIEF</t>
  </si>
  <si>
    <t>Recent studies have shown that the metal adaptation of Actinobacteria offers a rich source of metal inducible environmentally relevant bio-compounds and molecules. These interact through biosorption towards the unique cell walls or via metal chelating activity of metallophors with trace elements, heavy metals and even with lanthanides to overcome limitations and toxic concentrations. Herein, the purpose is to investigate the adaptation potential of Gordonia rubripertincta CWB2 in dependence of the rare earths and to determine if we can utilize promising metallophore metal affinities for metal separation from aquatic solutions. For details on data interpretation and applicability of siderophores we refer to the related article entitled Cultivation dependent formation of siderophores by Gordonia rubripertincta CWB2 [1]. The respective workflow comprises a metal adaptation method to demonstrate effects on bacterial growth, pH, metallophore production, and metabolic change. All this was evaluated by LC-MS/MS and effects on biosorption of rare earths was verified by ICP-MS. Furthermore, we were able to carry out batch metal adsorption and desorption studies of metallophores entrapped in inorganic polymers of tetramethoxysilane (TMOS) to determine metal chelating capacities and selective enrichment effects from model solutions. The adaptation potential of strain CWB2 at increased erbium and manganese concentrations was verified by increased chelating activity on agar plates, in liquid assays and demonstrated by the successful enrichment of erbium by metallophore-functionalized TMOS-polymers from an aquatic model solution. Furthermore, the number of detected compounds in dependency of rare earths differ in spectral counts and diversity compared to the wild type. Finally, the biosorption of rare earths for the selected adaptation was increased significantly up to 2-fold compared to the wild-type. Overall a holistic approach to metal stress was utilised, integrating a bacterial erbium adaptation, metal chelating, biosorption of lanthanides and immobilization as well as enrichment of metals using metallophore functionalized inorganic TMOS polymers for separation of metals from aquatic model solutions. (C) 2020 The Author(s). Published by Elsevier Inc.</t>
  </si>
  <si>
    <t>Levican, Gloria/R-5191-2019; Senges, Christoph/AAB-9150-2019; Heine, Thomas/CAG-9685-2022; Wiche, Oliver/JYP-6050-2024; Tischler, Dirk/H-9431-2013; Bandow, Julia/K-8854-2012</t>
  </si>
  <si>
    <t>Tischler, Dirk/0000-0002-6288-2403; Senges, Christoph/0000-0002-8069-8730; Wiche, Oliver/0000-0002-2081-0524; Heine, Thomas/0000-0002-7109-2788; Bandow, Julia/0000-0003-4100-8829</t>
  </si>
  <si>
    <t>2352-3409</t>
  </si>
  <si>
    <t>10.1016/j.dib.2020.105739</t>
  </si>
  <si>
    <t>WOS:000569217800005</t>
  </si>
  <si>
    <t>Valdés, C; Laurido, C; Morales, B; Jaimes, L; Vinet, R; Martínez, JL</t>
  </si>
  <si>
    <t>Valdes, Carlos; Laurido, Claudio; Morales, Bernardo; Jaimes, Luisauris; Vinet, Raul; Martinez, Jose L.</t>
  </si>
  <si>
    <t>Complete essential oils of Laurus nobilis inducing antinociceptive action by opioid mechanism in C-Reflex and spinal Wind-Up model in rat</t>
  </si>
  <si>
    <t>The essential oil of Laurus nobilis L. was used to test their antinociceptive efficacy. It was applied intraperitoneally (i.p.) to rats subjected to a nociception test (C reflex and spinal wind-up). The results showed that the essential oil applied at higher doses (0.06 mg/Kg) causes a complete abolition of the spinal wind-up, while the C reflex was unchanged, indicating a clear antinociceptive effect. At lower concentrations (0.012 mg/Kg), there was a lowering in the wind-up by 85% within ten minutes of the essential i.p. oil application. Interestingly, there was an effect of naloxone (0.08 mg/Kg i.p.) When applied, a change occurs that almost entirely reversed the antinociception caused by the essential oil from Laurus nobilis. We conclude that there is a significant antinociceptive effect of the essential oil of Laurus nobilis subjected to electric nociception. In addition, it was observed that naloxone reversed the antinociceptive effect (windup) produced by Laurus nobilis.</t>
  </si>
  <si>
    <t>Morales Castañeda, Bernardo/GPP-1642-2022</t>
  </si>
  <si>
    <t>, Editorial Universidad Santiago de Cali/0000-0001-8270-6426</t>
  </si>
  <si>
    <t>10.37360/blacpma.20.19.4.29</t>
  </si>
  <si>
    <t>WOS:000592117200008</t>
  </si>
  <si>
    <t>Peirano, C; Guerrero, L; Barahona, A; Montalvo, S; Huiliñir, C; Da Silva, C; Borja, R</t>
  </si>
  <si>
    <t>Peirano, Clio; Guerrero, Lorna; Barahona, Andrea; Montalvo, Silvio; Huilinir, Cesar; Da Silva, Cristopher; Borja, Rafael</t>
  </si>
  <si>
    <t>Assessment of simultaneous autotrophic-heterotrophic denitrification with high removal of nitrogen, sulfur and carbon: optimization through response surface methodology</t>
  </si>
  <si>
    <t>JOURNAL OF CHEMICAL TECHNOLOGY AND BIOTECHNOLOGY</t>
  </si>
  <si>
    <t>BACKGROUND Some liquid industrial wastes are rich in sulfur (S), nitrogen (N) and organic matter, causing eutrophication of lakes and rivers. These wastes also are highly toxic to aquatic organisms and pose serious health problems. Biological N removal is performed by denitrification. Heterotrophic denitrifiers oxidize organic matter to CO2 gas and reduce nitrate (NO3-) to N-2 gas, whereas autotrophic denitrifiers oxidize reduced S compounds by reducing nitrate. Thus, a simultaneous denitrification process will allow for the removal of all these elements. RESULTS A response surface methodology (RSM) was used to analyze the effects of the ratios heterotrophic:autotrophic bacteria (H:A, 0.2-1.9), the molar Ac-(Acetate):NO3- (0.2-1.05) and thiosulfate (S2O32-):NO3- (0.15-1.1) on the denitrification process. The highest concentrations of sulfate were obtained with H:A = 0.2; Ac-: NO3- = 1.05 and S2O32-:NO3- = 0.91. CONCLUSION High NO3- (average 95.0 +/- 3.3%) removals were obtained in all experiments, the optimal values predicted by the RSM were obtained at H:A = 0.54, Ac-:NO3- = 1.05 and S2O32-:NO3- = 0.41. When analyzing the removal of Ac-, the recommended optimal operating values were: Ac-:NO3- = 1.05; H:A = 0.37 and S2O32-:NO3- = 0.8-0.9. (c) 2019 Society of Chemical Industry</t>
  </si>
  <si>
    <t>Borja, Rafael/AAK-2746-2020; Huilinir, Cesar/IYS-6899-2023; Borja, Rafael/P-5314-2016</t>
  </si>
  <si>
    <t>Huilinir, Cesar/0000-0002-3487-684X; Borja, Rafael/0000-0002-3699-7223; Guerrero, Lorna/0000-0001-6123-4052; Da Silva Alvarez, Cristopher/0000-0001-9456-8024</t>
  </si>
  <si>
    <t>0268-2575</t>
  </si>
  <si>
    <t>1097-4660</t>
  </si>
  <si>
    <t>10.1002/jctb.6244</t>
  </si>
  <si>
    <t>NOV 2019</t>
  </si>
  <si>
    <t>WOS:000499643600001</t>
  </si>
  <si>
    <t>Sánchez, J; Espinosa, C; Tapiero, Y; Santiago-García, JL; Oyarzún, DP; Pizarro, GD</t>
  </si>
  <si>
    <t>Sanchez, Julio; Espinosa, Carolina; Tapiero, Yesid; Luis Santiago-Garcia, Jose; Oyarzun, Diego P.; Pizarro, Guadalupe del C.</t>
  </si>
  <si>
    <t>Modification of regenerated cellulose membranes with cationic polymer and its Cr(VI) retention capacity</t>
  </si>
  <si>
    <t>1st International Conference on Sustainable Water Processing</t>
  </si>
  <si>
    <t>SEP 11-14, 2016</t>
  </si>
  <si>
    <t>Sitges, SPAIN</t>
  </si>
  <si>
    <t>In this work, we report the modification of regenerated cellulose membranes through the in situ polymerization of [2-(acryloyloxy) ethyl] trimethylammonium chloride monomer and N,N'-methylenebis(acrylamide) cross-linker. The polymerization reaction was performed using 1% mol of ammonium persulfate as initiator, and varying both the monomer concentration (10-25 mmol/L) and the percentage of crosslinker (4 and 8 mol%). The degree of modification (DM) and water absorption capacity (WAC) at different pHs were calculated gravimetrically. These modified membranes were characterized by FTIR, SEM, TGA, electrokinetic potential and permeability. The Cr(VI) retention capacity of the modified membranes was evaluated at different pHs. The DM values were between 23.46% and 41.82%. The highest WAC was for the membrane prepared with 25 mmol/L of monomer and 4 mol% of crosslinker independent of the pH value. The FTIR characterization showed absorption bands confirming this membrane modification. The SEM analysis showed the morphological changes of the membranes by the presence of interpolymeric networks. TGA showed a typical thermogravimetric curve of the polymers that contain quaternary ammonium groups. Modified ultrafiltration membranes exhibited good thermal stability. Electrokinetic potential revealed that the modified membrane is cationic in a wide range of pH and permeability test showed that all the modified membranes decrease the volumetric flux. The results of Cr(VI) retention indicate that it is possible to remove this metal at different pHs (3, 6 and 9), highlighting the highest retention at pH 6, reaching a value of 94% when 20 mg/L of chromium (VI) was used in the feed.</t>
  </si>
  <si>
    <t>PIZARRO, GUADALUPE/V-3353-2017; Oyarzun, Diego/MTF-4062-2025; Isaza, Carolina/M-5990-2016; Sanchez, Julio/AEO-4360-2022</t>
  </si>
  <si>
    <t>10.1016/j.jwpe.2018.04.016</t>
  </si>
  <si>
    <t>WOS:000471238900030</t>
  </si>
  <si>
    <t>Türk, KK; Kaare, K; Kruusenberg, I; Merisalu, M; Joost, U; Matisen, L; Sammelselg, V; Zagal, JH; Tammeveski, K</t>
  </si>
  <si>
    <t>Turk, Karl-Kalev; Kaare, Katlin; Kruusenberg, Ivar; Merisalu, Maido; Joost, Urmas; Matisen, Leonard; Sammelselg, Vaino; Zagal, Jose H.; Tammeveski, Kaido</t>
  </si>
  <si>
    <t>Oxygen Electroreduction on Zinc and Dilithium Phthalocyanine Modified Multiwalled Carbon Nanotubes in Alkaline Media</t>
  </si>
  <si>
    <t>Dilithium and zinc phthalocyanine derived catalysts supported on multiwalled carbon nanotubes (MWCNTs) have been studied as non-precious metal catalysts for oxygen electroreduction. The electrocatalysts were prepared by simple pyrolysis by varying the pyrolysis temperature and metal phthalocyanine-to-MWCNT ratio. The surface morphology of the catalyst materials was characterized by scanning electron microscopy (SEM) and surface composition by X-ray photoelectron spectroscopy (XPS). The rotating disk electrode (RDE) method was used to determine the electrocatalytic activity of these materials in 0.1 M KOH solution. The oxygen reduction reaction (ORR) activities achieved are comparable to well-studied Fe and Co phthalocyanine based catalysts in alkaline media, showing the great potential of non-redox-active metal phthalocyanine-derived catalysts as cathode materials for metal-air batteries and fuel cells. The number of electrons transferred per O-2 molecule was determined by the Koutecky-Levich analysis, which indicated that at high negative potentials the ORR process followed a four-electron pathway. The O-2 reduction results obtained in this study show clearly the important role of non-redox-active metal ion in the formation of active sites for ORR on pyrolyzed and carbon supported Li and Zn metallomacrocyclic compounds. (C) 2017 The Electrochemical Society. All rights reserved.</t>
  </si>
  <si>
    <t>Tammeveski, Kaido/H-7789-2015; Sammelselg, Vaino/B-9794-2008; Matisen, Leonard/H-9135-2018; zagal, jose/L-9648-2014; Turk, Kazim/AAB-7513-2019; Kaare, Kätlin/AGJ-5546-2022</t>
  </si>
  <si>
    <t>Tammeveski, Kaido/0000-0002-4144-4471; Sammelselg, Vaino/0000-0002-3598-9184</t>
  </si>
  <si>
    <t>1945-7111</t>
  </si>
  <si>
    <t>H338</t>
  </si>
  <si>
    <t>H344</t>
  </si>
  <si>
    <t>10.1149/2.0821706jes</t>
  </si>
  <si>
    <t>WOS:000401607500124</t>
  </si>
  <si>
    <t>Pizarro, J; Rubio, MA; Ríos, E; Vila, I</t>
  </si>
  <si>
    <t>Pizarro, Jaime; Rubio, Maria A.; Rios, Elizabeth; Vila, Irma</t>
  </si>
  <si>
    <t>CONCENTRATION LEVEL OF MOLYBDENUM IN AQUATIC SYSTEMS</t>
  </si>
  <si>
    <t>FRESENIUS ENVIRONMENTAL BULLETIN</t>
  </si>
  <si>
    <t>This paper describes and analyses the information related to the concentration of molybdenum in natural waters. The importance of this element in these systems is related to its role as enzyme cofactor in the fixation of nitrogen in phytoplankton. In eutrophic lakes, it can be responsible for &gt;80% of the annual fixation of nitrogen. The concentration of Mo in natural waters is low; in rivers it is almost 10 times lower than in seawater but, in some cases, it can increase due to contamination from mining activities. In lakes and wetlands, depending on the trophic conditions, Mo concentration can vary greatly, from 0.003 nM to 312.7 nM. The concentration of Mo in superficial seawater is approximately 100 nM. In oxic water, MoO(4)(2-)concentration shows a conservative behavior, but when there is anoxic stratification, it can decrease gradually toward deep water due to the formation of MoS42-, a species that may sediment with particulate material of organic origin and/or Fe oxyhydroxides.</t>
  </si>
  <si>
    <t>Bajo, Maria/ABF-6991-2020</t>
  </si>
  <si>
    <t>1018-4619</t>
  </si>
  <si>
    <t>1610-2304</t>
  </si>
  <si>
    <t>1A</t>
  </si>
  <si>
    <t>WOS:000333570200001</t>
  </si>
  <si>
    <t>Herrera, B; Adura, C; Yutronic, N; Kogan, MJ; Jara, P</t>
  </si>
  <si>
    <t>Herrera, Barbara; Adura, Carolina; Yutronic, Nicolas; Kogan, Marcelo J.; Jara, Paul</t>
  </si>
  <si>
    <t>Selective nanodecoration of modified cyclodextrin crystals with gold nanorods</t>
  </si>
  <si>
    <t>JOURNAL OF COLLOID AND INTERFACE SCIENCE</t>
  </si>
  <si>
    <t>Gold nanorods (AuNRs) stabilized by cetyltrimethylammonium bromide (CTAB) were deposited onto crystals of alpha-cyclodextrin (alpha-CD) inclusion compounds (ICs) that contained octanethiol (OT) as guest molecules. The nanodecoration was produced specifically at the {001} crystal planes through interaction between the -SH groups of the ICs and the AuNRs. (C) 2012 Elsevier Inc. All rights reserved.</t>
  </si>
  <si>
    <t>Jara, Paul/ADD-5252-2022; kogan, Marcelo/I-2868-2013</t>
  </si>
  <si>
    <t>Kogan, Marcelo/0000-0003-0608-5087</t>
  </si>
  <si>
    <t>0021-9797</t>
  </si>
  <si>
    <t>10.1016/j.jcis.2012.08.027</t>
  </si>
  <si>
    <t>WOS:000310763900006</t>
  </si>
  <si>
    <t>Gonzalez, E; Pavez, J; Azocar, I; Zagal, JH; Zhou, X; Melo, F; Thompson, GE; Páez, MA</t>
  </si>
  <si>
    <t>Gonzalez, E.; Pavez, J.; Azocar, I.; Zagal, J. H.; Zhou, X.; Melo, F.; Thompson, G. E.; Paez, M. A.</t>
  </si>
  <si>
    <t>A silanol-based nanocomposite coating for protection of AA-2024 aluminium alloy</t>
  </si>
  <si>
    <t>A new hybrid sol-gel type film, composed of tetraethylorthosilicate (TEOS) and tetraocthylorthosilicate (TEOCS), and modified with different nanoparticle systems, has been investigated as a coating for protection of AA-2024-T3 aluminium alloy. The nanoparticle systems considered were either ZrO2 or CeO2 or their combination. The zirconia nanoparticles were prepared from a Zr (IV) propoxide sol (TPOZ), using an organic stabilizer, and the CeO2 nanoparticles were developed spontaneously after adding cerium nitrate solution to the hybrid sol. The chemical composition and the structure of the hybrid sol-gel films were examined by X-ray photoelectron spectroscopy (XPS), scanning electron microscopy (SEM) and atomic force microscopy (AFM). The corrosion resistance of the coated AA-2024 alloy was examined by potentiodynamic polarization. The results revealed that, for short exposure times in the electrolyte, incorporation of ZrO2 or CeO2 nanoparticles in the hybrid film does not provide an increase in the corrosion resistance of the coated AA-2024 alloy. Further, the resistance was significantly reduced by increasing the nanoparticle content. Conversely, by incorporating both nanoparticles (ZrO2 and CeO2), the corrosion resistance of the resulting hybrid films increased slightly. The behavior changed significantly when the coated alloy was exposed to the electrolyte for 5 days. The corrosion resistance of the coatings, unmodified and modified with CeO2 or ZrO2 nanoparticles, decreased by two or three orders of magnitude, while the film modified with both nanoparticles (CrO2 and ZrO2) showed a relatively high corrosion resistance and responsiveness to activation processes during anodic polarization. (C) 2011 Elsevier Ltd. All rights reserved.</t>
  </si>
  <si>
    <t>Pappas, Georgios/F-7194-2014; zagal, jose/L-9648-2014; Paez, Maritza/M-2010-2014; Melo, Francisco/M-3923-2014; Azocar, Manuel/I-1226-2013; Zhou, Xiaorong/M-3600-2014; PAVEZ, JORGE/K-6904-2014</t>
  </si>
  <si>
    <t>Azocar Guzman, Manuel/0000-0003-1098-4659; Zhou, Xiaorong/0000-0001-9943-3997; PAVEZ, JORGE/0000-0002-5100-6707; Melo, Francisco Esteban/0000-0001-6818-5476; paez, maritza/0000-0001-5881-884X; Gonzalez, Evelyn/0000-0002-5401-0322</t>
  </si>
  <si>
    <t>10.1016/j.electacta.2011.06.082</t>
  </si>
  <si>
    <t>WOS:000295303700023</t>
  </si>
  <si>
    <t>Jakubsky, V; Nieto, LM; Plyushchay, MS</t>
  </si>
  <si>
    <t>Jakubsky, Vit; Nieto, Luis-Miguel; Plyushchay, Mikhail S.</t>
  </si>
  <si>
    <t>Klein tunneling in carbon nanostructures: A free-particle dynamics in disguise</t>
  </si>
  <si>
    <t>The absence of backscattering in metallic nanotubes as well as perfect Klein tunneling in potential barriers in graphene are the prominent electronic characteristics of carbon nanostructures. We show that the phenomena can be explained by a peculiar supersymmetry generated by a first order Hamiltonian and zero-order supercharge operators. Like the supersymmetry associated with second order reflectionless finite-gap systems, it relates here the low-energy behavior of the charge carriers with the free-particle dynamics.</t>
  </si>
  <si>
    <t>Jakubsky, Vit/H-2972-2014; Nieto, Luis M./L-1692-2014</t>
  </si>
  <si>
    <t>Nieto, Luis M./0000-0002-2849-2647</t>
  </si>
  <si>
    <t>FEB 14</t>
  </si>
  <si>
    <t>10.1103/PhysRevD.83.047702</t>
  </si>
  <si>
    <t>WOS:000287369400006</t>
  </si>
  <si>
    <t>Milán, Z; Montalvo, S; de Las Pozas, C; Monroy, O; Sánchez, E; Borja, R</t>
  </si>
  <si>
    <t>Milan, Zhenia; Montalvo, Silvio; de Las Pozas, Carlos; Monroy, Oscar; Sanchez, Enrique; Borja, Rafael</t>
  </si>
  <si>
    <t>The effects of hydraulic loading and NaCl concentrations on the regeneration of exhausted homoionic natural zeolite</t>
  </si>
  <si>
    <t>A study of the suitable operational conditions for the regeneration of exhausted homoionic natural zeolite with ammonium was carried out. Laboratory-scale columns using NaCl solutions with concentrations of 2 and 4 mol/L and hydraulic loadings of 4, 6 and 8 bed volumes per hour (BV/h) were assessed. For both NaCl concentrations studied, the hydraulic load of 6 BV/h showed the highest ammonia nitrogen output from the exhausted zeolite bed. Results showed that the hydraulic load (BV/h) had a greater influence on the regeneration efficiency than the concentration of the regenerating solution.</t>
  </si>
  <si>
    <t>Sánchez-Solano, Enrique/ADS-2650-2022; Monroy-Hermosillo, Oscar/M-4720-2016; Borja, Rafael/P-5314-2016</t>
  </si>
  <si>
    <t>Borja, Rafael/0000-0002-3699-7223; Monroy, Oscar/0000-0003-0073-711X</t>
  </si>
  <si>
    <t>PII 936853992</t>
  </si>
  <si>
    <t>10.1080/10934529.2011.562840</t>
  </si>
  <si>
    <t>WOS:000290048600002</t>
  </si>
  <si>
    <t>Lissi, E; Biasutti, MA; Abuin, E; León, L</t>
  </si>
  <si>
    <t>Lissi, Eduardo; Alicia Biasutti, M.; Abuin, Elsa; Leon, Luis</t>
  </si>
  <si>
    <t>A fluorescence study of human serum albumin binding sites modification by hypochlorite</t>
  </si>
  <si>
    <t>JOURNAL OF PHOTOCHEMISTRY AND PHOTOBIOLOGY B-BIOLOGY</t>
  </si>
  <si>
    <t>A study has been made on the properties of human serum albumin (HSA) binding sites and how they are modified by pre-oxidation of the protein with hypochlorite. The oxidation extent was assessed from changes in the protein intrinsic fluorescence and production of carbonyl groups. HSA retains its solute binding capacity even after exposure to relatively large amounts of hypochlorite (up to 40 oxidant molecules per protein). From an analysis of the binding isotherms of dansyl sarcosine (DS) and dansyl-1-sulfonamide (DNSA) to native and hypochlorite treated albumin it is concluded that pre-oxidation of the protein reduces the number of active sites without affecting the binding capacity of the remaining binding sites. From DS and DNSA fluorescence anisotropy, Laurdan anisotropy and generalized polarization measurements, it is concluded that both Sites I and II in the native protein provide very rigid environments to the bound probes. These characteristics of the sites remain even after extensive treatment with hypochlorite. This stubbornness of HSA could allow the protein to maintain its function along its in vivo lifetime. (C) 2008 Elsevier B.V. All rights reserved.</t>
  </si>
  <si>
    <t>1011-1344</t>
  </si>
  <si>
    <t>FEB 9</t>
  </si>
  <si>
    <t>10.1016/j.jphotobiol.2008.10.007</t>
  </si>
  <si>
    <t>WOS:000263426400001</t>
  </si>
  <si>
    <t>Pinto, CF; Troncoso, AJ; Urzúa, A; Niemeyer, HM</t>
  </si>
  <si>
    <t>Pinto, Carlos F.; Troncoso, Alejandra J.; Urzua, Alejandro; Niemeyer, Hermann M.</t>
  </si>
  <si>
    <t>Aristolochic acids affect the feeding behaviour and development of Battus polydamas archidamas larvae (Lepidoptera: Papilionidae: Troidini)</t>
  </si>
  <si>
    <t>EUROPEAN JOURNAL OF ENTOMOLOGY</t>
  </si>
  <si>
    <t>The feeding behaviour of specialist butterflies may be affected by the mechanical and chemical characteristics of the tissues of their host-plants. Larvae of the butterfly, Battus polydamas archidamas feed only on Aristolochia chilensis, which contains aristolochic acids. We studied the oviposition pattern of adults and the foraging of larvae of B. polydamas archidamas over time in relation to variations in hardness of the substrate and concentration of aristolochic acids in different plant tissues. We further tested the effect of two artificial diets containing different concentrations of aristolochic acids on larval performance. B. polydamas archidamas oviposited mostly on young leaves and the larvae fed on this tissue until the second instar. Third instar larvae fed also on mature leaves and fourth and higher instars fed also on stems. Young leaves are softer and contain higher concentrations of aristolochic acids than mature leaves, and stems are both harder and contain a high concentration of aristolochic acids. Larvae reared on artificial diets containing a high concentration of aristolochic acids suffered less mortality and were heavier than those reared on a diet with a lower concentration of aristolochic acids, which suggests they are phagostimulatory. A strategy of host use regulated by aristolochic acid content and tissue hardness is discussed.</t>
  </si>
  <si>
    <t>Troncoso, Alejandra/B-9480-2008; Niemeyer, Hermann/I-1100-2013</t>
  </si>
  <si>
    <t>Pinto Navia, Carlos Fernando/0000-0003-0242-2269; Urzua, Alejandro/0000-0003-2638-0921; Niemeyer, Hermann/0000-0003-2273-1608</t>
  </si>
  <si>
    <t>1802-8829</t>
  </si>
  <si>
    <t>U132</t>
  </si>
  <si>
    <t>10.14411/eje.2009.044</t>
  </si>
  <si>
    <t>WOS:000268225200005</t>
  </si>
  <si>
    <t>Escrig, J; Daub, M; Landeros, P; Nielsch, K; Altbir, D</t>
  </si>
  <si>
    <t>Escrig, J.; Daub, M.; Landeros, P.; Nielsch, K.; Altbir, D.</t>
  </si>
  <si>
    <t>Angular dependence of coercivity in magnetic nanotubes</t>
  </si>
  <si>
    <t>The nucleation field for infinite magnetic nanotubes, in the case of a magnetic field applied parallel to the long axis of the tubes, is calculated as a function of their geometric parameters and compared with those produced inside the pores of anodic alumina membranes by atomic layer deposition. We also extended this result to the case of an angular dependence. We observed a transition from curling-mode rotation to coherent- mode rotation as a function of the angle in which the external magnetic field is applied. Finally, we observed that the internal radii of the tubes favors the magnetization curling reversal.</t>
  </si>
  <si>
    <t>Nielsch, Kornelius/S-3196-2016; Altbir, Dora/R-6781-2018; Escrig, Juan/N-4304-2015; Landeros, Pedro/B-4603-2012</t>
  </si>
  <si>
    <t>Nielsch, Kornelius/0000-0003-2271-7726; Altbir, Dora/0000-0002-2945-4909; Escrig, Juan/0000-0002-3958-8185; Landeros, Pedro/0000-0002-0927-1419</t>
  </si>
  <si>
    <t>NOV 7</t>
  </si>
  <si>
    <t>10.1088/0957-4484/18/44/445706</t>
  </si>
  <si>
    <t>WOS:000250138500026</t>
  </si>
  <si>
    <t>Varas, A; Cornejo, MD; Mainemer, D; Toledo, B; Rogan, J; Muñoz, V; Valdivia, JA</t>
  </si>
  <si>
    <t>Varas, A.; Cornejo, M. D.; Mainemer, D.; Toledo, B.; Rogan, J.; Munoz, V.; Valdivia, J. A.</t>
  </si>
  <si>
    <t>Cellular automaton model for evacuation process with obstacles</t>
  </si>
  <si>
    <t>PHYSICA A-STATISTICAL MECHANICS AND ITS APPLICATIONS</t>
  </si>
  <si>
    <t>A bidimensional cellular automaton model is used to simulate the process of evacuation of pedestrians in a room with fixed obstacles. A floor field is defined so that moving to a cell with lower floor field means approaching an exit door. The model becomes non-deterministic by introducing a panic parameter, given by a probability of not moving, and by a random choice to resolve conflicts in the update of pedestrian positions. Two types of exit doors are considered: single (where only one person can pass) and double (two persons can pass simultaneously). For a double door, the longest evacuation time turns out to occur for a very traditional location of the door. The optimum door position is determined. Replacing the double door by two single doors does not improve evacuation times noticeably. On the other hand, for a room without obstacles, a simple scaling law is proposed to model the dependence of evacuation time with the number of persons and exit width. This model fails when obstacles are present, as their presence introduces local bottlenecks whose effect outweighs the benefits of increasing door width beyond a certain threshold. (C) 2007 Elsevier BN. All rights reserved.</t>
  </si>
  <si>
    <t>Cornejo-Rodriguez, Maria del Pilar/AAY-4886-2021; Varas, Alejandro/M-2046-2018; Munoz, Victor/A-2255-2008; Toledo, Benjamin/HZH-2787-2023; Valdivia, Juan/A-3631-2008; Rogan, José/B-8819-2008; Toledo, Benjamin/A-1136-2008</t>
  </si>
  <si>
    <t>Valdivia, Juan Alejandro/0000-0003-3381-9904; Toledo, Benjamin/0000-0001-5928-2290; Varas Barboza, Alejandro Javier/0009-0000-6026-8365; Munoz, Victor/0000-0003-1746-4875; Rogan, Jose/0000-0003-1080-2739</t>
  </si>
  <si>
    <t>0378-4371</t>
  </si>
  <si>
    <t>1873-2119</t>
  </si>
  <si>
    <t>10.1016/j.physa.2007.04.006</t>
  </si>
  <si>
    <t>WOS:000248198800026</t>
  </si>
  <si>
    <t>Lundvall, O; Gulppi, M; Paez, MA; Gonzalez, E; Zagal, JH; Pavez, J; Thompson, GE</t>
  </si>
  <si>
    <t>Lundvall, O.; Gulppi, M.; Paez, M. A.; Gonzalez, E.; Zagal, J. H.; Pavez, J.; Thompson, G. E.</t>
  </si>
  <si>
    <t>Copper modified chitosan for protection of AA-2024</t>
  </si>
  <si>
    <t>SURFACE &amp; COATINGS TECHNOLOGY</t>
  </si>
  <si>
    <t>The aim of this study is to examine chitosan, which is a good film former, as a corrosion protective coating for AA-2024-T3 aluminium alloy. The aluminium samples were first anodized to increase adhesion of the subsequently dip coated film from a chitosan-acetic acid solution. To further increase the protective ability of the chitosan coating, the coated samples were immersed in a copper ion solution for 24 h. The copper salts used were sulphate and acetate. The chitosan membranes exposed to copper ion solutions revealed a reduced permeability in comparison with the unexposed samples, and an increase in stability in aqueous solutions, as revealed by a steady state and a high open circuit potential in borax solution. From UV-Vis spectroscopic measurement of the film on ITO glasses, the reduction in permeability of the chitosan film modified by copper ions appears to be associated with copper cross linking within the chitosan structure. (c) 2006 Elsevier B.V. All rights reserved.</t>
  </si>
  <si>
    <t>zagal, jose/L-9648-2014; Pappas, Georgios/F-7194-2014; Gulppi, Miguel/KTA-6210-2024; Paez, Maritza/M-2010-2014; PAVEZ, JORGE/K-6904-2014</t>
  </si>
  <si>
    <t>Gulppi, Miguel/0000-0001-6099-4463; Gonzalez, Evelyn/0000-0002-5401-0322; PAVEZ, JORGE/0000-0002-5100-6707; paez, maritza/0000-0001-5881-884X</t>
  </si>
  <si>
    <t>0257-8972</t>
  </si>
  <si>
    <t>MAR 5</t>
  </si>
  <si>
    <t>10.1016/j.surfcoat.2006.11.005</t>
  </si>
  <si>
    <t>WOS:000244578100034</t>
  </si>
  <si>
    <t>Torres, R; Faini, F; Modak, B; Urbina, F; Labbé, C; Guerrero, J</t>
  </si>
  <si>
    <t>Torres, Rene; Faini, Francesca; Modak, Brenda; Urbina, Francisco; Labbe, Cecilia; Guerrero, Juan</t>
  </si>
  <si>
    <t>Antioxidant activity of coumarins and flavonols from the resinous exudate of Haplopappus multifolius</t>
  </si>
  <si>
    <t>PHYTOCHEMISTRY</t>
  </si>
  <si>
    <t>The antioxidant activity of eight coumarins and two flavonols isolated from Haplopappus multifolius was studied with the DPPH radical method. Results show that a high concentration of phenolic coumarins and the presence of quercetin and rhamnetin in the exudates could account for the protection of the plant against oxidative stress. Structures for the coumarins 6-hydroxy-7-[(EE)-3',7'-dimethyl-2',4',7'-octatrienyloxy] coumarin and 7-[(E)-3'-methyl-4'-hydroxy-2'-butenyloxy] coumarin are proposed on the basis of spectroscopic evidence. (c) 2006 Elsevier Ltd. All rights reserved.</t>
  </si>
  <si>
    <t>0031-9422</t>
  </si>
  <si>
    <t>10.1016/j.phytochem.2006.03.016</t>
  </si>
  <si>
    <t>WOS:000238456200006</t>
  </si>
  <si>
    <t>Combina, M; Mercado, L; Borgo, P; Elia, A; Jofré, V; Ganga, A; Martinez, C; Catania, C</t>
  </si>
  <si>
    <t>Yeasts associated to Malbec grape berries from Mendoza, Argentina</t>
  </si>
  <si>
    <t>Aims: The aims of this work were to evaluate different pre-isolation treatments applied to complete yeast extraction from grapes and to identify the yeast microflora associated to Malbec grapes from two vineyards located in Mendoza, Argentina. Methods and Results: The pre-isolation treatments evaluated were shaking, jet streaming with pressurized water and grape blending. The overall results clearly indicated that when a more vigorous and disruptive pre-isolation treatment was applied; larger numbers of yeast species were recovered. The yeast population on healthy and ripe Malbec grapes was in the order of 10(5)-10(6) CFU g(-1). Eight different yeast species were isolated from berries, including Kloeckera apiculata, Metschnikowia pulcherrima, Pichia membranifaciens, Saccharomycodes ludwigii, Candida species (Candida stellata and Candida raghi), Issatchenkia orientalis and Rhodotorula spp. Conclusions: Grape blending gave the highest yeast counts. Rainfall near grape harvest time quantitatively and qualitatively modifies the yeast microflora. The yeast species identified on ripe grapes from the Mendoza region, partially match those previously documented in different parts of the world related. S. ludwigii has not been previously reported in grapes. Significance and Impact of the Study: The report is on yeast microbiota in grapes from Mendoza, Argentina. Saccharomycodes ludwigii was found in high percentage (17%), this species has not been described before on grapes surface. The importance of pre-isolation steps to the recovery of high number of yeasts was shown. Influence of climatic conditions near harvest time on microflora was confirmed.</t>
  </si>
  <si>
    <t>Martinez, Claudio/MGS-9961-2025; Ganga, Maria/S-8176-2019</t>
  </si>
  <si>
    <t>Martinez, Claudio/0000-0001-8564-9287</t>
  </si>
  <si>
    <t>10.1111/j.1365-2672.2005.02540.x</t>
  </si>
  <si>
    <t>WOS:000228292100006</t>
  </si>
  <si>
    <t>Sepulveda, W; Alcalde, JL; Schnapp, C; Bravo, M</t>
  </si>
  <si>
    <t>Perinatal outcome after prenatal diagnosis of placental chorioangioma</t>
  </si>
  <si>
    <t>OBSTETRICS AND GYNECOLOGY</t>
  </si>
  <si>
    <t>OBJECTIVE: To review the prenatal complications, management, and perinatal outcome in pregnancies complicated by placental chorioangioma. METHODS: Cases of placental chorioangioma diagnosed prenatally as part of a prospective, multicentric program for fetal diagnosis and therapy were identified. All cases were evaluated with color flow imaging. In the latter part of the study, three-dimensional power Doppler angiography was also used to study the vascular pattern of the tumor. Information on maternal demographics, prenatal sonographic findings, pregnancy complications, antenatal intervention, and perinatal outcome was obtained by reviewing the medical records or contacting the referring obstetricians. RESULTS: In the 5-year period from January 1997 to December 2001, 11 cases of placental chorioangioma were diagnosed prenatally. Nine cases were diagnosed in singleton and two in twin pregnancies. Among the nine cases occurring in singletons, five (56%) were associated with pregnancy complications, including polyhydramnios (n = 3), oligohydramnios (n = 2), fetal growth restriction (n = 2), and nonimmune hydrops (n = 1). Amniodrainage was required in one of these cases, allowing prolongation of pregnancy until term. Four (44%) singletons delivered before 35 weeks. Overall, two fetuses died, including one twin due to complications of twin-twin transfusion syndrome and another with hydrops after alcohol injection into the chorioangioma. In four pregnancies, no prenatal complications were detected in spite of continuous growth and vascularity of the placental mass in three of them. CONCLUSION: Placental chorioangioma is associated with an increased risk of pregnancy complications, the most common being polyhydramnios and preterm delivery. In selected cases, amniodrainage allows continuation of the pregnancy with improving perinatal outcome. Fetuses who develop hydrops are at the highest risk for perinatal death, with limited therapeutic options being available. Close follow-up is advised, even in those cases with no associated findings at the time of the diagnosis. (C) 2003 by The American College of Obstetricians and Gynecologists.</t>
  </si>
  <si>
    <t>Lopez-Alcalde, Jesus/O-6052-2018</t>
  </si>
  <si>
    <t>0029-7844</t>
  </si>
  <si>
    <t>10.1016/S0029-7844(03)00859-7</t>
  </si>
  <si>
    <t>WOS:000186294400025</t>
  </si>
  <si>
    <t>Barticevic, Z; Vargas, P; Pacheco, M; Altbir, D</t>
  </si>
  <si>
    <t>Perturbation potential produced by a monolayer of InAs on GaAs(100)</t>
  </si>
  <si>
    <t>We present ab initio calculations, using the linear muffin-tin orbital tight-binding method, for the potential of an InAs (001) monolayer embedded in a GasAs matrix. This potential is compared with the one of bulk GasAs and the differences are described as an affective potential which arises from electronic charge density redistribution due to the inclusion of the InAs layer. The charge redistribution produces a potential well in the position of the In plane, surrounded by two barriers originated in charge transfer to the neighboring As planes. The effective potential is short ranged, and is confined to 15 A around the In plane. The effect of relaxation at the interface is also investigated. The calculated potential has been used, within the effective mass approximation, to calculate the excitonic spectrum of a GaAs/InAs(ML)/GaAs heterostructure in the presence of an external magnetic field.</t>
  </si>
  <si>
    <t>Vargas, Patricio/AAL-2633-2020; Pacheco, Monica/AAG-8440-2019; Pacheco, Monica/L-9669-2014; Altbir, Dora/R-6781-2018</t>
  </si>
  <si>
    <t>vargas, patricio/0000-0001-9235-9747; Pacheco, Monica/0000-0002-4293-5213; Altbir, Dora/0000-0002-2945-4909</t>
  </si>
  <si>
    <t>OCT 15</t>
  </si>
  <si>
    <t>10.1103/PhysRevB.68.155306</t>
  </si>
  <si>
    <t>WOS:000186422600066</t>
  </si>
  <si>
    <t>Pino, E; Campos, AM; Lissi, E</t>
  </si>
  <si>
    <t>Changes in pyranine absorption and emission spectra arising from its complexation to 2,2′-azo-bis(2-amidinopropane)</t>
  </si>
  <si>
    <t>2,2'-Azo-bis(2-amidinopropane) dihydrochlorid (AAPH) is probably the most extensively employed water soluble free radical source. In the present work, we show that it readily forms a 1: 1 complex with pyranine. The complex present a red shifted absorption spectra and a reduced fluorescence yield, without significant changes in the fluorescence band shape. These changes are associated to a decreased value of the phenolyc pK(a) in the complex. Time resolved fluorescence measurements reported a short lived component (due to the complexed pyranine) and a long lived component, due to free pyranine, whose lifetime decreases when AAPH concentration increases. The complex formation was quantitatively evaluated from the changes elicited in the absorption spectra. The formation of this complex is extremely dependent of the medium ionic strength. In 10 mM phosphate buffer, pH 7.0, the association constant of the process Py4- + AAPH(2+) --&gt; (complex)(-2) is 730 +/- 70 M-1. (C) 2002 Elsevier Science B.V. All rights reserved.</t>
  </si>
  <si>
    <t>Campos Staffico, Alessandra/IOK-4172-2023</t>
  </si>
  <si>
    <t>Pino, Eduardo Francisco/0000-0002-7851-3952</t>
  </si>
  <si>
    <t>FEB 20</t>
  </si>
  <si>
    <t>PII S1010-6030(02)00356-8</t>
  </si>
  <si>
    <t>10.1016/S1010-6030(02)00356-8</t>
  </si>
  <si>
    <t>WOS:000181246300008</t>
  </si>
  <si>
    <t>Vargas, P; Muñoz, E; Rodriguez, L</t>
  </si>
  <si>
    <t>Second virial coefficient for the Lennard-Jones potential</t>
  </si>
  <si>
    <t>PHYSICA A</t>
  </si>
  <si>
    <t>The second virial coefficient for the (12-6) Lennard-Jones potential and its first and second temperature derivatives are explicitely derived. All coefficients can be explicitly written as a linear combination of four modified Bessel functions which can be evaluated for every temperature with high degree of numerical accuracy. Detailed comparisons with the classical series expansion for the coefficient and its temperature derivatives are made. The use Df these analytical, simple and closed formulae can be very valuable when using experimental p-V-T data to fit a Lennard-Jones potential. (C) 2001 Elsevier Science B.V. All rights reserved.</t>
  </si>
  <si>
    <t>Vargas, Patricio/AAL-2633-2020; Munoz, Enrique/D-7237-2013</t>
  </si>
  <si>
    <t>Munoz, Enrique/0000-0003-4457-0817; vargas, patricio/0000-0001-9235-9747</t>
  </si>
  <si>
    <t>10.1016/S0378-4371(00)00362-9</t>
  </si>
  <si>
    <t>WOS:000166438000008</t>
  </si>
  <si>
    <t>Acuñna, G; Cubillos, F; Thibault, J; Latrille, E</t>
  </si>
  <si>
    <t>Comparison of methods for training grey-box neural network models</t>
  </si>
  <si>
    <t>COMPUTERS &amp; CHEMICAL ENGINEERING</t>
  </si>
  <si>
    <t>European Symposium on Computer Aided Process Engineering-9 (Escape-9)</t>
  </si>
  <si>
    <t>MAY-JUN -, 1999</t>
  </si>
  <si>
    <t>BUDAPEST, HUNGARY</t>
  </si>
  <si>
    <t>Due to its inherent plasticity, neural network models are well suited to represent complex functions such as those encountered in bioprocesses. In this paper, neural networks were used to model kinetic rate expressions that form an integral part of a grey-box model. A grey-box model normally consists of a phenomenological part (differential equations of heat and/or mass balances) and an empirical part (a neural network in this paper). The objective of this investigation is to compare three different methods to come up with the same neural network to represent two kinetic rate expressions that are used directly in the grey-box model. In one method (the direct method), the model is fitted directly on data obtained from the derivative of smoothed state variables whereas the other two methods (indirect methods) use a non-linear regression algorithm to fit the complete grey-box; model, in order to derive specific kinetic rate expressions that minimise an objective function made of some measured state variables. Results clearly show that indirect methods are superior to direct methods for the prediction of state variables. However, the derived kinetic rate models are not unique.</t>
  </si>
  <si>
    <t>CUBILLOS, FRANCISCO/0000-0001-7863-4394; Acuna Leiva, Gonzalo Pedro/0000-0002-0519-7792</t>
  </si>
  <si>
    <t>0098-1354</t>
  </si>
  <si>
    <t>S561</t>
  </si>
  <si>
    <t>S564</t>
  </si>
  <si>
    <t>10.1016/S0098-1354(99)80138-0</t>
  </si>
  <si>
    <t>WOS:000167562300138</t>
  </si>
  <si>
    <t>Reina, M; Gonzalez-Coloma, A; Gutierrez, C; Cabrera, R; Henriquez, J; Villarroel, L</t>
  </si>
  <si>
    <t>Pyrrolizidine alkaloids from Heliotropium megalanthum</t>
  </si>
  <si>
    <t>Two pyrrolizidine alkaloids, megalanthonine (1) and lycopsamine (2), have been isolated from Heliotropium megalanthum. The structure of the novel compound 1 was determined by spectroscopic methods. The insecticidal, antifeedant, and antifungal effects of compounds 1 and 2 have been evaluated.</t>
  </si>
  <si>
    <t>; Cabrera, Raimundo/H-9339-2015; GONZALEZ-COLOMA, AZUCENA/G-8781-2015</t>
  </si>
  <si>
    <t>Gutierrez, Carmen/0000-0001-5829-6906; Cabrera, Raimundo/0000-0002-9512-7754; GONZALEZ-COLOMA, AZUCENA/0000-0001-5124-664X</t>
  </si>
  <si>
    <t>1520-6025</t>
  </si>
  <si>
    <t>10.1021/np980175a</t>
  </si>
  <si>
    <t>WOS:000077358200026</t>
  </si>
  <si>
    <t>Díaz-Aburto, I; Colet-Lagrille, M; Fuentes, I; Herrera-Maldonado, M; García, PD; Tasca, F; Zagal, JH</t>
  </si>
  <si>
    <t>Diaz-Aburto, Isaac; Colet-Lagrille, Melanie; Fuentes, Ismael; Herrera-Maldonado, Maria; Garcia, Pablo Donoso; Tasca, Federico; Zagal, Jose H.</t>
  </si>
  <si>
    <t>Fuel flexible SOFC with a Mo-doped CeO2/YSZ mesoporous anode fabricated by the evaporation induced self-assembly (EISA) method</t>
  </si>
  <si>
    <t>JOURNAL OF POWER SOURCES</t>
  </si>
  <si>
    <t>The design and extension of the triple phase boundary (TPB) in fuel cell electrodes play a key role in electric power generation, TPB enhancement can be achieved by direct growth of mesoporous anode structures on the electrolyte of a SOFC. In this study, we present a novel approach to enhance the performance of solid oxide fuel cells (SOFCs) by designing and extending the TPB through direct growth of mesoporous anode structures on the electrolyte. Mesoporous Mo-doped CeO2/YSZ anodes were successfully grown directly on a commercial YSZ substrate via the EISA method. These anodes exhibited remarkable stability over 60 h of testing when fueled with H2 or syngas, highlighting their fuel-flexibility. Our results show that these SOFCs achieved their highest power densities when fueled with H2, achieving a remarkable 135 % increase in electrical power density compared to previously reported values for the same anode material without microstructure control. Moreover, compared to SOFCs with mesoporous nanoparticles-based anodes, the EISA approach resulted in a 74 % higher electrical power density. Although this method improves the performance of the SOFC, there is evidence of an increase in its polarization resistance attributed to mass transport limitations through the mesoporous structure.</t>
  </si>
  <si>
    <t>Donosoga, Pablo/HZI-2632-2023; Tasca, Federico/J-4134-2015; Colet-Lagrille, Melanie/I-4802-2013; zagal, jose/L-9648-2014; DIAZ-ABURTO, ISAAC/AAN-4170-2021</t>
  </si>
  <si>
    <t>Donoso Garcia, Pablo/0000-0001-9839-8691; Tasca, Federico/0000-0002-4111-4624; DIAZ-ABURTO, ISAAC/0000-0002-4850-1125; Fuentes Pereira, Ismael/0009-0000-9016-6976</t>
  </si>
  <si>
    <t>0378-7753</t>
  </si>
  <si>
    <t>1873-2755</t>
  </si>
  <si>
    <t>NOV 30</t>
  </si>
  <si>
    <t>10.1016/j.jpowsour.2024.235295</t>
  </si>
  <si>
    <t>WOS:001303061400001</t>
  </si>
  <si>
    <t>Barrientos-Herrera, A; Cruz, C; Cañón-Mancisidor, W; Gutiérrez-Cutiño, M; Páez-Hernández, D; Hermosilla-Ibáñez, P; Paredes-García, V; Venegas-Yazigi, D</t>
  </si>
  <si>
    <t>Barrientos-Herrera, Andres; Cruz, Carlos; Canon-Mancisidor, Walter; Gutierrez-Cutino, Marlen; Paez-Hernandez, Dayan; Hermosilla-Ibanez, Patricio; Paredes-Garcia, Veronica; Venegas-Yazigi, Diego</t>
  </si>
  <si>
    <t>Innocent or Noninnocent Interactions of the Cations on Spin-Frustrated Lindqvist Hexavanadate: Structural Analysis and Magnetic Properties</t>
  </si>
  <si>
    <t>CRYSTAL GROWTH &amp; DESIGN</t>
  </si>
  <si>
    <t>We report the effect of the countercations in three crystalline networks based on a mixed-valence hexavanadate fragment containing 3 V-IV and 3 V-V centers and functionalized with three molecules of tris(hydroxymethyl)aminomethane, giving the polyanion [(V3V3O10)-V-IV-O-IV{(OCH2)(3)CNH2}(3)](2-). The mixed-valence hexavanadate is crystallized using three different cations, obtaining [H3O](2)[(V3V3O10)-V-IV-O-IV{(OCH2)(3)CNH2}(3)]6H(2)O, 1, Na-2[(V3V3O10)-V-IV-O-IV{(OCH2)(3)CNH2}(3)]9H(2)O, 2, and [n-Bu4N](2)[(V3V3O10)-V-IV-O-IV{(OCH2)(3)CNH2}(3)](H2O)(DMF), 3. The structural characterization shows that 1-3 present perfect equilateral arrangements of the paramagnetic triangles of V-IV, thus showing structural spin frustration. The supramolecular interaction modulates the studied magnetic properties depending on the size and distribution of the cations around the hexavanadate fragment. Theoretical calculations demonstrated that the three studied compounds present the ground state doublets degenerated. Compound 3 shows a plateau below 16 K in the chi T-m(T) plot, showing the S = 1/2 ground state due to the antiferromagnetic interactions in the triangle, whereas in compounds 1 and 2, the plateau is absent and the chi T-m product decreases near zero at 2 K. In 1 and 2, the magnetic moment decreases at low temperatures due to antiferromagnetic interactions of the spin triangles in the tetrahedral supramolecular arrangement.</t>
  </si>
  <si>
    <t>Cruz, Carlos/KIG-8993-2024; Páez-Hernández, Dayán/AAJ-3317-2020; Paredes-Garcia, Veronica/C-4415-2011; Hermosilla-Ibanez, Patricio/Y-7454-2018; Canon-Mancisidor, Walter/K-8764-2014; Venegas-Yazigi, Diego/C-5022-2009</t>
  </si>
  <si>
    <t>Hermosilla-Ibanez, Patricio/0000-0002-2272-9690; Canon-Mancisidor, Walter/0000-0003-1703-8729; Cruz Herrera, Carlos/0000-0002-2644-4297; Venegas-Yazigi, Diego/0000-0001-7816-2841</t>
  </si>
  <si>
    <t>1528-7483</t>
  </si>
  <si>
    <t>1528-7505</t>
  </si>
  <si>
    <t>JUN 21</t>
  </si>
  <si>
    <t>10.1021/acs.cgd.4c00445</t>
  </si>
  <si>
    <t>JUN 2024</t>
  </si>
  <si>
    <t>WOS:001252891600001</t>
  </si>
  <si>
    <t>Hinojosa-Torres, C; Espoz-Lazo, S; Reyes-Contreras, V; Duclos-Bastías, D; Hurtado-Guerrero, M; Zavala-Crichton, JP; Yánez-Sepúlveda, R</t>
  </si>
  <si>
    <t>Hinojosa-Torres, Claudio; Espoz-Lazo, Sebastian; Reyes-Contreras, Victor; Duclos-Bastias, Daniel; Hurtado-Guerrero, Macarena; Zavala-Crichton, Juan Pablo; Yanez-Sepulveda, Rodrigo</t>
  </si>
  <si>
    <t>Orientations of professional practices in physical education teacher education: a scoping review</t>
  </si>
  <si>
    <t>Background: In response to the demands for improvement in teacher education, professional practices have emerged as a fundamental component for integrating theory with practice in the preparation of future teachers. However, it is crucial to understand the orientations and functions inherent to these practices in physical education teacher education. Objective: To identify the orientations and functions of professional practices in physical education teacher education. Method: A scoping review of articles published between 2003 and 2023 in relevant databases such as Wos, Scopus, Scielo, Sportdiscus, ERIC and Dialnet was conducted. The review followed the PRISMA-ScR statement. Results: 33 relevant papers were identified and categorized into six main themes: teaching competencies, teacher self -efficacy and confidence, reflection and critical thinking, integration of theory and practice, impact on professional identity, and mentoring and supervision in internships. Conclusions: Professional internships stand out as fundamental spaces for the development of competencies in future physical education teachers. Specifically, it was observed that these internships facilitate the comprehensive development of students by providing them with opportunities to apply theory in real teaching contexts. In addition, influential administrative aspects related to the planning and monitoring of internships were identified.</t>
  </si>
  <si>
    <t>Yañez, Rodrigo/HFZ-9707-2022; Espoz-Lazo, Sebastian/AAV-2358-2020; Zavala, Juan/J-4625-2016</t>
  </si>
  <si>
    <t>WOS:001235947100001</t>
  </si>
  <si>
    <t>Serrano-Lotina, A; Portela, R; Baeza, P; Alcolea-Rodriguez, V; Villarroel, M; Avila, P</t>
  </si>
  <si>
    <t>Serrano-Lotina, A.; Portela, R.; Baeza, P.; Alcolea-Rodriguez, V.; Villarroel, M.; Avila, P.</t>
  </si>
  <si>
    <t>Zeta potential as a tool for functional materials development?</t>
  </si>
  <si>
    <t>CATALYSIS TODAY</t>
  </si>
  <si>
    <t>The importance of the isoelectric point for the preparation and characterization of functional materials to understand their behavior and optimize their performance is highlighted, with especial focus on industrial catalysts. In different liquid-phase steps involved in materials synthesis, the knowledge of the surface charge as a function of the pH of the medium is fundamental, since it is the dynamizing agent of processes such as gelation, peptization, coagulation and agglomeration to form solid particles. Therefore, zeta potential (&amp; zeta;) measurements, often based on electrophoretic migration techniques, are a powerful source of information. The basic principles are introduced to explain through relevant examples the possibilities for materials design. Regarding materials preparation, the measurement of the zeta potential to control the synthesis and coating of supports is reviewed, with special attention to shaped supports. Aspects as the influence of the binders on the supports properties depending on their mutual interaction are analyzed, with example systems based on TiO2 or Al2O3 and natural silicates such as sepiolite. Also, how the knowledge of &amp; zeta; as a function of pH allows, by choosing the appropriate pH, the preferential impregnation of noble metals on porous supports, as well as the washcoating of dense ceramic monoliths with porous supports. Special attention has been paid to surfaces characterization based on the use of zeta potential measurements to estimate the formation and relative location of species, the apparent surface coverage, or the adsorption and reactivity, to establish synthesis strategies to achieve specific properties.</t>
  </si>
  <si>
    <t>Avila, Pedro/JGM-4674-2023; Serrano-Lotina, Ana/E-8959-2012; Portela, Raquel/K-5858-2014</t>
  </si>
  <si>
    <t>Baeza Chandia, Patricio/0000-0003-1613-2860; Serrano-Lotina, Ana/0000-0001-7498-7491; Alcolea-Rodriguez, Victor/0000-0002-2392-0817; Portela, Raquel/0000-0002-1882-4759</t>
  </si>
  <si>
    <t>0920-5861</t>
  </si>
  <si>
    <t>1873-4308</t>
  </si>
  <si>
    <t>NOV 1</t>
  </si>
  <si>
    <t>10.1016/j.cattod.2022.08.004</t>
  </si>
  <si>
    <t>WOS:001063534400001</t>
  </si>
  <si>
    <t>González, GA; Fritz, RA; Colón, YJ; Herrera, F</t>
  </si>
  <si>
    <t>Gonzalez, Gaston A.; Fritz, Ruben A.; Colon, Yamil J.; Herrera, Felipe</t>
  </si>
  <si>
    <t>Model reduction for molecular diffusion in nanoporous media</t>
  </si>
  <si>
    <t>Porous materials are widely used for applications in gas storage and separation. The diffusive properties of a variety of gases in porous media can be modeled using molecular dynamics simulations that can be computationally demanding depending on the pore geometry, complexity, and amount of gas adsorbed. We explore a dimensionality reduction approach for estimating the self-diffusion coefficient of gases in simple pores using Langevin dynamics, such that the three-dimensional (3D) atomistic interactions that determine the diffusion properties of realistic systems can be reduced to an effective one-dimensional (1D) diffusion problem along the pore axis. We demonstrate the approach by modeling the transport of nitrogen molecules in single-walled carbon nanotubes of different radii, showing that 1D Langevin models can be parametrized with a few single-particle 3D atomistic simulations. The reduced 1D model predicts accurate diffusion coefficients over a broad range of temperatures and gas densities. Our work paves the way for studying the diffusion process of more general porous materials such as zeolites or metal-organics frameworks with effective models of reduced complexity.</t>
  </si>
  <si>
    <t>Herrera, Felipe/KHD-8453-2024</t>
  </si>
  <si>
    <t>Gonzalez Teruel, Gaston Antonio/0000-0002-4650-0137; Fritz Fritz, Ruben Alejandro/0000-0002-6691-4740</t>
  </si>
  <si>
    <t>MAR 21</t>
  </si>
  <si>
    <t>10.1103/PhysRevMaterials.7.036001</t>
  </si>
  <si>
    <t>WOS:000957708700001</t>
  </si>
  <si>
    <t>Valentova, JV; Fernandez, AM; Pereira, M; Varella, MAC</t>
  </si>
  <si>
    <t>Varella Valentova, Jaroslava; Maria Fernandez, Ana; Pereira, Marco; Correa Varella, Marco Antonio</t>
  </si>
  <si>
    <t>Jealousy Is Influenced by Sex of the Individual, Their Partner, and Their Rival</t>
  </si>
  <si>
    <t>ARCHIVES OF SEXUAL BEHAVIOR</t>
  </si>
  <si>
    <t>Jealousy is an affective state activated by a perceived threat to a valued relationship by a third party. On average, males report higher distress about their partner's sexual extra-pair involvement, while females show higher emotional jealousy. These sex differences are specific to heterosexuals and to contexts with potential reproductive costs. We tested the effect of sex and sexual orientation of the individual, and sex of the partner and potential rival on sexual versus emotional jealousy. Sexual orientation was operationalized as a willingness to form long-term relationships with men, women, or both. Heterosexual, homosexual, and bisexual males (N = 416) and females (N = 1328) from Brazil, Chile, and Portugal responded to the Sexual vs. Emotional Jealousy Scale and then ranked their distress to four hypothetical scenarios: sexual or emotional involvement of their partner with a male or a female rival. This is the first study to simultaneously test for an effect of self, partner, and rival sex on jealousy: bisexual individuals responded twice, about a hypothetical female and about a male partner. Individuals were most preoccupied with their partner's emotional relationship with a rival of the same sex as the respondent. Heterosexual males reported higher sexual jealousy than the other groups, but did not differ from bisexual men responding about female partners. Bisexual females were more upset by sexual extra-pair involvement of their female (versus male) partners with a male rival. Thus, jealousy was influenced by sex and sexual orientation of the individuals, sex of the partners, and also by sex of the rivals: same-sex rivals were perceived as most threatening. This suggests that besides being a strategy to maintain a primary relationship, jealousy is particularly sensitive to same-sex competitors, being an intra-sexual competition strategy.</t>
  </si>
  <si>
    <t>Varella Valentova, Jaroslava/K-8765-2012; Fernandez, Ana Maria/E-6429-2011; Varella, Marco/S-5492-2016; Pereira, Marco/H-4504-2011</t>
  </si>
  <si>
    <t>Varella Valentova, Jaroslava/0000-0002-2113-3385; Fernandez, Ana Maria/0000-0003-4132-5891; Varella, Marco/0000-0002-7274-7360; Pereira, Marco/0000-0002-6086-2329</t>
  </si>
  <si>
    <t>0004-0002</t>
  </si>
  <si>
    <t>1573-2800</t>
  </si>
  <si>
    <t>10.1007/s10508-022-02341-4</t>
  </si>
  <si>
    <t>WOS:000827914700002</t>
  </si>
  <si>
    <t>Arularasi, V; Thamilselvi, P; Avudaiappan, S; Flores, EIS</t>
  </si>
  <si>
    <t>Arularasi, V; Thamilselvi, P.; Avudaiappan, Siva; Saavedra Flores, Erick, I</t>
  </si>
  <si>
    <t>Energy Consumption of Self-Compacting Concrete during Mixing and Its Impact on the Yield Stress Measured in the Ready-Mix Concrete Plant</t>
  </si>
  <si>
    <t>ADVANCES IN CIVIL ENGINEERING</t>
  </si>
  <si>
    <t>To find the energy required during the mixing process of self-compacting concrete in a ready-mixed concrete plant and correlate the results with the yield stress of concrete. Power consumption required during the mixing of concrete is measured with a wattmeter connected to the mixing unit's power supply. A coaxial cylinder viscometer is used to measure the yield stress of concrete. The clamp meter measures the power when the impeller rotates inside the coaxial cylinder viscometer, which is filled with concrete. When the impeller rotates in a coaxial cylinder filled with concrete, the power is measured by a clamp meter. Torque is obtained through the power relationship, which is an essential factor in determining the yield stress. The cost of a rheometer is so high that all construction industries, research institutions, and researchers cannot measure rheological parameters. Nowadays, all rheometers are automated; hence, the cost is very high. Tattersall's approach of power requirement in mixing the concrete and calculating the yield stress reduces the complexity in determining the rheological parameter.</t>
  </si>
  <si>
    <t>Pachiappan, THAMILSELVI/AFR-1151-2022; Avudaiappan, Siva/AAV-7579-2021; Flores, Erick/I-7646-2012; Veerabadrasamy, Arularasi/ABC-9224-2021</t>
  </si>
  <si>
    <t>V, Arularasi/0000-0001-5990-0802; AVUDAIAPPAN, SIVA/0000-0002-4289-4298</t>
  </si>
  <si>
    <t>1687-8086</t>
  </si>
  <si>
    <t>1687-8094</t>
  </si>
  <si>
    <t>MAR 27</t>
  </si>
  <si>
    <t>10.1155/2021/6664577</t>
  </si>
  <si>
    <t>WOS:000637367800001</t>
  </si>
  <si>
    <t>Campos, VB</t>
  </si>
  <si>
    <t>Jeldres, MR; Eitel, ST</t>
  </si>
  <si>
    <t>Basoalto Campos, Vidal</t>
  </si>
  <si>
    <t>Structural economic crises and the educational decline of the school</t>
  </si>
  <si>
    <t>EDUCACION EN TIEMPOS DE CONFINAMIENTO: Perspectivas de lo Pedagogico</t>
  </si>
  <si>
    <t>In this present essay, I determine elements of continuity between the times in which Ivan Ilich writes his book entitled the deschooling or unschooling and the current planetary crisis expressed in the COVID-19 pandemic. I establish three relationships that in turn operate as categories of analysis, and as elements of historical continuity. These categories are economic crises and changes or reforms to educational systems; a second relationship is right-merchandise that I stress with the relationship right-learning; and a third relationship that refers to the role of technology as a false dichotomy between presence and virtuality. In the first section, I establish elements of context characterizing the times in which Ilich's text was written, and its relationship with the current crisis of the capital accumulation model, called neoliberalism, outlining the categories that will be analyzed. In section II, I refer to the crisis of the school. In section III, I focus on the right-commodity v / s right-learning categorical relationship. And, in the fourth and last part, I address the role of technology; both in gestation and in development and solution to crises. Finally, I ask questions about the possible death of the school and what its possible replacements could be.</t>
  </si>
  <si>
    <t>Campos, Veronica/IWU-9925-2023</t>
  </si>
  <si>
    <t>978-956-7062-96-6; 978-956-7062-95-9</t>
  </si>
  <si>
    <t>10.5281/zenodo.4697584</t>
  </si>
  <si>
    <t>WOS:000762368600004</t>
  </si>
  <si>
    <t>Martínez-Ledesma, M; Bravo, M; Urra, B; Souza, J; Foppiano, A</t>
  </si>
  <si>
    <t>Martinez-Ledesma, M.; Bravo, M.; Urra, B.; Souza, J.; Foppiano, A.</t>
  </si>
  <si>
    <t>Prediction of the Ionospheric Response to the 14 December 2020 Total Solar Eclipse Using SUPIM-INPE</t>
  </si>
  <si>
    <t>We present the first prediction of the ionospheric response to the 14 December 2020 solar eclipse using the SUPIM-INPE model. Simulations are made for all known ionosonde stations for which solar obscuration is significant. The found response is similar to that previously reported for other eclipses, but it also shows a modification of the equatorial fountain transport that will impact the low latitudes after the event. In addition to the large reduction of electron concentration along the totality path (similar to 4.5 TECu, similar to 22%), a significant electron and oxygen ion temperature cooling is observed (up to similar to 400 K) followed by lasting temperature increases. Changes of up to similar to 1.5 TECu (similar to 5%) are also expected at the conjugate hemisphere. These predictions may serve as a reference for eventual ionospheric measurements of multiple instruments and are leading to a better understanding of the ionospheric response to solar eclipses.</t>
  </si>
  <si>
    <t>Foppiano, Alberto/LJM-1122-2024; Bravo, Manuel/AAD-8540-2020; Souza, Jonas/B-3514-2013; Martinez-Ledesma, Miguel/F-9831-2015</t>
  </si>
  <si>
    <t>Urra Pacheco, Benjamin/0000-0003-3645-818X; Souza, Jonas/0000-0001-7725-7785; Bravo Sepulveda, Manuel Alejandro/0000-0002-5648-429X; Martinez-Ledesma, Miguel/0000-0001-6932-1249</t>
  </si>
  <si>
    <t>e2020JA028625</t>
  </si>
  <si>
    <t>10.1029/2020JA028625</t>
  </si>
  <si>
    <t>WOS:000595859400005</t>
  </si>
  <si>
    <t>Gonzalez, A; Huerta-Salgado, C; Orozco-Aguilar, J; Aguirre, F; Tacchi, F; Simon, F; Cabello-Verrugio, C</t>
  </si>
  <si>
    <t>Gonzalez, Andrea; Huerta-Salgado, Camila; Orozco-Aguilar, Josue; Aguirre, Francisco; Tacchi, Franco; Simon, Felipe; Cabello-Verrugio, Claudio</t>
  </si>
  <si>
    <t>Role of Oxidative Stress in Hepatic and Extrahepatic Dysfunctions during Nonalcoholic Fatty Liver Disease (NAFLD)</t>
  </si>
  <si>
    <t>OXIDATIVE MEDICINE AND CELLULAR LONGEVITY</t>
  </si>
  <si>
    <t>Nonalcoholic fatty liver disease (NAFLD) is a pathology that contains a broad liver dysfunctions spectrum. These alterations span from noninflammatory isolated steatosis until nonalcoholic steatohepatitis (NASH), a more aggressive form of the disease characterized by steatosis, inflammatory status, and varying liver degrees fibrosis. NAFLD is the most prevalent chronic liver disease worldwide. The causes of NAFLD are diverse and include genetic and environmental factors. The presence of NASH is strongly associated with cirrhosis development and hepatocellular carcinoma, two conditions that require liver transplantation. The liver alterations during NAFLD are well described. Interestingly, this pathological condition also affects other critical tissues and organs, such as skeletal muscle and even the cardiovascular, renal, and nervous systems. Oxidative stress (OS) is a harmful state present in several chronic diseases, such as NAFLD. The purpose of this review is to describe hepatic and extrahepatic dysfunctions in NAFLD. We will also review the influence of OS on the physiopathological events that affect the critical function of the liver and peripheral tissues.</t>
  </si>
  <si>
    <t>Gonzalez, Andrea/HGU-7618-2022; Cabello-Verrugio, Claudio/AAD-1454-2020</t>
  </si>
  <si>
    <t>Aguirre Galaz, Francisco/0000-0001-8103-9473; Gonzalez, Andrea/0000-0001-5003-7109; Orozco-Aguilar, Josue/0000-0002-0006-1298; Cabello-Verrugio, Claudio/0000-0001-7273-2102; Simon, Felipe/0000-0002-2653-9798</t>
  </si>
  <si>
    <t>1942-0900</t>
  </si>
  <si>
    <t>1942-0994</t>
  </si>
  <si>
    <t>OCT 23</t>
  </si>
  <si>
    <t>10.1155/2020/1617805</t>
  </si>
  <si>
    <t>WOS:000591559800005</t>
  </si>
  <si>
    <t>Triana, JF; Hernández, FJ; Herrera, F</t>
  </si>
  <si>
    <t>Triana, Johan F.; Hernandez, Federico J.; Herrera, Felipe</t>
  </si>
  <si>
    <t>The shape of the electric dipole function determines the sub-picosecond dynamics of anharmonic vibrational polaritons</t>
  </si>
  <si>
    <t>JOURNAL OF CHEMICAL PHYSICS</t>
  </si>
  <si>
    <t>Vibrational strong coupling has emerged as a promising route for manipulating the reactivity of molecules inside infrared cavities. We develop a full-quantum methodology to study the unitary dynamics of a single anharmonic vibrational mode interacting with a quantized infrared cavity field. By comparing multi-configurational time-dependent Hartree simulations for an intracavity Morse oscillator with an equivalent formulation of the problem in Hilbert space, we describe for the first time the essential role of permanent dipole moments in the femtosecond dynamics of vibrational polariton wavepackets. We classify molecules into three general families according to the shape of their electric dipole function d(e)(q) along the vibrational mode coordinate q. For polar species with a positive slope of the dipole function at equilibrium, an initial diabatic light-matter product state without vibrational or cavity excitations evolves into a polariton wavepacket with a large number of intracavity photons for interaction strengths at the conventional onset of ultrastrong coupling. This buildup of the cavity photon amplitude is accompanied by an effective lengthening of the vibrational mode that is comparable with a laser-induced vibrational excitation in free space. In contrast, polar molecules with a negative slope of the dipole function experience an effective mode shortening, under equivalent coupling conditions. We validate our predictions using realistic ab initio ground state potentials and dipole functions for HF and CO2 molecules. We also propose a non-adiabatic state preparation scheme to generate vibrational polaritons with molecules near infrared nanoantennas for the spontaneous radiation of infrared quantum light.</t>
  </si>
  <si>
    <t>Herrera, Felipe/KHD-8453-2024; Triana, Johan F./AAU-9985-2021; Hernandez, Federico Javier/P-8865-2018</t>
  </si>
  <si>
    <t>Triana, Johan F./0000-0001-9551-3121; Hernandez, Federico Javier/0000-0001-7497-9424</t>
  </si>
  <si>
    <t>0021-9606</t>
  </si>
  <si>
    <t>1089-7690</t>
  </si>
  <si>
    <t>10.1063/5.0009869</t>
  </si>
  <si>
    <t>WOS:000542991800003</t>
  </si>
  <si>
    <t>Rivera, B; Campos, M; Orio, P; Madrid, R; Pertusa, M</t>
  </si>
  <si>
    <t>Rivera, Bastian; Campos, Matias; Orio, Patricio; Madrid, Rodolfo; Pertusa, Maria</t>
  </si>
  <si>
    <t>Negative Modulation of TRPM8 Channel Function by Protein Kinase C in Trigeminal Cold Thermoreceptor Neurons</t>
  </si>
  <si>
    <t>TRPM8 is the main molecular entity responsible for cold sensing. This polymodal ion channel is activated by cold, cooling compounds such as menthol, voltage, and rises in osmolality. In corneal cold thermoreceptor neurons (CTNs), TRPM8 expression determines not only their sensitivity to cold, but also their role as neural detectors of ocular surface wetness. Several reports suggest that Protein Kinase C (PKC) activation impacts on TRPM8 function; however, the molecular bases of this functional modulation are still poorly understood. We explored PKC-dependent regulation of TRPM8 using Phorbol 12-Myristate 13-Acetate to activate this kinase. Consistently, recombinant TRPM8 channels, cultured trigeminal neurons, and free nerve endings of corneal CTNs revealed a robust reduction of TRPM8-dependent responses under PKC activation. In corneal CTNs, PKC activation decreased ongoing activity, a key parameter in the role of TRPM8-expressing neurons as humidity detectors, and also the maximal cold-evoked response, which were validated by mathematical modeling. Biophysical analysis indicated that PKC-dependent downregulation of TRPM8 is mainly due to a decreased maximal conductance value, and complementary noise analysis revealed a reduced number of functional channels at the cell surface, providing important clues to understanding the molecular mechanisms of how PKC activity modulates TRPM8 channels in CTNs.</t>
  </si>
  <si>
    <t>Madrid, Rodolfo/MCJ-4974-2025; Orio, Patricio/F-6207-2010</t>
  </si>
  <si>
    <t>Rivera, Bastian/0000-0003-1848-8334; Madrid, Rodolfo/0000-0002-8623-5761; Pertusa, Maria/0000-0003-3856-9019; Orio, Patricio/0000-0003-0332-8098</t>
  </si>
  <si>
    <t>10.3390/ijms21124420</t>
  </si>
  <si>
    <t>WOS:000549484500001</t>
  </si>
  <si>
    <t>Aravena, J; Abrigo, J; Gonzalez, F; Aguirre, F; Gonzalez, A; Simon, F; Cabello-Verrugio, C</t>
  </si>
  <si>
    <t>Aravena, Javier; Abrigo, Johanna; Gonzalez, Francisco; Aguirre, Francisco; Gonzalez, Andrea; Simon, Felipe; Cabello-Verrugio, Claudio</t>
  </si>
  <si>
    <t>Angiotensin (1-7) Decreases Myostatin-Induced NF-κB Signaling and Skeletal Muscle Atrophy</t>
  </si>
  <si>
    <t>Myostatin is a myokine that regulates muscle function and mass, producing muscle atrophy. Myostatin induces the degradation of myofibrillar proteins, such as myosin heavy chain or troponin. The main pathway that mediates protein degradation during muscle atrophy is the ubiquitin proteasome system, by increasing the expression of atrogin-1 and MuRF-1. In addition, myostatin activates the NF-kappa B signaling pathway. Renin-angiotensin system (RAS) also regulates muscle mass. Angiotensin (1-7) (Ang-(1-7)) has anti-atrophic properties in skeletal muscle. In this paper, we evaluated the effect of Ang-(1-7) on muscle atrophy and signaling induced by myostatin. The results show that Ang-(1-7) prevented the decrease of the myotube diameter and myofibrillar protein levels induced by myostatin. Ang-(1-7) also abolished the increase of myostatin-induced reactive oxygen species production, atrogin-1, MuRF-1, and TNF-beta gene expressions and NF-kappa B signaling activation. Ang-(1-7) inhibited the activity mediated by myostatin through Mas receptor, as is demonstrated by the loss of all Ang-(1-7)-induced effects when the Mas receptor antagonist A779 was used. Our results show that the effects of Ang-(1-7) on the myostatin-dependent muscle atrophy and signaling are blocked by MK-2206, an inhibitor of Akt/PKB. Together, these data indicate that Ang-(1-7) inhibited muscle atrophy and signaling induced by myostatin through a mechanism dependent on Mas receptor and Akt/PKB.</t>
  </si>
  <si>
    <t>Abrigo, Johanna/0000-0002-5598-513X; Simon, Felipe/0000-0002-2653-9798; Gonzalez, Andrea/0000-0001-5003-7109; Cabello-Verrugio, Claudio/0000-0001-7273-2102</t>
  </si>
  <si>
    <t>10.3390/ijms21031167</t>
  </si>
  <si>
    <t>WOS:000522551608038</t>
  </si>
  <si>
    <t>Guerrero, M; Vargas, C; Alarcón, E; del Sol, M; Ottone, NE</t>
  </si>
  <si>
    <t>Guerrero, Marco; Vargas, Claudia; Alarcon, Eduardo; del Sol, Mariano; Ernesto Ottone, Nicolas</t>
  </si>
  <si>
    <t>Development of a Sheet Plastination Protocol with Polyester Resin Applied to Human Brain Slices</t>
  </si>
  <si>
    <t>Plastination is an anatomical technique of cadaveric conservation created in 1977 by Gunther von Hagens, in Heidelberg, Germany, and that substitutes biological and / or fixation fluids with acetone, to then impregnate the samples with different resins, depending on the developed plastination technique, to finally carry out the polymerization of the components incorporated into the samples, to obtain dry and totally durable biological samples. The aim of this work was to develop a sheet plastination protocol with polyester resin (Biodur (R) P40) in 3 mm thick slices of human brain. The samples were fixed and preserved with 10 % formalin. The brains were sectioned with a slice cut machine, obtaining thin sheets of 3 mm thick. Immediately the slices of brain were placed in dehydration in 100 % acetone, at -25 degrees C, for 7 days the first acetone bath, and for another 3 more days, for the second acetone bath. Once the cuts were dehydrated, they were placed in Biodur (R) P40 polyester resin and the forced impregnation was carried out in a vacuum chamber at room temperature (20 degrees C). Once the forced impregnation was finished, the curing stage was carried out, which first consists in the assembly of the curing chambers within which the slices with polyester resin were placed. The curing chambers were placed under UV light to accelerate the polymerization of the polyester and finished the plastination process. A sheet plastination protocol with polyester resin was successfully developed in the Laboratory of Plastination and Anatomical Techniques of Universidad de La Frontera, obtaining excellent conservation of brain slices, with differentiation of gray and white substances, and conservation of all morphological characteristics.</t>
  </si>
  <si>
    <t>del sol, Mariano/I-4746-2018; Ottone, Nicolas Ernesto/A-3402-2016</t>
  </si>
  <si>
    <t>Ottone, Nicolas Ernesto/0000-0002-3056-9703; Guerrero-Figueroa, Marco/0000-0001-9236-4183</t>
  </si>
  <si>
    <t>10.4067/S0717-95022019000401557</t>
  </si>
  <si>
    <t>WOS:000485134100058</t>
  </si>
  <si>
    <t>Pepczynska, M; Díaz-Calderón, P; Quero, F; Matiacevich, S; Char, C; Enrione, J</t>
  </si>
  <si>
    <t>Pepczynska, Marzena; Diaz-Calderon, Paulo; Quero, Franck; Matiacevich, Silvia; Char, Cielo; Enrione, Javier</t>
  </si>
  <si>
    <t>Interaction and fragility study in salmon gelatin-oligosaccharide composite films at low moisture conditions</t>
  </si>
  <si>
    <t>FOOD HYDROCOLLOIDS</t>
  </si>
  <si>
    <t>Non mammalian gelatin under low moisture conditions could potentially be used in encapsulation technologies in food and pharmaceutical applications. This work explored the interactions between salmon gelatin (SG) and different molecular weight oligosaccharides (at 0.2, 0.4, 0.6 wt fraction) with similar to 5% moisture content. SG and glucose, sucrose and maltodextrin were combined to produce visually transparent composites films. Fourier-transformed infrared spectroscopy showed that changes in secondary structure towards a less ordered configuration occurred upon increasing oligosaccharides weight fraction. This interaction was identified as physical in nature and possibly sustained by hydrogen bonding between components. The oligosaccharides also reduced water sorption as indicated by Guggenheim, Anderson and de Boer monolayer parameters derived from dynamic vapour sorption data. This reduction was higher for glucose, possibly due to reduction in free volume in the composite films in the glassy state. Powder X-ray diffraction showed only diffraction peaks associated to the triple helices of the gelatin, which were reduced significantly upon adding glucose and sucrose. Differential scanning calorimetry data showed reductions in T-g and T-m but higher Delta Cp values upon increasing oligosaccharides weight fraction, indicating changes in molecular dynamics. Fragility values indicated strong materials; more likely following an Arrhenius-like dependency between the structure relaxation time and temperature. This work provides valuable information about the nature of the interaction between a non-mammalian gelatin and oligosaccharides with different molecular weight. Our findings could be applied for a number of technological applications including encapsulation.</t>
  </si>
  <si>
    <t>Enrione, Javier/I-9225-2014; Quero, Franck/AAV-4341-2020</t>
  </si>
  <si>
    <t>Diaz-Calderon, Paulo/0000-0002-8375-2210; Pepczynska, Marzena/0000-0002-4655-9585</t>
  </si>
  <si>
    <t>0268-005X</t>
  </si>
  <si>
    <t>1873-7137</t>
  </si>
  <si>
    <t>10.1016/j.foodhyd.2019.105207</t>
  </si>
  <si>
    <t>WOS:000481572000038</t>
  </si>
  <si>
    <t>Díaz, MH; Cid, FM; Flores, E; Cifuentes, F; Córdova, F</t>
  </si>
  <si>
    <t>Hernan Diaz, M.; Maureira Cid, Fernando; Flores, Elizabeth; Cifuentes, Fernando; Cordova, Felisa</t>
  </si>
  <si>
    <t>Synchronizing oscillatory chaos in the brain</t>
  </si>
  <si>
    <t>We constructed the idea of oscillatory chaos in the brain during the process to use a non-linear estimator that allows us to have a more global, emergent and integrated view of the brain dynamics in its unpredictable realm of quasi-chaos forces. Through extend the application of the Hurst exponent as an estimator of the chaos/order balance of a time series, we explore such oscillatory dynamic of the brain at various time scales, applying at the end a recursive Hurst exponent estimator over a time series built from a time series of 1 second H chaos estimators. Results suggest the appearance of an emergent meta-chaos (HH) envelope that could be implied in provide order and direction in a multi-fractal chaotic system as the brain, as far as these HH estimators' values resulted influenced by the Hurst persistent effect (H&gt;0.5). This meta-chaos estimator is sensitive to intra- and inter-individual differences, symmetric/asymmetric intra-individual patterns, and also to the frequency range of the EEG signal studied. (C) 2020 The Authors. Published by Elsevier B.V. This is an open access article under the CC BY-NC-ND license (http://creativecommons.org/licenses/by-ne-nd/4.0/) Peer-review under responsibility of the scientific committee of the 7th International Conference on Information Technology and Quantitative Management (ITQM 2019)</t>
  </si>
  <si>
    <t>Córdova, Felisa/AAK-4280-2020; Flores, Elizabeth/JLM-7033-2023</t>
  </si>
  <si>
    <t>CORDOVA, FELISA/0000-0002-5557-8569</t>
  </si>
  <si>
    <t>10.1016/j.procs.2019.12.076</t>
  </si>
  <si>
    <t>WOS:000514081500124</t>
  </si>
  <si>
    <t>Pozuelo-Carrascosa, DP; García-Hermoso, A; Alvarez-Bueno, C; Sánchez-López, M; Martinez-Vizcaino, V</t>
  </si>
  <si>
    <t>Pozuelo-Carrascosa, Diana P.; Garcia-Hermoso, Antonio; Alvarez-Bueno, Celia; Sanchez-Lopez, Mairena; Martinez-Vizcaino, Vicente</t>
  </si>
  <si>
    <t>Effectiveness of school-based physical activity programmes on cardiorespiratory fitness in children: a meta-analysis of randomised controlled trials</t>
  </si>
  <si>
    <t>BRITISH JOURNAL OF SPORTS MEDICINE</t>
  </si>
  <si>
    <t>Objective To conduct a meta-analysis of randomised controlled trials aimed at testing whether school-based physical activity programmes improve cardiorespiratory fitness (CRF) in children. Design Systematic review with meta-analysis. Data sources Using keywords, we performed a computerised search in five databases: MEDLINE, EMBASE, CINAHL, Web of Science and SportDiscus. Eligibility criteria for selecting studies Studies that assessed the effectiveness of school-based physical activity programmes on improving CRF in children (3-12 years old). We selected interventions that included an additional physical activity programme and not only a physical activity educational component. The reference lists of selected full-text articles and systematic reviews were also searched for relevant studies. Pooled effect size (Hedges' g) was calculated assuming a random-effects model. Results Twenty trials with 7287 healthy children aged 3-12 years were included in the meta-analysis. School-based physical activity interventions with aerobic games and activities were associated with a significant small increase in CRF (Hedges' g=0.22; 95% CI 0.14 to 0.30; p&lt;0.001). Based on subgroup analysis, the increase in CRF was significant in girls (Hedges' g=0.25; 95% CI 0.13 to 0.37; p&lt;0.001), but not in boys (Hedges' g=0.02; 95% CI -0.10 to 0.14; p=0.731). Summary Moderate quality evidence supports the effectiveness of school-based physical activity interventions on improving CRF in children.</t>
  </si>
  <si>
    <t>García-Hermoso, Antonio/ADU-2591-2022; Carrascosa, Diana/R-4379-2017; VIZCAINO, VICENTE/R-4336-2017; SANCHEZ-LOPEZ, MAIRENA/J-7933-2016; Alvarez-Bueno, Celia/R-4075-2019; Garcia-Hermoso, Antonio/P-1857-2017</t>
  </si>
  <si>
    <t>Alvarez-Bueno, Celia/0000-0002-6176-1618; Sanchez Lopez, Mairena/0000-0002-0217-0623; Garcia-Hermoso, Antonio/0000-0002-1397-7182</t>
  </si>
  <si>
    <t>0306-3674</t>
  </si>
  <si>
    <t>1473-0480</t>
  </si>
  <si>
    <t>10.1136/bjsports-2017-097600</t>
  </si>
  <si>
    <t>WOS:000446083400013</t>
  </si>
  <si>
    <t>Gutierrez-Platas, JL; Artigas, A; Monsalve, A; García-Gómez, NA; García-Rincón, O; De la Garza-Garza, M; Pérez-González, FA; Colás, R; Garza-Montes-de-Oca, NF</t>
  </si>
  <si>
    <t>Gutierrez-Platas, J. L.; Artigas, A.; Monsalve, A.; Garcia-Gomez, N. A.; Garcia-Rincon, O.; De la Garza-Garza, M.; Perez-Gonzalez, F. A.; Colas, R.; Garza-Montes-de-Oca, N. F.</t>
  </si>
  <si>
    <t>High-Temperature Oxidation and Pickling Behaviour of HSLA Steels</t>
  </si>
  <si>
    <t>OXIDATION OF METALS</t>
  </si>
  <si>
    <t>The high-temperature oxidation behaviour of three boron-containing HSLA steels was studied at 800 and 900 A degrees C in laboratory still-air conditions. At both temperatures, the oxidation rate of the specimens was in accordance with the parabolic rate law and was sensitive to the silicon content when they were oxidized at 800 A degrees C. The chemical composition of the oxide scale was also influenced by the silicon content of the steel. The mechanical behaviour of the oxide scales formed at the metal-oxide interface was also different at each temperature. Finally, the pickling rate and surface quality of the steels depended on the chemical composition of the oxides that formed.</t>
  </si>
  <si>
    <t>Garcia-Gomez, Nora/AAR-6083-2021; Artigas, Alfredo/Y-1185-2019</t>
  </si>
  <si>
    <t>Monsalve, Alberto/0000-0002-5772-8815; Colas, Rafael/0000-0001-6017-7244; Garcia-Gomez, N.A./0000-0002-0279-4436</t>
  </si>
  <si>
    <t>0030-770X</t>
  </si>
  <si>
    <t>1573-4889</t>
  </si>
  <si>
    <t>10.1007/s11085-017-9832-3</t>
  </si>
  <si>
    <t>WOS:000423728300002</t>
  </si>
  <si>
    <t>Pineda, C; Pereda, J; Zhang, X; Rojas, F</t>
  </si>
  <si>
    <t>Pineda, C.; Pereda, J.; Zhang, X.; Rojas, F.</t>
  </si>
  <si>
    <t>Triangular Current Mode for High Step Ratio Modular Multilevel dc-dc Converter</t>
  </si>
  <si>
    <t>2018 IEEE ENERGY CONVERSION CONGRESS AND EXPOSITION (ECCE)</t>
  </si>
  <si>
    <t>IEEE Energy Conversion Congress and Exposition</t>
  </si>
  <si>
    <t>10th IEEE Annual Energy Conversion Congress and Exposition (ECCE)</t>
  </si>
  <si>
    <t>SEP 23-27, 2018</t>
  </si>
  <si>
    <t>Portland, OR</t>
  </si>
  <si>
    <t>IEEE,IEEE Power Elect Soc,IEEE Ind Applicat Soc</t>
  </si>
  <si>
    <t>DC networks have generated much interest in recent years, from transmission in high voltage to their use in distribution systems. One of the major challenges is to replace the high efficient and reliable ac transformer, especially at high voltage and step ratio. New resonant modular multilevel topologies have arisen as an alternative, mainly because of advantages such as optional use of transformers, natural voltage balance, simple control and soft-switching. However, this type of operation generates a high peak current, does not allow control of power flow in all power range and has a limited range of voltage variation. This paper proposes an asymmetrical triangular current mode applied in high step ratio Modular Multilevel dc-dc Converters that achieves bidirectional control of the power, soft-switching and a natural balance of the voltage in the capacitors. The simulation results show the bidirectional operation and the capacitor voltage balance of the converter under different operating conditions with high efficiency and low peak current compared to resonant mode. The proposal was tested in a down-scale prototype, confirming the operation principle.</t>
  </si>
  <si>
    <t>Rojas, Felix/U-3305-2019; Pereda Torres, Javier/F-8244-2013</t>
  </si>
  <si>
    <t>Rojas, Felix/0000-0001-6145-2826</t>
  </si>
  <si>
    <t>2329-3721</t>
  </si>
  <si>
    <t>978-1-4799-7312-5</t>
  </si>
  <si>
    <t>WOS:000455187605084</t>
  </si>
  <si>
    <t>Morales, J; Barrera-Avalos, C; Castro, C; Castillo, S; Barrientos, C; Robles-Planells, C; López, X; Torres, E; Montoya, M; Martin, MCS; Riquelme, D; Escobar, A; Fernández, R; Imarai, M; Sauma, D; Rojo, LE; Leiva-Salcedo, E; Acuña-Castillo, C</t>
  </si>
  <si>
    <t>Morales, Jonathan; Barrera-Avalos, Carlos; Castro, Carlos; Castillo, Stephanie; Barrientos, Claudio; Robles-Planells, Claudia; Lopez, Ximena; Torres, Ernesto; Montoya, Margarita; Cortez-San Martin, Marcelo; Riquelme, Denise; Escobar, Alejandro; Fernandez, Ricardo; Imarai, Monica; Sauma, Daniela; Rojo, Leonel E.; Leiva-Salcedo, Elias; Acuna-Castillo, Claudio</t>
  </si>
  <si>
    <t>Dead Tumor Cells Expressing Infectious Salmon Anemia Virus Fusogenic Protein Favor Antigen Cross-Priming In Vitro</t>
  </si>
  <si>
    <t>FRONTIERS IN IMMUNOLOGY</t>
  </si>
  <si>
    <t>Antigen cross-presentation is a crucial step in the assembly of an antitumor immune response leading to activation of naive CD8 T cells. This process has been extensively used in clinical trials, in which dendritic cells generated in vitro are loaded with tumor antigens and then autotransplanted to the patients. Recently, the use of autologous transplant of dendritic cells fused with dying tumor cells has demonstrated good results in clinical studies. In this work, we generated a similar process in vivo by treating mice with dead tumor cells [cell bodies (CBs)] expressing the fusogenic protein of the infectious salmon anemia virus (ISAV). ISAV fusion protein retains its fusogenic capability when is expressed on mammalian cells in vitro and the CBs expressing it facilitates DCs maturation, antigen transfer by antigen-presenting cells, and increase cross-presentation by DCs in vitro. Additionally, we observed in the melanoma model that CBs with or without ISAV fusion protein reduce tumor growth in prophylactic treatment; however, only ISAV expressing CBs showed an increase CD4 and CD8 cells in spleen. Overall, our results suggest that CBs could be used as a complement with other type of strategies to amplify antitumor immune response.</t>
  </si>
  <si>
    <t>Robles-Planells, Claudia/LTF-7300-2024; Escobar, Alejandro/I-2775-2013; Castillo, Stephanie/KIC-5644-2024; Acuña-Castillo, Claudio/AAI-7090-2021; Sauma, Daniela/D-8387-2013; Fernandez, Ricardo/H-3422-2018</t>
  </si>
  <si>
    <t>Acuna-Castillo, Claudio/0000-0003-3607-6077; Sauma, Daniela/0000-0001-8622-3245; Fernandez, Ricardo/0000-0003-4493-9362; Imarai, Monica/0000-0001-8767-9180; Montoya, Margarita/0000-0002-6268-1118; Barrera-Avalos, Carlos/0000-0001-6160-9563; Robles-Planells, Claudia/0000-0003-3339-8871</t>
  </si>
  <si>
    <t>1664-3224</t>
  </si>
  <si>
    <t>OCT 9</t>
  </si>
  <si>
    <t>10.3389/fimmu.2017.01170</t>
  </si>
  <si>
    <t>WOS:000412508700001</t>
  </si>
  <si>
    <t>Cárdenas-Jirón, G; Borges-Martínez, M; Sikorski, E; Baruah, T</t>
  </si>
  <si>
    <t>Cardenas-Jiron, Gloria; Borges-Martinez, Merlys; Sikorski, Ember; Baruah, Tunna</t>
  </si>
  <si>
    <t>Excited States of Light-Harvesting Systems Based on Fullerene/Graphene Oxide and Porphyrin/Smaragdyrin</t>
  </si>
  <si>
    <t>In this work, we present a theoretical study at the density functional theory (DFT) level and time-dependent DFT of the ground and singlet excited states of electron donor acceptor complexes formed by porphyrin (TPP)/smaragdyrin (TPOS) (expanded porphyrin), as light-harvesting systems, and fullerene (C-60)/graphene oxide (GO), as acceptor nanocarbon structure. We investigate the effect of the nanocarbon on UV-vis electronic absorption of porphyrin/smaragdyrin, using the functionals B3LYP, PBE, M06, and wB97XD. The results showed the lowest deviation of the Q-band for the functional M06 (0.01-0.02 eV). Electronic absorption spectra calculated for the complexes with M06 predict that (a) graphene oxide increases the intensity of the Soret band, (b) fullerene produces a red-shift of the Q bands (4 nm) with respect to graphene oxide, and (c) smaragdyrin causes a red-shift of Q (27-48 nm) and Soret (37 nm) absorption bands as compared to porphyrin. We also investigate the effect of the nanocarbon structure on the charge-transfer (CT) excited states. Using the perturbative delta-SCF method with the PBE functional, we found that the charge-transfer excitation energy increases as TPOS-C-60 (2.53 eV) &lt; TPP-GO (2.89 eV) &lt; TPP-C-60 (3.01 eV) &lt; TPOS-GO (3.28 eV). The presence of a nanocarbon structure affects more strongly smaragdyrin (similar to 0.8 eV) than porphyrin (similar to 0.1 eV). We show that the binding between smaragdyrin and fullerene C-60 favors the charge separation states with a lower energy cost, which means that these systems present an advantage for its application in photovoltaic cells.</t>
  </si>
  <si>
    <t>Baruah, Tunna/AAW-3622-2021; Cardenas-Jiron, Gloria/H-9508-2012</t>
  </si>
  <si>
    <t>Borges, Merlys/0000-0001-8130-1718; Sikorski, Ember/0000-0003-3292-6564; Cardenas-Jiron, Gloria/0000-0003-4305-8088</t>
  </si>
  <si>
    <t>MAR 9</t>
  </si>
  <si>
    <t>10.1021/acs.jpcc.6b12452</t>
  </si>
  <si>
    <t>WOS:000396295800010</t>
  </si>
  <si>
    <t>Portela, R; Jansson, I; Suárez, S; Villarroel, M; Sánchez, B; Avila, P</t>
  </si>
  <si>
    <t>Portela, R.; Jansson, I.; Suarez, S.; Villarroel, M.; Sanchez, B.; Avila, P.</t>
  </si>
  <si>
    <t>Natural silicate-TiO2 hybrids for photocatalytic oxidation of formaldehyde in gas phase</t>
  </si>
  <si>
    <t>Structured hybrid materials based on the combination adsorbent-photocatalyst with optimal mechanical resistance and reduced cost, are prepared by extrusion using four different natural silicates with similar mesoporous distribution: sepiolite (S), bentonite (B), mordenite (M) and kaolinite (K). The effect of the textural, morphological and structural properties of plate shaped composites calcined at different temperatures on the adsorption and photocatalytic degradation of formaldehyde in gas phase is analyzed. Silicates allows TiO2 extrusion into flat plates with a content of 50 wt% of titania. All shaped materials present adequate mechanical resistance to be scaled-up for use in continuous-flow gas-phase catalytic reactors. Thermal treatment at 500 degrees C ensures an optimum combination of mechanical, textural and HCHO adsorption properties. The silicates cover part of the TiO2 particles thus reducing the fraction of TiO2 actually exposed on the surface of the composites, essential to carried out the photocatalytic process, but they also allow controlling TiO2 dispersion and the amount of HCHO adsorbed. The HCHO degradation rate is enhanced with all the silicate-TiO2 composites with respect to that of the benchmark TiO2. The incorporation of titania into the silicate matrix favors the gas phase removal of HCHO in the following sequence: MTi &gt; KTi &gt; STi &gt; BTi &gt; TiO2. The exposed fraction of titania particles and the size of the TiO2 anatase crystalline domains determine the efficiency of the hybrid material, which is optimized in high-aluminum kaolinite and mordenite based hybrids. (C) 2016 Elsevier B.V. All rights reserved.</t>
  </si>
  <si>
    <t>Avila, Pedro/JGM-4674-2023; Portela, Raquel/K-5858-2014; Suarez, Silvia/F-1292-2016; Sanchez, Benigno/S-6551-2018</t>
  </si>
  <si>
    <t>Portela, Raquel/0000-0002-1882-4759; Suarez, Silvia/0000-0003-2258-664X; Sanchez, Benigno/0000-0002-4198-9834</t>
  </si>
  <si>
    <t>10.1016/j.cej.2016.06.018</t>
  </si>
  <si>
    <t>WOS:000390073200022</t>
  </si>
  <si>
    <t>Chávez, H; Lee, D; Baldick, R</t>
  </si>
  <si>
    <t>Chavez, Hector; Lee, Duehee; Baldick, Ross</t>
  </si>
  <si>
    <t>CPS1-Compliant Regulation Using a PSD Analysis of Wind Expansion in a Single Balancing Authority</t>
  </si>
  <si>
    <t>IEEE TRANSACTIONS ON SUSTAINABLE ENERGY</t>
  </si>
  <si>
    <t>The integration of wind power has imposed new requirements for regulation reserves. For ensuring adequate regulation reserves, wind power variability and uncertainty must be estimated, and system frequency must comply with frequency performance standards. This work determines regulation capacity and ramping capability requirements as a function of wind-installed capacity to comply with CPS1, the North American Electric Reliability Corporation (NERC) Control Performance Standard 1 for the case of a single balancing authority. A simulation of the Electric Reliability Council of Texas (ERCOT) will be presented to examine the performance of the formulation.</t>
  </si>
  <si>
    <t>Lee, Duehee/H-5740-2016</t>
  </si>
  <si>
    <t>Lee, Duehee/0000-0002-6209-4423</t>
  </si>
  <si>
    <t>1949-3029</t>
  </si>
  <si>
    <t>10.1109/TSTE.2015.2417311</t>
  </si>
  <si>
    <t>WOS:000356461100035</t>
  </si>
  <si>
    <t>Herrera, EA; Schneider, D; Alegría, R; Figueroa, E; Villanueva, C; Farías, M; Casanello, P; Krause, BJ</t>
  </si>
  <si>
    <t>Herrera, Emilio A.; Schneider, Daniela; Alegria, Rene; Figueroa, Esteban; Villanueva, Cristian; Farias, Marcelo; Casanello, Paola; Krause, Bernardo J.</t>
  </si>
  <si>
    <t>INTRAUTERINE GROWTH RESTRICTION IN GUINEA PIG IMPAIRS UMBILICAL AND SYSTEMIC VASCULAR FUNCTION</t>
  </si>
  <si>
    <t>6th Latin American Symposium on Maternal-Fetal Interaction and Placenta / 5th Latin American Symposium on Reproductive Immunology</t>
  </si>
  <si>
    <t>APR 13-16, 2015</t>
  </si>
  <si>
    <t>Mar del Plata, ARGENTINA</t>
  </si>
  <si>
    <t>Casanello, Paola/X-7443-2019; Herrera, Emilio/H-5992-2018; Figueroa, Esteban/JNT-6352-2023; Farias, Marcelo/R-6063-2019; Krause, Bernardo/F-4977-2013; farias jofre, marcelo/C-5260-2011</t>
  </si>
  <si>
    <t>Krause, Bernardo/0000-0002-3563-6143; Figueroa Becerra, Esteban Gabriel/0000-0003-1316-738X; farias jofre, marcelo/0000-0003-0473-2295</t>
  </si>
  <si>
    <t>1532-3102</t>
  </si>
  <si>
    <t>OB 3</t>
  </si>
  <si>
    <t>10.1016/j.placenta.2015.01.437</t>
  </si>
  <si>
    <t>WOS:000351796500077</t>
  </si>
  <si>
    <t>Tamayo, LA; Zapata, PA; Rabagliati, FM; Azócar, MI; Muñoz, LA; Zhou, X; Thompson, GE; Páez, MA</t>
  </si>
  <si>
    <t>Tamayo, L. A.; Zapata, P. A.; Rabagliati, F. M.; Azocar, M. I.; Munoz, L. A.; Zhou, X.; Thompson, G. E.; Paez, M. A.</t>
  </si>
  <si>
    <t>Antibacterial and non-cytotoxic effect of nanocomposites based in polyethylene and copper nanoparticles</t>
  </si>
  <si>
    <t>JOURNAL OF MATERIALS SCIENCE-MATERIALS IN MEDICINE</t>
  </si>
  <si>
    <t>In this study, an antibacterial, but not cytotoxic nanomaterial based on polyethylene and copper nanoparticles was prepared by in situ polymerization. PE-CuNps nanocomposites against Escherichia coli, completely suppressed the number of live bacteria after 12 h incubation compared to neat PE. TEM images showed that nanocomposites damage the plasma membrane of the bacteria, revealing a bacteriolytic effect. Toxic effects of copper nanoparticles on viability of neuroblastoma line cell also was evaluated, revealing a non cytotoxic effect for the doses used, showing that this nanocomposite is a ideal material for medical devices.</t>
  </si>
  <si>
    <t>Tamayo, Laura/I-8942-2018; Azocar, Manuel/I-1226-2013; Pappas, Georgios/F-7194-2014; Paez, Maritza/M-2010-2014; Zhou, Xiaorong/M-3600-2014</t>
  </si>
  <si>
    <t>Tamayo, Laura/0000-0003-1159-5305; Azocar Guzman, Manuel/0000-0003-1098-4659; Zapata, Paula Andrea/0000-0003-3361-6226; munoz, lisa/0000-0002-4588-2620; paez, maritza/0000-0001-5881-884X; Zhou, Xiaorong/0000-0001-9943-3997</t>
  </si>
  <si>
    <t>0957-4530</t>
  </si>
  <si>
    <t>1573-4838</t>
  </si>
  <si>
    <t>10.1007/s10856-015-5475-6</t>
  </si>
  <si>
    <t>WOS:000350659300009</t>
  </si>
  <si>
    <t>Huebner, W; Herschorn, S; Olmedo, T; Reyes, D; Bauer, RM</t>
  </si>
  <si>
    <t>Huebner, W.; Herschorn, S.; Olmedo, T.; Reyes, D.; Bauer, R. M.</t>
  </si>
  <si>
    <t>THE PHORBAS SYSTEM - A NEW SINGLE INCISION ADJUSTABLE MALE SLING</t>
  </si>
  <si>
    <t>NEUROUROLOGY AND URODYNAMICS</t>
  </si>
  <si>
    <t>44th Annual Meeting of the International-Continence-Society (ICS)</t>
  </si>
  <si>
    <t>OCT 20-24, 2014</t>
  </si>
  <si>
    <t>Rio de Janeiro, BRAZIL</t>
  </si>
  <si>
    <t>Int Continence Soc</t>
  </si>
  <si>
    <t>0733-2467</t>
  </si>
  <si>
    <t>1520-6777</t>
  </si>
  <si>
    <t>WOS:000339424000263</t>
  </si>
  <si>
    <t>Humar, J; Fazileh, F; Ghorbanie-Asl, M; Pina, FE</t>
  </si>
  <si>
    <t>Humar, JagMohan; Fazileh, Farrokh; Ghorbanie-Asl, Mohammad; Pina, Freddy E.</t>
  </si>
  <si>
    <t>Displacement-based seismic design of regular reinforced concrete shear wall buildings</t>
  </si>
  <si>
    <t>CANADIAN JOURNAL OF CIVIL ENGINEERING</t>
  </si>
  <si>
    <t>A displacement based method for the seismic design of reinforced concrete shear wall buildings of regular shape is presented. For preliminary design, approximate estimates of the yield and ultimate displacements are obtained, the former from simple empirical relations, and the latter to keep the ductility demand within ductility capacity and to limit the maximum storey drift to that specified by the codes. For a multi-storey building, the structure is converted to an equivalent single-degree-of-freedom system using an assumed deformation shape that is representative of the first mode. The required base shear strength of the system is determined from the inelastic demand spectrum corresponding to the ductility demand. In subsequent iterations a pushover analysis for the force distribution based on the first mode is used to obtain better estimates of yield and ultimate displacements taking into account stability under P-Delta effect. A multi-mode pushover analysis is carried out to find more accurate estimates of the shear demand.</t>
  </si>
  <si>
    <t>Fazileh, Farrokh/0000-0002-5302-2778</t>
  </si>
  <si>
    <t>0315-1468</t>
  </si>
  <si>
    <t>1208-6029</t>
  </si>
  <si>
    <t>10.1139/L11-033</t>
  </si>
  <si>
    <t>WOS:000293361900002</t>
  </si>
  <si>
    <t>Lemus, L; Guerrero, J; Costamagna, J; Jara, D; Zagal, J; Oliver, A; Ferraudi, G; Lappin, G</t>
  </si>
  <si>
    <t>Lemus, Luis; Guerrero, Juan; Costamagna, Juan; Jara, Danilo; Zagal, Jose; Oliver, Allen; Ferraudi, Guillermo; Lappin, Graham</t>
  </si>
  <si>
    <t>Synthesis and structural study of a circular trimetallic Cu(I) helicate</t>
  </si>
  <si>
    <t>ACTA CRYSTALLOGRAPHICA A-FOUNDATION AND ADVANCES</t>
  </si>
  <si>
    <t>Jara, Danilo/A-6090-2017</t>
  </si>
  <si>
    <t>2053-2733</t>
  </si>
  <si>
    <t>MS87.P14</t>
  </si>
  <si>
    <t>C753</t>
  </si>
  <si>
    <t>10.1107/S0108767311081001</t>
  </si>
  <si>
    <t>WOS:000484219403368</t>
  </si>
  <si>
    <t>Chacón, M; Pardo, C; Puppo, C; Curilem, M; Landerretche, J</t>
  </si>
  <si>
    <t>Chacon, Max; Pardo, Carlos; Puppo, Corina; Curilem, Millaray; Landerretche, Jean</t>
  </si>
  <si>
    <t>Non-invasive Intracranial Pressure Estimation Using Support Vector Machine</t>
  </si>
  <si>
    <t>2010 ANNUAL INTERNATIONAL CONFERENCE OF THE IEEE ENGINEERING IN MEDICINE AND BIOLOGY SOCIETY (EMBC)</t>
  </si>
  <si>
    <t>IEEE Engineering in Medicine and Biology Society Conference Proceedings</t>
  </si>
  <si>
    <t>32nd Annual International Conference of the IEEE Engineering-in-Medicine-and-Biology-Society (EMBC 10)</t>
  </si>
  <si>
    <t>AUG 30-SEP 04, 2010</t>
  </si>
  <si>
    <t>Buenos Aires, ARGENTINA</t>
  </si>
  <si>
    <t>IEEE Engn Med &amp; Biol Soc (EMBS)</t>
  </si>
  <si>
    <t>Intracranial Pressure (ICP) measurements are of great importance for the diagnosis, monitoring and treatment of many vascular brain disturbances. The standard measurement of the ICP is performed invasively by the perforation of the cranial scalp in the presence of traumatic brain injury (TBI). Measuring the ICP in a noninvasive way is relevant for a great number of pathologies where the invasive measurement represents a high risk. The method proposed in this paper uses the Arterial Blood Pressure (ABP) and the Cerebral Blood Flow Velocity (CBFV) - which may be obtained by means of non-invasive methods - to estimate the ICP. A non-linear Support Vector Machine was used and reached a low error between the real ICP signal and the estimated one, allowing an on-line implementation of the ICP estimation, with an adequate temporal resolution.</t>
  </si>
  <si>
    <t>Curilem, Millaray/0000-0001-8685-221X</t>
  </si>
  <si>
    <t>1557-170X</t>
  </si>
  <si>
    <t>978-1-4244-4124-2</t>
  </si>
  <si>
    <t>WOS:000287964001099</t>
  </si>
  <si>
    <t>Escobar, J; Varela-Nallar, L; Coddou, C; Nelson, P; Maisey, K; Valdés, D; Aspee, A; Espinosa, V; Rozas, C; Montoya, M; Mandiola, C; Rodríguez, FE; Acuña-Castillo, C; Escobar, A; Fernández, R; Diaz, H; Sandoval, M; Imarai, M; Rios, M</t>
  </si>
  <si>
    <t>Escobar, Jorge; Varela-Nallar, Lorena; Coddou, Claudio; Nelson, Pablo; Maisey, Kevin; Valdes, Daniel; Aspee, Alexis; Espinosa, Victoria; Rozas, Carlos; Montoya, Margarita; Mandiola, Cristian; Rodriguez, Felipe E.; Acuna-Castillo, Claudio; Escobar, Alejandro; Fernandez, Ricardo; Diaz, Hernan; Sandoval, Mario; Imarai, Monica; Rios, Miguel</t>
  </si>
  <si>
    <t>Oxidative Damage in Lymphocytes of Copper Smelter Workers Correlated to Higher Levels of Excreted Arsenic</t>
  </si>
  <si>
    <t>MEDIATORS OF INFLAMMATION</t>
  </si>
  <si>
    <t>Arsenic has been associated with multiple harmful effects at the cellular level. Indirectly these defects could be related to impairment of the integrity of the immune system, in particular in lymphoid population. To characterize the effect of Arsenic on redox status on this population, copper smelter workers and arsenic unexposed donors were recruited for this study. We analyzed urine samples and lymphocyte enriched fractions from donors to determinate arsenic levels and lymphocyte proliferation. Moreover, we studied the presence of oxidativemarkers MDA, vitamin E and SOD activity in donor plasma. Here we demonstrated that in human beings exposed to high arsenic concentrations, lymphocyte MDA and arsenic urinary levels showed a positive correlation with SOD activity, and a negative correlation with vitamin E serum levels. Strikingly, lymphocytes from the arsenic exposed population respond to a polyclonal stimulator, phytohemaglutinin, with higher rates of thymidine incorporation than lymphocytes of a control population. As well, similar in vitro responses to arsenic were observed using a T cell line. Our results suggest that chronic human exposure to arsenic induces oxidative damage in lymphocytes and could be considered more relevant than evaluation of T cell surveillance.</t>
  </si>
  <si>
    <t>Escobar, Alejandro/I-2775-2013; Varela-Nallar, Lorena/AAV-3304-2021; Maisey, Kevin/AAP-2886-2021; Acuña-Castillo, Claudio/AAI-7090-2021; Zamora Valdes, Daniel/N-1399-2017; Fernandez, Ricardo/H-3422-2018</t>
  </si>
  <si>
    <t>Coddou, Claudio/0000-0002-5297-3694; Acuna-Castillo, Claudio/0000-0003-3607-6077; Rodriguez-Tirado, Felipe/0000-0002-6554-8187; Varela-Nallar, Lorena/0000-0003-2588-6437; Espinosa, Victoria/0000-0003-3280-6394; Escobar, Javier/0000-0002-5044-991X; Rozas, Carlos/0000-0002-6422-9600; Imarai, Monica/0000-0001-8767-9180; Nelson Hunt, Pablo/0009-0005-0704-4334; Maisey, Kevin/0000-0002-7423-6329; Montoya, Margarita/0000-0002-6268-1118; Fernandez, Ricardo/0000-0003-4493-9362</t>
  </si>
  <si>
    <t>0962-9351</t>
  </si>
  <si>
    <t>1466-1861</t>
  </si>
  <si>
    <t>10.1155/2010/403830</t>
  </si>
  <si>
    <t>WOS:000286266900001</t>
  </si>
  <si>
    <t>Leyton, M; Henrio, L; Piquer, JM</t>
  </si>
  <si>
    <t>DAmbra, P; Guarracino, M; Talia, D</t>
  </si>
  <si>
    <t>Leyton, Mario; Henrio, Ludovic; Piquer, Jose M.</t>
  </si>
  <si>
    <t>Exceptions for Algorithmic Skeletons</t>
  </si>
  <si>
    <t>EURO-PAR 2010 - PARALLEL PROCESSING, PART II</t>
  </si>
  <si>
    <t>16th International Euro-Par Conference on Parallel Processing</t>
  </si>
  <si>
    <t>AUG 31-SEP 03, 2010</t>
  </si>
  <si>
    <t>Ischia, ITALY</t>
  </si>
  <si>
    <t>Natl Res Council Italy, High Performance Comp &amp; Networking Inst</t>
  </si>
  <si>
    <t>Algorithmic skeletons offer high-level abstractions for parallel programming based on recurrent parallelism patterns. Patterns can be combined and nested into more complex parallelism behaviors. Programmers fill the skeleton patterns with the functional (business) code, which transforms the generic skeleton into a specific application. However, when the functional code generates exceptions, programmers are exposed to implementation details of the skeleton library, breaking the high-level abstraction principle. Furthermore, related parallel activities must be stopped as the exception is raised. This paper describes how to handle exceptions in algorithmic skeletons without breaking the high-level abstractions of the programming model. We describe both the behavior of the framework in a formal way, and its implementation in Java: the Skandium Library.</t>
  </si>
  <si>
    <t>978-3-642-15290-0</t>
  </si>
  <si>
    <t>II</t>
  </si>
  <si>
    <t>WOS:000283106500003</t>
  </si>
  <si>
    <t>Godoy, L; Garrido, D; Martínez, C; Saavedra, J; Combina, M; Ganga, MA</t>
  </si>
  <si>
    <t>Godoy, L.; Garrido, D.; Martinez, C.; Saavedra, J.; Combina, M.; Ganga, M. A.</t>
  </si>
  <si>
    <t>Study of the coumarate decarboxylase and vinylphenol reductase activities of Dekkera bruxellensis (anamorph Brettanomyces bruxellensis) isolates</t>
  </si>
  <si>
    <t>LETTERS IN APPLIED MICROBIOLOGY</t>
  </si>
  <si>
    <t>To evaluate the coumarate descarboxylase (CD) and vinylphenol reductase (VR) activities in Dekkera bruxellensis isolates and study their relationship to the growth rate, protein profile and random amplified polymorphic DNA (RAPD) molecular pattern. CD and VR activities were quantified, as well, the growth rate, intracellular protein profile and molecular analysis (RAPD) were determined in 12 isolates of D. bruxellensis. All the isolates studied showed CD activity, but only some showed VR activity. Those isolates with the greatest growth rate did not present a different protein profile from the others. The FASC showed a relationship between RAPD molecular patterns and VR activity. CD activity is common to all of the D. bruxellensis isolates. This was not the case with VR activity, which was detected at a low percentage in the analysed micro-organisms. A correlation was observed between VR activity and the RAPD patterns. This is the first study that quantifies the CD and VR enzyme activities in D. bruxellensis, demonstrating that these activities are not present in all isolates of this yeast.</t>
  </si>
  <si>
    <t>Martinez, Claudio/MGS-9961-2025; Ganga, Maria/S-8176-2019; Olivares, Liliana/AAB-6276-2020; Garrido, Daniel/F-8229-2013</t>
  </si>
  <si>
    <t>Martinez, Claudio/0000-0001-8564-9287; Godoy Olivares, Liliana/0000-0001-5110-5978</t>
  </si>
  <si>
    <t>0266-8254</t>
  </si>
  <si>
    <t>1472-765X</t>
  </si>
  <si>
    <t>10.1111/j.1472-765X.2009.02556.x</t>
  </si>
  <si>
    <t>WOS:000264026000012</t>
  </si>
  <si>
    <t>Bueno, C; Mikelsons, L; Maretti, L; Scaiano, JC; Aspée, A</t>
  </si>
  <si>
    <t>Bueno, Claudia; Mikelsons, Larisa; Maretti, Luca; Scaiano, J. C.; Aspee, Alexis</t>
  </si>
  <si>
    <t>Photophysical Properties of the Prefluorescent Nitroxide Probes QT and C343T</t>
  </si>
  <si>
    <t>The photophysical properties of the nitroxide prefluorescent probes 4-(3-hydroxy-2-methyl-4-quinolinoyloxy)-2,2,6,6-tetramethyl-piperidin-4-yl) ester free radical (QT) and 2,3,4,6,7,8-hexahydro-quinolizino [1,10,9-gh] coumarin-3-carboxylic acid (1-oxyl-2,2,6,6-tetramethyl-piperidin-4-yl) ester free radical (C343T) were evaluated as a function of pH and solvent properties. The absorbance of QT showed high pH sensitivity. The pK(a) values for the different ionization forms involved in the acid-base equilibrium of the quinoline chromophore were determined in the ground and excited states. The fluorescence lifetimes of QT, and N-hydroxylamine (QTH) and quinoline methyl ester (QMe) derivatives, showed that the intramolecular quenching efficiency by the nitroxide moiety is independent of the quinoline ionization form. The fluorescence and absorbance of C343T were highly sensitive to solvent polarity in agreement with a charged transfer excited state of the chromophore. However, we noted a decrease in the intramolecular fluorescence quenching efficiency by the nitroxide moiety when changing the polarity of the solvent from hexane to water. This behavior has been attributed to a suppression of an energy transfer mechanism in the nitroxide quenching process in very polar solvents. The results obtained in micelles allow us to propose QT and C343T as sensors for pH and micropolarity, respectively, in addition to their role as monitors for free radicals or hydrogen transfer from phenols.</t>
  </si>
  <si>
    <t>1751-1097</t>
  </si>
  <si>
    <t>10.1111/j.1751-1097.2008.00381.x</t>
  </si>
  <si>
    <t>WOS:000261081200032</t>
  </si>
  <si>
    <t>Abuin, E; Lissi, E; Biasutti, MA; Duarte, R</t>
  </si>
  <si>
    <t>Abuin, Elsa; Lissi, Eduardo; Biasutti, M. Alicia; Duarte, Roxanna</t>
  </si>
  <si>
    <t>Kinetics of p-nitrophenyl acetate hydrolysis catalyzed by Mucor javanicus lipase in AOT reverse micellar solutions formulated in different organic solvents</t>
  </si>
  <si>
    <t>PROTEIN JOURNAL</t>
  </si>
  <si>
    <t>The rate of hydrolysis of p-nitrophenyl acetate (PNPA) catalyzed by Mucor javanicus lipase has been measured in AOT reverse micellar solutions formulated in aliphatic hydrocarbons, aromatic hydrocarbons and a chlorinated compound. The study has been performed at a single value of W = ([water]/[AOT]) = 6.0. Fluorescence decay measurements of intrinsic enzyme fluorescence, mainly due to tryptophan residues, in the different reverse micellar systems were also carried out, in an attempt to obtain some insight on the effect of the organic solvent on the protein conformation. Differences observed in the kinetics of the fluorescence decays of tryptophan residues of the lipase incorporated to the micelles with the different external organic solvents were also found in the catalytic behaviour of the enzyme. In particular, it is observed that the contribution of the long lived component of the fluorescence decay is considerably higher (ca. 40%) in aliphatic than in aromatic solvents (ca. 15%), indicating significant differences in the protein conformation. This effect of the organic solvent on the protein conformation is also observed in the enzymatic activity, which is higher in the aromatic than in the aliphatic solvents.</t>
  </si>
  <si>
    <t>1572-3887</t>
  </si>
  <si>
    <t>1573-4943</t>
  </si>
  <si>
    <t>10.1007/s10930-007-9087-y</t>
  </si>
  <si>
    <t>WOS:000250122900004</t>
  </si>
  <si>
    <t>Horváthy, PA; Plyushchay, MS</t>
  </si>
  <si>
    <t>Anyon wave equations and the noncommutative plane</t>
  </si>
  <si>
    <t>The Jackiw-Nair nonrelativistic limit of the relativistic anyon equations provides us with infinite-component wave equations of the Dirac-Majorana-Levy-Leblond type for the exotic particle, associated with the two-fold central extension of the planar Galilei group. An infinite dimensional representation of the Galilei group is found. The velocity operator is studied, and the observable coordinates describing a noncommutative plane are identified. (C) 2004 Elsevier B.V. All rights reserved.</t>
  </si>
  <si>
    <t>Peter, Horvathy/0000-0002-6337-4494</t>
  </si>
  <si>
    <t>AUG 12</t>
  </si>
  <si>
    <t>10.1016/j.physletb.2004.05.043</t>
  </si>
  <si>
    <t>WOS:000223143300071</t>
  </si>
  <si>
    <t>Pizarro, C; Escudey, M; Fabris, JD</t>
  </si>
  <si>
    <t>Influence of organic matter on the iron oxide mineralogy of volcanic soils</t>
  </si>
  <si>
    <t>8th Latin American Conference on Applications of the Mossbauer Effect</t>
  </si>
  <si>
    <t>SEP 22-27, 2002</t>
  </si>
  <si>
    <t>PANAMA CITY, PANAMA</t>
  </si>
  <si>
    <t>Univ Panama,Assoc Panamena Avance Ciencia,Centro Laninoamericano Fis</t>
  </si>
  <si>
    <t>Samples of soils developing on volcanic materials that represent about 70% of the agriculture land area in Chile were studied by chemical methods, powder X-ray diffractometry (XRD) and Mossbauer spectroscopy. The soil samples were collected from native areas of Ultisols, Andisols, and Andisols presenting seasonal cycles of poor drainage, at depths between 0-15 cm and 15-30 cm from the top of the profile. The degree of crystallinity of iron oxides was evaluated from the ratio of amounts of Fe extracted with oxalate-oxalic acid (Fe-OX) and with bicarbonate-citrate-dithionite mixtures (Fe-DBC) Fe-OX/Fe-DBC. Results show that the specific saturation magnetization of soils and crystallinity of iron-rich minerals increase with decreasing organic matter contents of soils. From XRD and Mossbauer data, ferrihydrite (ideal formula, Fe5HO8 . 4H(2)O) could be the precursor either of the soil magnetite (Fe3O4) or hematite (alphaFe(2)O(3)). Older soils were found to be in an intermediate stage regarding the transformation of magnetite to maghemite (gammaFe(2)O(3)).</t>
  </si>
  <si>
    <t>1572-9540</t>
  </si>
  <si>
    <t>10.1023/B:HYPE.0000003764.17385.a9</t>
  </si>
  <si>
    <t>WOS:000187826200008</t>
  </si>
  <si>
    <t>Muñoz, O; Diaz, OP; Leyton, I; Nuñez, N; Devesa, V; Súñer, MA; Vélez, D; Montoro, R</t>
  </si>
  <si>
    <t>Vegetables collected in the cultivated Andean area of northern Chile:: Total and inorganic arsenic contents in raw vegetables</t>
  </si>
  <si>
    <t>High levels of arsenic are found in the soil and water of the Second Region in Chile as a result of natural causes. Total and inorganic arsenic contents were analyzed in the edible part of 16 agricultural products (roots, stems, leaves, inflorescences, and fruits) grown in this area. The total arsenic contents varied in the range 0.008-0.604 mug g(-1) of wet weight (ww), below the maximum level allowed by Chilean legislation (1 mug g(-1) of ww). Inorganic arsenic contents (range = 0.008-0.613 mug g(-1) of ww) represented between 28 and 114% of total arsenic. The concentrations of total and inorganic arsenic found in edible roots and leaves were higher than those found in fruit. The highest concentrations were found in a sample of spinach. High quantities of this vegetable would have to consumed (250 g/day) to reach the Provisional Tolerable Weekly Intake for inorganic arsenic. The vegetable group may make a considerable contribution to the total intake of inorganic arsenic.</t>
  </si>
  <si>
    <t>Velez, Dinoraz/H-4255-2012; Devesa, Vicenta/I-2102-2012; Munoz, Ociel/K-2951-2016</t>
  </si>
  <si>
    <t>Velez Pacios, Dinoraz/0000-0001-8679-5622; Devesa, Vicenta/0000-0002-1988-2985; Munoz, Ociel/0000-0002-2445-4336</t>
  </si>
  <si>
    <t>JAN 30</t>
  </si>
  <si>
    <t>10.1021/jf011027k</t>
  </si>
  <si>
    <t>WOS:000173612800038</t>
  </si>
  <si>
    <t>Estiu, G; Canales, J; Ramirez, J; Costamagna, J</t>
  </si>
  <si>
    <t>Influence of the solvent in the electronic spectra of azabipyridine macrocycles of zinc(II) and nickel(II)</t>
  </si>
  <si>
    <t>JOURNAL OF COORDINATION CHEMISTRY</t>
  </si>
  <si>
    <t>The influence of the media on structural characteristics of bis-azabipyridil macrocyclic ligands and their Zn and Ni complexes is analyzed by means of quantum chemical calculations applied to the interpretation of UV-visible spectra. Metallic and metal-free species are considered as case studies, focusing on the influence of both coordinating and non-coordinating effects of the solvents on the structural and electronic characteristics of the systems. Whereas cationic structures are necessary to model a protic environment, isolated molecules are not capable of rendering a good description in a non-polar environment, where intermolecular interactions are to be considered.</t>
  </si>
  <si>
    <t>0095-8972</t>
  </si>
  <si>
    <t>1029-0389</t>
  </si>
  <si>
    <t>3-4</t>
  </si>
  <si>
    <t>10.1080/00958970108022635</t>
  </si>
  <si>
    <t>WOS:000172387600002</t>
  </si>
  <si>
    <t>Belmar, J; Cuellar, C; Llona, I; Arancibia, S; Kusch, C; Tapia-Arancibia, L; Pinter, A; Perez, H</t>
  </si>
  <si>
    <t>Allopregnanolone-induced modification of presynaptic basal and K+-induced [3H]-norepinephrine efflux from rat cortical slices during the estrous cycle</t>
  </si>
  <si>
    <t>NEUROENDOCRINOLOGY</t>
  </si>
  <si>
    <t>Superfused frontal slices of cerebral cortex were preloaded with [H-3]-norepinephrine ([H-3]NE). Basal [H-3]NE efflux and Kf-induced [H-3]NE release were studied during the estrous cycle and in the presence of neurosteroids. Basal [H-3]NE efflux showed estrous cycle-related variations, with lowest values found during estrus and diestrus II. Allopregnanolone (10(-9) M) potentiated basal [H-3]NE efflux from the Ist minute of its application; the effect of the steroid was still present after 20 min. This effect was also dependent upon the estrous cycle, since basal [H-3]NE efflux was mainly increased during estrus diestrus I, and to a lesser degree only during proestrus. During diestrus II and after ovariectomy, basal [H-3]NE efflux was no longer affected by the neurosteroid. In the presence of yohimbine (10(-6) M), the effect of allopregnanolone on basal efflux was potentiated only during the first 3 min but vanished thereafter. Allopregnanolone (10(-9) M) potentiated the K+-induced [H-3]NE release during estrus, but pregnenolone (10(-9) M) was ineffective, suggesting specificity of the neurosteroid. Yohimbine (10(-6) M) also potentiated K+-induced [H-3]NE release. When applied simultaneously with allopregnanolone (10(-9) M), a potentiating effect on [H-3]NE release was observed. The present results suggest that allopregnanolone is a neurosteroid able to modulate norepinephrine release in the cerebral cortex in an estrous cycle-dependent manner, and that the effect could involve noradrenergic alpha-2 receptors.</t>
  </si>
  <si>
    <t>0028-3835</t>
  </si>
  <si>
    <t>1423-0194</t>
  </si>
  <si>
    <t>10.1159/000054374</t>
  </si>
  <si>
    <t>WOS:000076564700005</t>
  </si>
  <si>
    <t>Kerres, U; Mack, G; Palma, G</t>
  </si>
  <si>
    <t>Perfect 3-dimensional lattice actions for 4-dimensional quantum field theories at finite temperature</t>
  </si>
  <si>
    <t>We propose a two-step procedure to study the order of phase transitions at finite temperature in electroweak theory and in simplified models thereof. In a first step a coarse grained free energy is computed by perturbative methods. It is obtained in the form of a 3-dimensional perfect lattice action by a block spin transformation. It has finite temperature-dependent coefficients, In this way the UV-problem and the infrared problem are separated in a clean way, In the second step the effective 3-dimensional lattice theory is treated in a nonperturbative way, either by the Feynman-Bogoliubov method (solution of a gap equation), by real space renormalization group methods, or by computer simulations. In this paper we outline the principles for phi(4)-theory and scalar electrodynamics. The Balaban-Jaffe block spin transformation for the gauge field is used. It is known how to extend this transformation to the nonabelian case, but this will not be discussed here.</t>
  </si>
  <si>
    <t>MAY 20</t>
  </si>
  <si>
    <t>10.1016/0550-3213(96)00083-1</t>
  </si>
  <si>
    <t>WOS:A1996UR25600006</t>
  </si>
  <si>
    <t>Díaz, J; Roa, K; Boulett, A; Azócar, L; Sánchez, J</t>
  </si>
  <si>
    <t>Diaz, Juan; Roa, Karina; Boulett, Andres; Azocar, Laura; Sanchez, Julio</t>
  </si>
  <si>
    <t>Reusable aminated lignin-based hydrogel biocomposite for effective dye adsorption in wastewater</t>
  </si>
  <si>
    <t>This study reports enhanced organic dye adsorption capacity from aqueous solutions of a synthesized novel biocomposite hydrogel based on aminated lignin (AL) and poly(3-acryloamidopropyl)-trimethylammonium chloride P(ClAPTA). The biocomposites were characterized via Fourier-transform infrared spectroscopy, thermogravimetric analysis, scanning electron microscopy, and elemental analysis, confirming successful functionalization and polymerization. A factorial design was used to screen the operational parameters, showing that the P(ClAPTA-AL) composition was the most significant factor affecting dye adsorption compared to the amination ratio. Optimization of the adsorption process was achieved using alizarin red S (ARS) as a model dye through a Box-Behnken design, revealing optimal conditions: pH 12.0, 20 degrees C, 120 min contact time, and a composite-to-ARS mass ratio of 10, resulting in a high adsorption capacity of 102.1 mg g(-1) and a maximum adsorption of 3889 mg g(-1). Kinetic studies showed an adsorption process followed a pseudo-second-order model, confirming chemisorption as the predominant mechanism, while thermodynamic analysis revealed a spontaneous and endothermic adsorption process. Furthermore, promissory results demonstrated high reusability, with adsorption efficiency remaining at similar to 99 % until the fourth cycle and maintaining 81.1 % after seven cycles.</t>
  </si>
  <si>
    <t>10.1016/j.ijbiomac.2025.140842</t>
  </si>
  <si>
    <t>FEB 2025</t>
  </si>
  <si>
    <t>WOS:001428977500001</t>
  </si>
  <si>
    <t>Toledo-Neira, C; Garrido-Morales, F; Piña, S</t>
  </si>
  <si>
    <t>Toledo-Neira, Carla; Garrido-Morales, Francisco; Pina, Samuel</t>
  </si>
  <si>
    <t>Hydrophobic Deep Eutectic Solvent Based Dispersive Liquid-Liquid Microextraction for a Green and Efficient Triclosan Determination: Critical Study of Extraction Variables</t>
  </si>
  <si>
    <t>JOURNAL OF ANALYSIS AND TESTING</t>
  </si>
  <si>
    <t>A rapid and effective analytical method was developed for the detection of triclosan in wastewater samples using a hydrophobic deep eutectic solvent thymol-lidocaine (Thy-Lid, molar ratio of 1:1) and dispersive liquid-liquid microextraction (DLLME). The analyte was determined by high-performance liquid chromatography with a photodiode array detector (HPLC-PDA), obtaining a detection limit of 0.38 mu g/L, a recovery rate of 99%, and an enrichment factor of the analyte in the water of 80. A factorial design was used to optimize the analytical signal to improve the time and reduce the cost of the method. Combining this chemometric optimization tool with a green solvent and DLLME allows for obtaining an analytical methodology aligned with the principles of green analytical chemistry, enabling the inexpensive, selective, and rapid analysis of triclosan in real wastewater.</t>
  </si>
  <si>
    <t>Toledo Neira, Carla Beatriz/0000-0003-2872-3043; Pina Hodges, Samuel/0000-0001-5789-8032</t>
  </si>
  <si>
    <t>2096-241X</t>
  </si>
  <si>
    <t>2509-4696</t>
  </si>
  <si>
    <t>2025 JAN 16</t>
  </si>
  <si>
    <t>10.1007/s41664-024-00342-x</t>
  </si>
  <si>
    <t>JAN 2025</t>
  </si>
  <si>
    <t>WOS:001399805300001</t>
  </si>
  <si>
    <t>Barros, L; Piaggio, G; Quilaqueo, M; Seriche, G; Pérez, K; Barraza, B; Romero, J; Ruby-Figueroa, R; Estay, H</t>
  </si>
  <si>
    <t>Barros, Lorena; Piaggio, Gianni; Quilaqueo, Michelle; Seriche, Gabriel; Perez, Karla; Barraza, Belen; Romero, Julio; Ruby-Figueroa, Rene; Estay, Humberto</t>
  </si>
  <si>
    <t>Analysis of membrane fouling during microfiltration of copper sulfide precipitates</t>
  </si>
  <si>
    <t>Membrane filtration, particularly MF-UF, has previously been assessed as an attractive process for clarifying and recovering valuable metals from metal sulfide precipitation. Previous results of the high transmembrane flux achieved have shown to be promising. However, those studies were primarily focused on demonstrating the method's feasibility and estimating its performance under different operational conditions. Based on that, this study represents a significant advancement in the field, assessing the fouling behavior and its impact on process performance during the microfiltration of metal sulfide precipitates. Different operational conditions were evaluated using commercial microfiltration membranes operating in batch and continuous regimes, varying Cu concentration in the feed solution (200 and 1800 mg/L), and cross-flow velocities (0.2 - 0.16 m/s). Batch recirculation tests had over 80 % better flux results than the long-term continuous-mode operation tests, mainly due to a progressive decline in the membrane flux observed at longer operation times. Moreover, the cross-flow velocity evaluation indicated that elevated tangential flow rates might result in a decline in the performance of particles with high aggregation behavior. Analyses with modified Hermia's models and with SEM-EDX image characterizations demonstrated that cake filtration represents the primary fouling mechanism in this process under long-term operation. The present study offers crucial insights that will inform the further development of MF for the treatment of metal sulfide precipitates.</t>
  </si>
  <si>
    <t>Romero, Julio/I-6705-2013; Estay, Humberto/I-3499-2017</t>
  </si>
  <si>
    <t>Estay, Humberto/0000-0001-8518-7131; Barraza, Belen/0000-0002-1969-0553; Romero, Julio/0000-0002-1229-1592</t>
  </si>
  <si>
    <t>FEB 19</t>
  </si>
  <si>
    <t>10.1016/j.seppur.2024.129165</t>
  </si>
  <si>
    <t>WOS:001295493500001</t>
  </si>
  <si>
    <t>Pavez-Orrego, C; Pastén, D; Estay, R</t>
  </si>
  <si>
    <t>Pavez-Orrego, Claudia; Pasten, Denisse; Estay, Rodrigo</t>
  </si>
  <si>
    <t>Fracture network characterization through fractal dimension and Gutenberg-Richter parameter: Decatur open-source dataset as a study case</t>
  </si>
  <si>
    <t>GEOPHYSICAL PROSPECTING</t>
  </si>
  <si>
    <t>The fractal formalisms are well known for providing new understandings regarding the geometrical, spatial, and temporal behaviour of seismicity. Particularly, the fractal dimensions give information about the seismic events self-organization and self-similarity. On the other hand, the Gutenberg-Richter value, known as the b-value, has shown through the years to give handy information regarding the statistical distribution of earthquakes, on-site physical parameters, and geomechanical inputs. The Gutenberg-Richter value (b) and the capacity and correlation fractal dimensions, (D-0 and D-2), of the spatial distribution of earthquake hypocentres interact mathematically for micro- and macro-events. From this interaction, it is possible to obtain new insights into the fracture network development and the microseismicity source characterization in terms of single fractures, fault planes, or densely fractured volumetric spaces. Here we show this interaction for the open-source Decatur CO2 project seismicity catalogue, comparing it with the results obtained for a natural earthquake catalogue of Illinois, in the United States. The fractal dimension D-0 is calculated using two different methodologies: box-counting and correlation integral partitioning. This last method is also used to calculate D-2. The results presented in this study allow us to describe how the fracture network geometry influences the earthquake complexity. Together with the calculation of the b-value, we present clear indications which show that seismicity recorded in the Illinois tectonic environment partially follows the Aki relationship D-0 similar to 2b, which is not the case for induced events. In addition, the induced earthquake dataset shows that D-2 &gt; D-0, an anomalous behaviour in terms of the fractal formalisms. All these facts might be used to establish spatial fracture network control techniques and seismicity-type distinctions in CO2 injection sites located in highly active tectonic areas, respectively.</t>
  </si>
  <si>
    <t>Pasten, Denisse/ITV-5229-2023</t>
  </si>
  <si>
    <t>Pasten, Denisse/0000-0002-4857-1051</t>
  </si>
  <si>
    <t>0016-8025</t>
  </si>
  <si>
    <t>1365-2478</t>
  </si>
  <si>
    <t>10.1111/1365-2478.13561</t>
  </si>
  <si>
    <t>WOS:001280257600001</t>
  </si>
  <si>
    <t>Correa, F; Fring, A; Quintana, O</t>
  </si>
  <si>
    <t>Correa, Francisco; Fring, Andreas; Quintana, Octavio</t>
  </si>
  <si>
    <t>Infinite affine, hyperbolic and Lorentzian Weyl groups with their associated Calogero models</t>
  </si>
  <si>
    <t>JOURNAL OF PHYSICS A-MATHEMATICAL AND THEORETICAL</t>
  </si>
  <si>
    <t>We propose generalizations of Calogero models that exhibit invariance with respect to the infinite Weyl groups of affine, hyperbolic, and Lorentzian types. Our approach involves deriving closed analytic formulas for the action of the associated Coxeter elements of infinite order acting on arbitrary roots within their respective root spaces. These formulas are then utilized in formulating the new type of Calogero models.</t>
  </si>
  <si>
    <t>Fring, Andreas/A-6443-2009; Correa, Francisco/S-4564-2018</t>
  </si>
  <si>
    <t>Fring, Andreas/0000-0002-7896-7161; Correa, Francisco/0000-0003-1735-2822</t>
  </si>
  <si>
    <t>1751-8113</t>
  </si>
  <si>
    <t>1751-8121</t>
  </si>
  <si>
    <t>10.1088/1751-8121/ad1d8f</t>
  </si>
  <si>
    <t>WOS:001146978500001</t>
  </si>
  <si>
    <t>Brito, MA; Fernandes, JR; de Carvalho, PHB; Brito, CJ; Aedo-Muñoz, E; Pérez, DIV; Miarka, B</t>
  </si>
  <si>
    <t>Brito, Michele A.; Fernandes, Jose Raimundo; de Carvalho, Pedro Henrique Berbert; Brito, Ciro Jose; Aedo-Munoz, Esteban; Perez, Diego Ignacio Valenzuela; Miarka, Bianca</t>
  </si>
  <si>
    <t>The Physiological and Mental Effects of the Fran Benchmark CrossFit Workout at Different Competitive Stages</t>
  </si>
  <si>
    <t>COGNITIVE STUDIES-ETUDES COGNITIVES</t>
  </si>
  <si>
    <t>This study investigates the acute effects of CrossFit training on cognition and physiological parameters across different performance stages. We focused on evaluating the impact of such training on both the mental and physical performance of athletes classified as Elite, Advanced, and Beginners. The objective was to explore how CrossFit, known for its high-intensity and varied functional movements, influences cognitive functions and physiological responses in athletes of varying expertise. By comparing these groups both before and after the Workout of the Day (WOD), we aimed to understand the relationship between CrossFit training intensity and cognitive and physiological changes. Methodologically, our approach involved categorizing our sample into three groups: Elite (n=7), Advanced (n=10), and Beginners (n=15). We conducted comprehensive assessments of each participant's cognitive and physiological parameters pre- and post-WOD. The results revealed notable differences in performance time, with Elite athletes showing significantly quicker times compared to Advanced and Beginners. Cognitive functions, particularly executive functions like reading, counting, choice-making, shifting, inhibition, and flexibility, also varied significantly across the groups. Physiological measurements, including lactate stages and heart rate, further highlighted these differences. Remarkably, Elite athletes exhibited a 13.1 mmol average lactate level, lower than their counterparts, and a higher average heart rate of 188.0 bpm. In terms of cognitive functions, differences were observed in various executive tasks, showcasing the nuanced impact of high-intensity exercise on cognitive abilities. In conclusion, our study provides compelling evidence that high-intensity CrossFit training positively influences executive functions. These findings are quantified through substantial variations in performance times, executive function tasks, lactate stages, and heart rates, offering critical insights into the multidimensional benefits of CrossFit training across different competitive stages.</t>
  </si>
  <si>
    <t>Carvalho, Pedro/H-9232-2013; Aedo-Muñoz, Esteban/R-5623-2019; Brito, Ciro/AAC-9104-2019</t>
  </si>
  <si>
    <t>2080-7147</t>
  </si>
  <si>
    <t>2392-2397</t>
  </si>
  <si>
    <t>10.11649/cs.2880</t>
  </si>
  <si>
    <t>WOS:001409566600005</t>
  </si>
  <si>
    <t>López-Vilos, N; Valencia-Cordero, C; Souza, RD; Montejo-Sánchez, S</t>
  </si>
  <si>
    <t>Lopez-Vilos, Nicolas; Valencia-Cordero, Claudio; Souza, Richard Demo; Montejo-Sanchez, Samuel</t>
  </si>
  <si>
    <t>López-Vilos et al. Clustering-Based Energy-Efficient Self-Healing Strategy for WSNs under Jamming Attacks (vol 23, 6894, 2023)</t>
  </si>
  <si>
    <t>Montejo-Sánchez, Samuel/AAX-4151-2020; Souza, Richard/E-7928-2010</t>
  </si>
  <si>
    <t>10.3390/s24020628</t>
  </si>
  <si>
    <t>WOS:001152794200001</t>
  </si>
  <si>
    <t>Pichún, B; Núñez, C; Arancibia, V; Marti, AA; Aguirre, MJ; Pizarro, J; Segura, R; Flores, E</t>
  </si>
  <si>
    <t>Pichun, Bryan; Nunez, Claudia; Arancibia, Veronica; Marti, Angel A.; Aguirre, Maria J.; Pizarro, Jaime; Segura, Rodrigo; Flores, Erick</t>
  </si>
  <si>
    <t>Enhanced voltammetric sensing platform based on gold nanorods and electrochemically reduced graphene oxide for As(III) determination in seafood samples</t>
  </si>
  <si>
    <t>JOURNAL OF APPLIED ELECTROCHEMISTRY</t>
  </si>
  <si>
    <t>A glassy carbon electrode (GCE) modified with electrochemically reduced graphene oxide (ErGO) and gold nanorods (AuNRs) (GCE/ErGO/AuNRs) was prepared for determining As(III) in bivalve mollusks samples (Mytilus chilensis). The modified electrode was characterized by cyclic voltammetry, scanning electron microscopy (SEM), and atomic force microscopy (AFM). Chemical and electrochemical parameters were optimized, observing that the presence of AuNRs provides selectivity, while the incorporation of ErGO improves the sensitivity of the modified electrode for the detection of As(III). Using square wave anodic stripping voltammetry (SWASV), a linear range of 2.0-60.0 mu g L-1 with a detection limit (LOD) of 0.21 mu g L-1 was obtained. The validation was made using water and mussel tissue-certified reference materials (TMDA-64.2 and ERM (R)-CE278k, respectively), showing good accuracy and reproducibility. The methodology allowed the determination of As(III) in real samples of marine resources, with excellent results (RSD &lt; 2%).</t>
  </si>
  <si>
    <t>Marti, Angel/C-2762-2008; Flores, Erick/GPK-2155-2022; Segura, Rodrigo/J-6696-2016; Aguirre, Maria/A-3935-2013</t>
  </si>
  <si>
    <t>Pichun, Bryan/0009-0009-8719-7056; Flores, Dr. Erick/0000-0002-2573-6650; Segura, Rodrigo/0000-0001-5747-2357</t>
  </si>
  <si>
    <t>0021-891X</t>
  </si>
  <si>
    <t>1572-8838</t>
  </si>
  <si>
    <t>10.1007/s10800-023-02026-3</t>
  </si>
  <si>
    <t>NOV 2023</t>
  </si>
  <si>
    <t>WOS:001105044500002</t>
  </si>
  <si>
    <t>Jerez, SA; Plaza, N; Bravo, V; Urrutia, IM; Blondel, CJ</t>
  </si>
  <si>
    <t>Jerez, Sebastian A.; Plaza, Nicolas; Bravo, Veronica; Urrutia, Italo M.; Blondel, Carlos J.</t>
  </si>
  <si>
    <t>Vibrio type III secretion system 2 is not restricted to the Vibrionaceae and encodes differentially distributed repertoires of effector proteins</t>
  </si>
  <si>
    <t>MICROBIAL GENOMICS</t>
  </si>
  <si>
    <t>Vibrio parahaemolyticus is the leading cause of seafood- borne gastroenteritis worldwide. A distinctive feature of the O3:K6 pandemic clone, and its derivatives, is the presence of a second, phylogenetically distinct, type III secretion system (T3SS2) encoded within the genomic island VPaI- 7. The T3SS2 allows the delivery of effector proteins directly into the cytosol of infected eukaryotic cells to subvert key host- cell processes, critical for V. parahaemolyticus to colonize and cause disease. Furthermore, the T3SS2 also increases the environmental fitness of V. parahaemolyticus in its interaction with bacterivorous protists; hence, it has been proposed that it contributed to the global oceanic spread of the pandemic clone. Several reports have identified T3SS2- related genes in Vibrio and non- Vibrio species, suggesting that the T3SS2 gene cluster is not restricted to the Vibrionaceae and can mobilize through horizontal gene transfer events. In this work, we performed a large- scale genomic analysis to determine the phylogenetic distribution of the T3SS2 gene cluster and its repertoire of effector proteins. We identified putative T3SS2 gene clusters in 1130 bacterial genomes from 8 bacterial genera, 5 bacterial families and 47 bacterial species. A hierarchical clustering analysis allowed us to define six T3SS2 subgroups (I-VI) with different repertoires of effector proteins, redefining the concepts of T3SS2 core and accessory effector proteins. Finally, we identified a subset of the T3SS2 gene clusters (subgroup VI) that lacks most T3SS2 effector proteins described to date and provided a list of 10 novel effector candidates for this subgroup through bioinformatic analysis. Collectively, our findings indicate that the T3SS2 extends beyond the family Vibrionaceae and suggest that different effector protein repertories could have a differential impact on the pathogenic potential and environmental fitness of each bacterium that has acquired the Vibrio T3SS2 gene cluster.</t>
  </si>
  <si>
    <t>Bravo, Verónica/JEF-1632-2023; Blondel, Carlos/X-7380-2019; Blondel, Carlos/B-1287-2010</t>
  </si>
  <si>
    <t>Plaza, Nicolas/0000-0002-6742-3265; Jerez Navarrete, sebastian/0000-0002-5314-8979; Urrutia, Italo M./0000-0002-5825-6901; Blondel, Carlos/0000-0002-7099-6347</t>
  </si>
  <si>
    <t>2057-5858</t>
  </si>
  <si>
    <t>10.1099/mgen.0.000973</t>
  </si>
  <si>
    <t>WOS:000989547800006</t>
  </si>
  <si>
    <t>Donoso, S; Pavlic, RD; Cumsille, RB</t>
  </si>
  <si>
    <t>Donoso, Sofia; Pavlic, Rodolfo Disi; Cumsille, R. Belen</t>
  </si>
  <si>
    <t>Social policy expansion from below? The case of Chile?s student movement and free tuition higher education</t>
  </si>
  <si>
    <t>WORLD DEVELOPMENT</t>
  </si>
  <si>
    <t>Scholars have long sought to establish the strategies through which social movements can impact policy adoption. Yet, there is little evidence on the role they may play in policy expansion. We study the role of social movements in broadening the scope of social policies by analyzing whether Chile's student move-ment impacted the expansion of the free college tuition policy between 2015 and 2020. We evaluate three mechanisms to assess the student movement's influence on free tuition expansion. First, move-ments may use protests to affect the expansion process through disruption. Second, they can make use of their connections with and presence in parties and the bureaucracy to channel their demands and influence decision-making instances. Finally, movements may also try to shape public opinion to affect the scope of the policy through mobilizations and other forms of influence. We use a process tracing design to examine these mechanisms. We collect and analyze evidence from 32 elite interviews, congres-sional and administrative records, web scraped news, and public opinion and protest event data. Our results show that students influenced the implementation and expansion of the free tuition policy through all mechanisms using different strategies. First, students used protests to set free tuition in the public agenda. Second, and the most important strategy, by means of connections with incumbent parties and the presence of former student activists in the Education Ministry and in Congress, they indi-rectly influenced policy expansion. Finally, and indirectly, they shaped public opinion in favor of free tui-tion. Students played a role in defining the pace and scope of the policy but could not imprint all their demands. Overall, our analysis sheds light over the ways in which social movement can influence the implementation of policies, thus, expanding the scope of equity-enhancing social policies in Latin America and beyond. (c) 2023 Elsevier Ltd. All rights reserved.</t>
  </si>
  <si>
    <t>Disi Pavlic, Rodolfo/X-6376-2019</t>
  </si>
  <si>
    <t>Donoso, Sofia/0000-0001-5053-0198; Disi Pavlic, Rodolfo/0000-0003-4655-153X</t>
  </si>
  <si>
    <t>0305-750X</t>
  </si>
  <si>
    <t>1873-5991</t>
  </si>
  <si>
    <t>10.1016/j.worlddev.2023.106213</t>
  </si>
  <si>
    <t>WOS:000962560300001</t>
  </si>
  <si>
    <t>Karacan, GO; Ünver, M; Ponta, MI</t>
  </si>
  <si>
    <t>Karacan, G. O.; Unver, M.; Ponta, M. I.</t>
  </si>
  <si>
    <t>A MULTI CRITERIA GROUP DECISION MAKING APPROACH BASED ON FUZZY MEASURE THEORY TO ASSESS THE DIFFERENT GENE REGIONS USED IN RODENT SPECIES</t>
  </si>
  <si>
    <t>TWMS JOURNAL OF APPLIED AND ENGINEERING MATHEMATICS</t>
  </si>
  <si>
    <t>Many mitochondrial and nuclear gene regions are used in phylogenetic and taxonomic studies to investigate the historical background of the species and to present the hierarchy of the species. In this paper, we consider the problem of proposing a favorable gene region that determines the diversification of rodent species as a multi criteria group decision making problem. We use fuzzy measure theory and fuzzy integrals to get the results. We conclude with different fuzzy measures and fuzzy integral techniques that COI gene region which is preferred in animal barcoding studies is more favorable.</t>
  </si>
  <si>
    <t>Ünver, Mehmet/ABI-7999-2020; Karacan, Gül/AIF-3663-2022</t>
  </si>
  <si>
    <t>2146-1147</t>
  </si>
  <si>
    <t>WOS:001108753300024</t>
  </si>
  <si>
    <t>González-Bustamante, B</t>
  </si>
  <si>
    <t>Gonzalez-Bustamante, Bastian</t>
  </si>
  <si>
    <t>Ministerial stability during presidential approval crises: The moderating effect of ministers' attributes on dismissals in Brazil and Chile</t>
  </si>
  <si>
    <t>BRITISH JOURNAL OF POLITICS &amp; INTERNATIONAL RELATIONS</t>
  </si>
  <si>
    <t>This article analyses the effect of ministers' exposure to periods of low presidential approval in Brazil and Chile between 1990 and 2014. Approval is explored with quarterly estimates using a dyad-ratios algorithm and merged into a time-dependent cabinet data set to evaluate individual ministerial terminations (N = 4245) . The empirical strategy combines time-varying exposure Cox regressions with observational data and propensity score and matching to estimate the effect of low approval on ministerial survival and perform a moderation analysis with three profiles associated with presidential strategies: (1) nonpartisan ministers to limit agency loss and moral hazard; (2) economists as ministers to optimise cabinet performance and send positive signals to the electorate; and (3) party leaders as ministers to optimise legislative support. The main findings show that risk increases by 135.1% in periods of low approval. In addition, approximately only one in five nonpartisan ministers is removed compared to party members.</t>
  </si>
  <si>
    <t>González-Bustamante, Bastián/HLQ-1514-2023</t>
  </si>
  <si>
    <t>Gonzalez-Bustamante, Bastian/0000-0003-1510-6820</t>
  </si>
  <si>
    <t>1369-1481</t>
  </si>
  <si>
    <t>1467-856X</t>
  </si>
  <si>
    <t>10.1177/13691481221124850</t>
  </si>
  <si>
    <t>WOS:000868863200001</t>
  </si>
  <si>
    <t>Morales, MB; Ortiz-Muñoz, L; Anselmi, GD; Rada, G</t>
  </si>
  <si>
    <t>Morales, Maria Belen; Ortiz-Munoz, Luis; Anselmi, Giuliano Duarte; Rada, Gabriel</t>
  </si>
  <si>
    <t>COVID-19 Love Working Grp</t>
  </si>
  <si>
    <t>Use of gloves for the prevention of COVID-19 in healthy population: A living systematic review protocol</t>
  </si>
  <si>
    <t>HEALTH SCIENCE REPORTS</t>
  </si>
  <si>
    <t>Background and aims The efficacy of using gloves by the general population to prevent COVID-19 is unknown. We aim to determine the efficacy of routine glove use by the general healthy population in preventing COVID-19. This is the protocol of a living systematic review. Methods We adapted an already published common protocol for multiple parallel systematic reviews to the specificities of this question. We will conduct searches in PubMed/Medline, Embase, Cochrane Central Register of Controlled Trials (CENTRAL), grey literature, and in a centralized repository in L center dot OVE (Living OVerview of Evidence). L center dot OVE is a platform that maps PICO questions to evidence from Epistemonikos database. In response to the COVID-19 emergency, L center dot OVE was adapted to expand the range of evidence it covers and customized to group all COVID-19 evidence in one place. The search will cover the period until the day before submission to a journal. We will include randomized trials evaluating the effect of use of gloves in healthy population to prevent COVID-19 disease. Randomized trials evaluating the effect of use of gloves during outbreaks caused by MERS-CoV and SARS-CoV, and nonrandomized studies in COVID-19 will be searched in case no direct evidence from randomized trials is found. Two reviewers will independently screen each study for eligibility, extract data, and assess the risk of bias. We will perform random-effects meta-analyses and use GRADE to assess the certainty of the evidence for each outcome. A living, web-based version of this review will be openly available during the COVID-19 pandemic. We will resubmit it if the conclusions change or there are substantial updates.</t>
  </si>
  <si>
    <t>Ortiz-Muñoz, Luis/KHZ-3227-2024; Duarte, Giuliano/GYA-2853-2022</t>
  </si>
  <si>
    <t>Rada, Gabriel/0000-0003-2435-0710; Duarte Anselmi, Giuliano/0000-0001-9724-0796; Ortiz-Munoz, Luis E./0000-0001-6449-2153; Morales Ferrer, Belen/0000-0003-2493-568X</t>
  </si>
  <si>
    <t>2398-8835</t>
  </si>
  <si>
    <t>e255</t>
  </si>
  <si>
    <t>10.1002/hsr2.255</t>
  </si>
  <si>
    <t>WOS:000668839100046</t>
  </si>
  <si>
    <t>Nürnberg, D; Riff, T; Bahr, A; Karas, C; Meier, K; Lippold, J</t>
  </si>
  <si>
    <t>Nuernberg, Dirk; Riff, Tabitha; Bahr, Andre; Karas, Cyrus; Meier, Karl; Lippold, Joerg</t>
  </si>
  <si>
    <t>Western boundary current in relation to Atlantic Subtropical Gyre dynamics during abrupt glacial climate fluctuations</t>
  </si>
  <si>
    <t>GLOBAL AND PLANETARY CHANGE</t>
  </si>
  <si>
    <t>Ocean-atmosphere simulations corroborate the relationship between tropical Atlantic subsurface heat and salt storage driven by Salinity Maximum Water (SMW) and deglacial perturbations of the Atlantic Meridional Overturning Circulation (AMOC). Whether AMOC variability of the last glacial cycle affected SMW export into the tropical West Atlantic remained yet elusive. In order to assess the sensitivity of the tropical hydrography during abrupt and rapid glacial climatic and oceanic perturbations, we present century-resolving foraminiferabased subsurface (-200 m water depth) temperature and salinity reconstructions from Tobago Basin core M78/ 1-235-1. The proxy records were interpreted in terms of the closely related development of the North Brazil Current (NBC) and the North Atlantic Subtropical Gyre (STG) from -37 to 30 ka BP, and in relation to their deglacial developments. Prior to -32.8 ka BP, the cyclic variations in subsurface conditions were attributed to the NBC, which acted in line with a recurrent intensification and relaxation of the trade winds, subtle migrations of the Intertropical Convergence Zone, and the related moisture transport across Central America. Major and rapid re-organizations of the tropical Atlantic upper ocean-atmosphere system took place at -32.8 ka BP and 21.8 ka BP, unmirrored by major AMOC changes. Thresholds for sufficient heat and salinity accumulation in the STG to allow for formation and intensified subsurface dispersal of SMW were not achieved before late HS1, when AMOC weakening, according tropical heat backlog and surface warming by maximum Northern Hemisphere insolation acted together.</t>
  </si>
  <si>
    <t>Meier, Karl J. F./AFJ-5414-2022; Karas, Cyrus/V-5775-2017</t>
  </si>
  <si>
    <t>Meier, Karl J. F./0000-0001-9800-8673; Karas, Cyrus/0000-0002-7436-5016</t>
  </si>
  <si>
    <t>0921-8181</t>
  </si>
  <si>
    <t>1872-6364</t>
  </si>
  <si>
    <t>10.1016/j.gloplacha.2021.103497</t>
  </si>
  <si>
    <t>WOS:000651378900004</t>
  </si>
  <si>
    <t>Matamala, E; Castillo, C; Vivar, JP; Rojas, PA; Brauchi, SE</t>
  </si>
  <si>
    <t>Matamala, Ella; Castillo, Cristian; Vivar, Juan P.; Rojas, Patricio A.; Brauchi, Sebastian E.</t>
  </si>
  <si>
    <t>Imaging the electrical activity of organelles in living cells</t>
  </si>
  <si>
    <t>COMMUNICATIONS BIOLOGY</t>
  </si>
  <si>
    <t>Eukaryotic cells are complex systems compartmentalized in membrane-bound organelles. Visualization of organellar electrical activity in living cells requires both a suitable reporter and non-invasive imaging at high spatiotemporal resolution. Here we present hVoS(org), an optical method to monitor changes in the membrane potential of subcellular membranes. This method takes advantage of a FRET pair consisting of a membrane-bound voltage-insensitive fluorescent donor and a non-fluorescent voltage-dependent acceptor that rapidly moves across the membrane in response to changes in polarity. Compared to the currently available techniques, hVoS(org) has advantages including simple and precise subcellular targeting, the ability to record from individual organelles, and the potential for optical multiplexing of organellar activity. Matamala et al. adapt a hybrid-FRET voltage sensor to enable the recording of resting membrane potential of different organelle compartments in living cells. Their approach allows simple and precise subcellular targeting, the ability to record from individual organelles, and the potential for optical multiplexing of organellar activity.</t>
  </si>
  <si>
    <t>; Brauchi, Sebastian/ITT-0529-2023</t>
  </si>
  <si>
    <t>Castillo Velasquez, Cristian Sebastian/0009-0004-5129-5977; Brauchi, Sebastian/0000-0002-8494-9912</t>
  </si>
  <si>
    <t>2399-3642</t>
  </si>
  <si>
    <t>MAR 23</t>
  </si>
  <si>
    <t>10.1038/s42003-021-01916-6</t>
  </si>
  <si>
    <t>WOS:000634790400003</t>
  </si>
  <si>
    <t>Peña, V; Durán, C; Palominos, F; Benavides, R; Carrasco, R</t>
  </si>
  <si>
    <t>Pena, Victoria; Duran, Claudia; Palominos, Fredi; Benavides, Rodrigo; Carrasco, Raul</t>
  </si>
  <si>
    <t>Towards tailings recycled production technologies</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</si>
  <si>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</si>
  <si>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</si>
  <si>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</si>
  <si>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</si>
  <si>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This paper studies the potentialities of tailings recycling. A bibliographic review identifies the advantages and disadvantages of the business worldwide, the minerals that are extracted from the deposits, the technologies that are produced with the tailings and the markets in which they are commercialized. A case study is presented in which the amount of minerals in a sample is analyzed, as well as the projects that have been developed for recycling and transformation into technological products. Finally, possible scenarios are analyzed and conclusions are drawn on more efficient sustainability opportunities that reduce environmental risks.</t>
  </si>
  <si>
    <t>Duran, Claudia/S-1175-2019; Palominos, Fredi/U-4690-2019; Carrasco, Raul/G-5440-2015</t>
  </si>
  <si>
    <t>Carrasco, Raul/0000-0002-5023-9349</t>
  </si>
  <si>
    <t>978-1-6654-0873-8</t>
  </si>
  <si>
    <t>10.1109/CHILECON54041.2021.9702970</t>
  </si>
  <si>
    <t>WOS:000788072700144</t>
  </si>
  <si>
    <t>Sabin, N; Reed-Tsochas, F</t>
  </si>
  <si>
    <t>Sabin, Nicholas; Reed-Tsochas, Felix</t>
  </si>
  <si>
    <t>Able but Unwilling to Enforce: Cooperative Dilemmas in Group Lending</t>
  </si>
  <si>
    <t>AMERICAN JOURNAL OF SOCIOLOGY</t>
  </si>
  <si>
    <t>It is known that greater social cohesion increases a group's ability to enforce cooperation. Despite this, defectors often go unpunished, and groups with social structures that are a priori favorable often fail. A critical distinction is required between the structural effect on ability versus willingness to punish. The authors develop a theoretical framework in which variation in a group's social structure generates a tension between ability and willingness to enforce cooperation. Structures that promote ability to punish also often reduce interest in carrying out sanctions, thus changing collective outcomes. The authors' empirical analysis involves a well-defined cooperative dilemma: group lending in Sierra Leone. They complement statistical modeling, based on a data set containing 5,487 group repayments, with ethnographic analysis. They find that (1) structural cohesion only increases economic cooperation between borrowers to a point, beyond which unwillingness outweighs increased ability to punish, reducing group repayments, and that (2) groups with disconnected subgroups perform worse on average. Although borrowers are more willing to punish defectors in the out-subgroup, they are unable to do so effectively.</t>
  </si>
  <si>
    <t>ReedTsochas, Felix/KHW-1602-2024; Sabin, Nicholas/KCK-3707-2024</t>
  </si>
  <si>
    <t>Sabin, Nicholas/0000-0002-6702-976X; Reed-Tsochas, Felix/0000-0001-7923-750X</t>
  </si>
  <si>
    <t>0002-9602</t>
  </si>
  <si>
    <t>1537-5390</t>
  </si>
  <si>
    <t>10.1086/709105</t>
  </si>
  <si>
    <t>WOS:000542962900004</t>
  </si>
  <si>
    <t>Alvarado, N; Abarca, RL; Urdaneta, J; Romero, J; Galotto, MJ; Guarda, A</t>
  </si>
  <si>
    <t>Alvarado, Nancy; Abarca, Romina L.; Urdaneta, Jose; Romero, Julio; Galotto, Maria Jose; Guarda, Abel</t>
  </si>
  <si>
    <t>Cassava starch: structural modification for development of a bio-adsorber for aqueous pollutants. Characterization and adsorption studies on methylene blue</t>
  </si>
  <si>
    <t>POLYMER BULLETIN</t>
  </si>
  <si>
    <t>A potential bio-adsorber of contaminants in aqueous medium was developed in this work through modified starches using organic acids. Methylene blue (MB) was used as example of a pollutant agent. For this purpose, firstly three types of modified starches were prepared using malonic, glutaric, and valeric acids in aqueous solution at different concentrations. The characterization of modified starches showed concordance with the chemical structure of the acid incorporated in starch. Pseudo-second-order model explains the rate of adsorption of the cationic dye MB. The adsorption of MB was carried out through intraparticle diffusion mechanism mainly. Physical and chemical interactions between modified starch and MB are involved.</t>
  </si>
  <si>
    <t>Romero, Julio/I-6705-2013; Abarca Oyarce, Romina/AHC-5849-2022</t>
  </si>
  <si>
    <t>Romero, Julio/0000-0002-1229-1592; Urdaneta, Jose/0000-0002-5463-5349; Alvarado, Nancy/0000-0001-9698-1621</t>
  </si>
  <si>
    <t>0170-0839</t>
  </si>
  <si>
    <t>1436-2449</t>
  </si>
  <si>
    <t>10.1007/s00289-020-03149-9</t>
  </si>
  <si>
    <t>MAR 2020</t>
  </si>
  <si>
    <t>WOS:000518244800001</t>
  </si>
  <si>
    <t>Margarit, D; Imilan, W; Grau, MO</t>
  </si>
  <si>
    <t>Margarit, Daisy; Imilan, Walter; Olaya Grau, M.</t>
  </si>
  <si>
    <t>CURRENT MIGRATIONS IN MAGALLANES: CHARACTERIZATION AND TRAJECTORIES OF NEW MIGRATORY PROCESSES</t>
  </si>
  <si>
    <t>MAGALLANIA</t>
  </si>
  <si>
    <t>The Magallanes province has now become a destination for the international migrant population. The objective of this article is to discuss the characteristics of this new migration, especially in the city of Punta Arenas, under the light of the migration processes that Chile experiences in recent years, with special focus on revealing the character of the migratory trajectories present in the region. In order to do this, four dimensions of the immigrant population are addressed: i) demographic characteristics; ii) relations of migratory flows with their places of origin; iii) spatialization in the city and iv) coexistence with the non-migrant population. The empirical information is based on the results of the project Characterization of the recent foreign migration in the province of Magallanes, a study carried out in the city of Punta Arenas and requested by the Government of Magallanes. The methodology used in the study was the realization of a population survey, through the analysis of secondary sources and the implementation of a survey aimed at the recent immigrant population of foreign origin.</t>
  </si>
  <si>
    <t>Margarit Segura, Daisy/0000-0001-6792-6324</t>
  </si>
  <si>
    <t>0718-2244</t>
  </si>
  <si>
    <t>WOS:000508010600005</t>
  </si>
  <si>
    <t>Rojas, CG; Heijs, J; Baumert, T</t>
  </si>
  <si>
    <t>Gutierrez Rojas, Cristian; Heijs, Joost; Baumert, Thomas</t>
  </si>
  <si>
    <t>ASYMMETRIC SPILLOVERS FROM NATIONAL INNOVATION SYSTEMS TO KNOWLEDGE CREATION PROCESSES IN THEIR REGIONS</t>
  </si>
  <si>
    <t>REVISTA DE ECONOMIA APLICADA</t>
  </si>
  <si>
    <t>A Knowledge Production Function (KPF) analyzes if the national innovation systems (NIS) generate knowledge spillovers for their regions. Therefore, we include in the traditional KFP some variables that reflect the NIS of each region. In fact, we included 52 national and regional explanatory variables and applied a factorial analysis to reducing them to a few 'synthetic' ones. Our study offers some evidence on the existence of 'national' spillovers and they seems to be asymmetrical. Its intensity is lower in the technologically less developed regions than in those of intermediate technological development and scarcely exists in the case of the more developed or central regions.</t>
  </si>
  <si>
    <t>Baumert, Thomas/ABB-1792-2021; Heijs, Joost/K-9100-2014</t>
  </si>
  <si>
    <t>1133-455X</t>
  </si>
  <si>
    <t>SUM</t>
  </si>
  <si>
    <t>WOS:000450124400005</t>
  </si>
  <si>
    <t>Florent, L; Seguel, F; Vincent, B; Nicolas, K; Patrick, C; Bertrand, P</t>
  </si>
  <si>
    <t>Florent, Lefevre; Seguel, Fabian; Vincent, Bombardier; Nicolas, Krommenacker; Patrick, Charpentier; Bertrand, Petat</t>
  </si>
  <si>
    <t>Multiple Speaker Localization and Identification through Multiple Camera and Visible Light Communication</t>
  </si>
  <si>
    <t>2018 GLOBAL LIFI CONGRESS (GLC)</t>
  </si>
  <si>
    <t>Global LIFI Congress (GLC)</t>
  </si>
  <si>
    <t>FEB 08-09, 2018</t>
  </si>
  <si>
    <t>Paris, FRANCE</t>
  </si>
  <si>
    <t>We propose a novel method for the localization and the identification of a speaker in the context of conference situations. For doing this, LED lights attached to the microphones are used as visible light communications transmitters. Once the speaker activate the microphone, LED transmits the speaker identification. At the receiver side, LED lights are identified and separated from video streams acquired by a low cost IP CMOS camera. Then, identification of the speaker is performed by recovering the data from the separated image. Results in terms of BER acquired from experimental demonstration are presented for different distances between the camera and the light source, i.e., 35 cm, 1, 2 and 5 meters.</t>
  </si>
  <si>
    <t>Seguel, Fabian/0000-0001-6567-8988</t>
  </si>
  <si>
    <t>978-2-9563-0910-9</t>
  </si>
  <si>
    <t>WOS:000458455100010</t>
  </si>
  <si>
    <t>Cruchaga, MA; Ferrada, C; Márquez, N; Osses, S; Storti, M; Celentano, D</t>
  </si>
  <si>
    <t>Cruchaga, Marcela A.; Ferrada, Carlos; Marquez, Nicolas; Osses, Sebastian; Storti, Mario; Celentano, Diego</t>
  </si>
  <si>
    <t>Modeling the sloshing problem in a rectangular tank with submerged incomplete baffles</t>
  </si>
  <si>
    <t>INTERNATIONAL JOURNAL OF NUMERICAL METHODS FOR HEAT &amp; FLUID FLOW</t>
  </si>
  <si>
    <t>Purpose - The present work is an experimental and numerical study of a sloshing problem including baffle effects. The purpose of this paper is to assess the numerical behavior of a Lagrangian technique to track free surface flows by comparison with experiments, to report experimental data for sloshing at different conditions and to evaluate the effectiveness of baffles in limiting the wave height and the wave propagation. Design/methodology/approach - Finite element simulations performed with a fixed mesh technique able to describe the free surface evolution are contrasted with experimental data. The experiments consist of an acrylic tank of rectangular section designed to attach baffles of different sizes at different distance from the bottom. The tank is filled with water and mounted on a shake table able to move under controlled horizontal motion. The free surface evolution is measured with ultrasonic sensors. The numerical results computed for different sloshing conditions are compared with the experimental data. Findings - The reported numerical results are in general in good agreement with the experiments. In particular, wave heights and frequencies response satisfactorily compared with the experimental data for the several cases analyzed during steady state forced sloshing and free sloshing. The effectiveness of the baffles increases near resonance conditions. From the set of experiments studied, the major reduction of the wave height was obtained when larger baffles were positioned closer to the water level at rest. Practical implications - Model validation: evaluation of the effectiveness of non-massive immersed baffles during sloshing. Originality/value - The value of the present work encompass the numerical and experimental study of the effect of immersed baffles during sloshing under different imposed conditions and the comparison of numerical results with the experimental data. Also, the results shown in the present work are a contribution to the understanding of the role in the analysis of the proposed problem of some specific aspects of the geometry and the imposed motion.</t>
  </si>
  <si>
    <t>Storti, Mario/E-4646-2012; Celentano, Diego/JQW-5027-2023; marquez, Nicolas/GRM-8100-2022; Cruchaga, Marcela/M-7522-2014</t>
  </si>
  <si>
    <t>Cruchaga, Marcela/0000-0002-8708-2402</t>
  </si>
  <si>
    <t>0961-5539</t>
  </si>
  <si>
    <t>1758-6585</t>
  </si>
  <si>
    <t>10.1108/HFF-08-2015-0315</t>
  </si>
  <si>
    <t>WOS:000379688900008</t>
  </si>
  <si>
    <t>Carvalho-Santos, VL; Elias, RG; Fonseca, JM; Altbir, D</t>
  </si>
  <si>
    <t>Carvalho-Santos, V. L.; Elias, R. G.; Fonseca, J. M.; Altbir, D.</t>
  </si>
  <si>
    <t>Curvature-induced changes in the magnetic energy of vortices and skyrmions in paraboloidal nanoparticles</t>
  </si>
  <si>
    <t>JOURNAL OF APPLIED PHYSICS</t>
  </si>
  <si>
    <t>Curvature effects are important for a proper description of the properties of magnetic systems. In this paper, the exchange and dipolar energy of vortices on a paraboloidal shell is studied. Using analytical calculations, it is shown that the in-plane component of vortices has larger energy on a paraboloidal shell than in a planar disk with same thickness. On the other hand, the dipolar energy associated to the vortex core diminishes if the vortex core is on a paraboloidal surface. This reduction in the dipolar energy may cause a vortex pinning mechanism by a paraboloidal shaped defect in a planar nanomagnet. Regarding skyrmions, by using an in-plane anisotropy approximation to the dipolar energy, it is shown that the skyrmion must have its width shrunk in order to diminish the magnetostatic energy and satisfy geometrical constraints of the system. (C) 2015 AIP Publishing LLC.</t>
  </si>
  <si>
    <t>Elias, Ricardo/F-2608-2012; Fonseca, Jakson/N-7354-2013; Carvalho-Santos, Vagson/E-8806-2013; Altbir, Dora/R-6781-2018</t>
  </si>
  <si>
    <t>Fonseca, Jakson/0000-0001-9441-026X; Carvalho-Santos, Vagson/0000-0002-2759-2152; Altbir, Dora/0000-0002-2945-4909</t>
  </si>
  <si>
    <t>0021-8979</t>
  </si>
  <si>
    <t>1089-7550</t>
  </si>
  <si>
    <t>#DIV/0!</t>
  </si>
  <si>
    <t>10.1063/1.4918565</t>
  </si>
  <si>
    <t>WOS:000354984100524</t>
  </si>
  <si>
    <t>Salazar, R; Vidal, J; Martínez-Cifuentes, M; Araya-Maturana, R; Ramírez-Rodríguez, O</t>
  </si>
  <si>
    <t>Salazar, Ricardo; Vidal, Jorge; Martinez-Cifuentes, Maximiliano; Araya-Maturana, Ramiro; Ramirez-Rodriguez, Oney</t>
  </si>
  <si>
    <t>Electrochemical characterization of hydroquinone derivatives with different substituents in acetonitrile</t>
  </si>
  <si>
    <t>NEW JOURNAL OF CHEMISTRY</t>
  </si>
  <si>
    <t>The effect of carbonyl groups in the ortho position with respect to a hydroxyl group on the electrochemical oxidation of hydroquinones in acetonitrile is studied. The electrochemical response of hydroquinone on a glassy carbon electrode in 0.1 M tetrabutylammonium perchlorate was investigated in detail by voltammetry and coulometry. From these experiments, the oxidation potential was shifted to more positive values with respect to hydroquinone due to the presence of electron withdrawing groups bonded to the aromatic ring. For all compounds a diffusional behavior was observed, and the diffusion coefficient (D) of substituted hydroquinones was calculated showing higher values than found for unsubstituted hydroquinone. Theoretical calculations were carried out to gain insights into the intramolecular hydrogen bond present in these molecules affecting their electrochemical behavior. Relevant theoretical data are optimized geometrical parameters, HOMO energy, condensed radical Fukui functions (f(o)), natural charges, Wiberg bond orders (WBO), stabilization energies caused by electron transfer, and hyperconjugation stabilization energies from the NBO analysis. In most cases, the calculations show good agreement with experimental H-1-NMR data and support the electrochemical results.</t>
  </si>
  <si>
    <t>Salazar, Ricardo/L-7870-2013; Ramírez-Rodríguez, Oney/N-2053-2016; Martínez-Cifuentes, Maximiliano/AAD-3117-2020; Araya-Maturana, Ramiro/N-8747-2015; Martinez Cifuentes, Maximiliano/F-9353-2015</t>
  </si>
  <si>
    <t>Vidal, Jorge/0000-0002-1334-377X; Ramirez-Rodriguez, Oney/0000-0002-2752-3966; Salazar-Gonzalez, Ricardo/0000-0003-2180-6022; Martinez Cifuentes, Maximiliano/0000-0003-2959-3164; Araya-Maturana, Ramiro/0000-0002-5082-9146</t>
  </si>
  <si>
    <t>1144-0546</t>
  </si>
  <si>
    <t>1369-9261</t>
  </si>
  <si>
    <t>10.1039/c4nj01657b</t>
  </si>
  <si>
    <t>WOS:000349222800057</t>
  </si>
  <si>
    <t>Lastra, F; López, CE; Reyes, SA; Wallentowitz, S</t>
  </si>
  <si>
    <t>Lastra, F.; Lopez, C. E.; Reyes, S. A.; Wallentowitz, S.</t>
  </si>
  <si>
    <t>Emergence of a metastable pointer-state basis in non-Markovian quantum dynamics</t>
  </si>
  <si>
    <t>PHYSICAL REVIEW A</t>
  </si>
  <si>
    <t>We investigate the dynamics of classical and quantum correlations between two qubits. Each qubit is implemented by a pair of phosphorous impurities embedded in a silicon substrate. The main decoherence mechanism affecting these types of qubits is provided by the coupling of the phosphorous impurities to the acoustical vibrations of the silicon lattice. We find that depending on the temperature of the substrate and the initial state, three different dynamics can be found. These are characterized by the number of abrupt changes in both classical and quantum correlations. We also show that the correlations do not disappear. Moreover, before the classical correlations reach a constant value, they may experience successive abrupt changes associated with the apparition of a metastable pointer-states basis. Then a constant value for the classical correlations is reached when the preferred basis is established.</t>
  </si>
  <si>
    <t>REYES, SEBASTIAN/R-7391-2017; Wallentowitz, Sascha/AAG-7173-2020; López, Carlos/B-8456-2009; Wallentowitz, Sascha/I-7095-2015</t>
  </si>
  <si>
    <t>Wallentowitz, Sascha/0000-0002-4356-5218</t>
  </si>
  <si>
    <t>1050-2947</t>
  </si>
  <si>
    <t>1094-1622</t>
  </si>
  <si>
    <t>10.1103/PhysRevA.90.062103</t>
  </si>
  <si>
    <t>WOS:000346385900007</t>
  </si>
  <si>
    <t>Sánchez, O; Barrera, M; Farnós, O; Parra, NC; Salgado, ER; Saavedra, PA; Meza, CD; Rivas, CI; Martín, MCS; Toledo, JR</t>
  </si>
  <si>
    <t>Sanchez, O.; Barrera, M.; Farnos, O.; Parra, N. C.; Salgado, E. R.; Saavedra, P. A.; Meza, C. D.; Rivas, C. I.; Cortez-San Martin, M.; Toledo, J. R.</t>
  </si>
  <si>
    <t>Effectiveness of the E2-Classical Swine Fever Virus Recombinant Vaccine Produced and Formulated within Whey from Genetically Transformed Goats</t>
  </si>
  <si>
    <t>CLINICAL AND VACCINE IMMUNOLOGY</t>
  </si>
  <si>
    <t>Subunit recombinant vaccines against classical swine fever virus (CSFV) are a promising alternative to overcome practical and biosafety issues with inactivated vaccines. One of the strategies in evaluation under field conditions is the use of a new marker E2-based vaccine produced in the milk of adenovirally transduced goats. Previously we had demonstrated the efficacy of this antigen, which conferred early protection and long-lasting immunity in swine against CSFV infection. Here, we have used a simpler downstream process to obtain and formulate the recombinant E2 glycoprotein expressed in the mammary gland. The expression levels reached approximately 1.7 mg/ml, and instead of chromatographic separation of the antigen, we utilized a clarification process that eliminates the fat content, retains a minor amount of caseins, and includes an adenoviral inactivation step that improves the biosafety of the final formulation. In a vaccination and challenge experiment in swine, different doses of the E2 antigen contained within the clarified whey generated an effective immune response of neutralizing antibodies that protected all of the animals against a lethal challenge with CSFV. During the immunization and after challenge, the swine were monitored for adverse reactions related to the vaccine or symptoms of CSF, respectively. No adverse reactions or clinical signs of disease were observed in vaccinated animals, in which no replication of CSFV could be detected after challenge. Overall, we consider that the simplicity of the procedures proposed here is a further step toward the introduction and implementation of a commercial subunit vaccine against CSF.</t>
  </si>
  <si>
    <t>Sanchez, Oliberto/0000-0002-9744-8674; Saavedra Sieyes, Paulina/0009-0007-1825-6898; Farnos, Omar/0000-0003-1295-8323; Toledo, Jorge/0000-0002-9879-7710; Meza, Catherine/0009-0000-8552-0037</t>
  </si>
  <si>
    <t>1556-6811</t>
  </si>
  <si>
    <t>1556-679X</t>
  </si>
  <si>
    <t>10.1128/CVI.00416-14</t>
  </si>
  <si>
    <t>WOS:000345532300004</t>
  </si>
  <si>
    <t>Valderrama, JA; Ibacache, JA; Theoduloz, C</t>
  </si>
  <si>
    <t>Valderrama, Jaime A.; Ibacache, Juana Andrea; Theoduloz, Cristina</t>
  </si>
  <si>
    <t>Synthesis and antiproliferative evaluation of new isomeric ellipticine quinones</t>
  </si>
  <si>
    <t>The synthesis of new isomeric ellipticine quinones 3a-c and their in vitro antiproliferative activities on cancer cell lines is reported. The designed N-heterocyclic quinones 3a-c were synthesized through a three step sequence which involves: a) one-pot preparation of 4-methoxycarbonyl-3,4-dimethylisoquinoline-5,8-quinone 1 from 2,5-dihydroxyacetophenone, methyl aminocrotonate and silver (II) oxide; b) regioselective amination of 1 with arylamines to give aminoquinones 2a-c and c) palladium-catalyzed intramolecular oxidative coupling of 7-aminoisoquinoline-5,8-quinones 2a-c. The in vitro antiproliferative activity of the new angular quinones was evaluated againts one normal cell line (lung fibroblasts) and gastric, lung and bladder cancer cell lines in 72-h drug exposure assays. The new compounds displayed similar or higher antiproliferative activity with respect to their quinone precursors 2a-c. The isomeric ellipticine quinone 2b appears as the more active member on bladder cancer cell line (IC50: 2.4 mu M), comparable to etoposide used as anticancer reference drug.</t>
  </si>
  <si>
    <t>WOS:000347445600007</t>
  </si>
  <si>
    <t>Montalvo, S; Guerrero, L; Robles, M; Mery, C; Huilinir, C; Borja, R</t>
  </si>
  <si>
    <t>Montalvo, S.; Guerrero, L.; Robles, M.; Mery, C.; Huilinir, C.; Borja, R.</t>
  </si>
  <si>
    <t>Start-up and performance of UASB reactors using zeolite for improvement of nitrate removal process</t>
  </si>
  <si>
    <t>ECOLOGICAL ENGINEERING</t>
  </si>
  <si>
    <t>A first study on the use of Chilean natural zeolite of different particle sizes (0.5, 1 and 2 mm in diameter) in laboratory-scale batch denitrificant reactors was carried out with the aim of assessing the microbial communities adhered to this material. Molecular techniques such as fluorescence in situ hybridization (FISH) and denaturing gradient gel electrophoresis (DGGE) fingerprints revealed a high microbial diversity with a strong presence of Gammaproteobacteria (70% of the total microorganisms) in reactors with zeolite 0.5 mm in diameter. Archaea were only detected in the reactors with zeolite 1 mm in diameter. In addition, the acclimatization and start-up of two UASB reactors (one without zeolite and the other with added zeolite 1 mm in diameter) were conducted following three consecutive and progressive stages using upward velocities from 0.10 to 0.44 m/h in order to establish an experimental protocol suitable for the start-up of this type of reactors. Total (100%) nitrate reduction was achieved in the UASB reactors with and without zeolite on the 7th and 11th days, respectively, of the second stage of the start-up period, showing the suitability of the use of this material in this type of reactors. Finally, a third study carried out with both UASB reactors operating in continuous mode at a high organic loading rate (44 kg COD/m(3) d) and a very low HRT (2.5 h) revealed that the reactor with zeolite achieved a nitrate removal efficiency of 92.4% at a nitrogen load of 6.42 kg NO3-/(m(3) d). This last study also demonstrated the robustness of the UASB reactor with zeolite under nitrate load variations. (C) 2014 Elsevier By. All rights reserved.</t>
  </si>
  <si>
    <t>Huilinir, Cesar/IYS-6899-2023; Borja, Rafael/P-5314-2016</t>
  </si>
  <si>
    <t>Borja, Rafael/0000-0002-3699-7223; Huilinir, Cesar/0000-0002-3487-684X</t>
  </si>
  <si>
    <t>0925-8574</t>
  </si>
  <si>
    <t>1872-6992</t>
  </si>
  <si>
    <t>10.1016/j.ecoleng.2014.06.007</t>
  </si>
  <si>
    <t>WOS:000340652100056</t>
  </si>
  <si>
    <t>CHAOS AND UNPREDICTABILITY IN EVOLUTION</t>
  </si>
  <si>
    <t>EVOLUTION</t>
  </si>
  <si>
    <t>The possibility of complicated dynamic behavior driven by nonlinear feedbacks in dynamical systems has revolutionized science in the latter part of the last century. Yet despite examples of complicated frequency dynamics, the possibility of long-term evolutionary chaos is rarely considered. The concept of survival of the fittest is central to much evolutionary thinking and embodies a perspective of evolution as a directional optimization process exhibiting simple, predictable dynamics. This perspective is adequate for simple scenarios, when frequency-independent selection acts on scalar phenotypes. However, in most organisms many phenotypic properties combine in complicated ways to determine ecological interactions, and hence frequency-dependent selection. Therefore, it is natural to consider models for evolutionary dynamics generated by frequency-dependent selection acting simultaneously on many different phenotypes. Here we show that complicated, chaotic dynamics of long-term evolutionary trajectories in phenotype space is very common in a large class of such models when the dimension of phenotype space is large, and when there are selective interactions between the phenotypic components. Our results suggest that the perspective of evolution as a process with simple, predictable dynamics covers only a small fragment of long-term evolution.</t>
  </si>
  <si>
    <t>0014-3820</t>
  </si>
  <si>
    <t>1558-5646</t>
  </si>
  <si>
    <t>10.1111/evo.12354</t>
  </si>
  <si>
    <t>WOS:000335209800012</t>
  </si>
  <si>
    <t>Chacón, M; Jara, JL; Varas, N; Panerai, RB</t>
  </si>
  <si>
    <t>Braidot, A; Hadad, A</t>
  </si>
  <si>
    <t>Chacon, M.; Jara, J. L.; Varas, N.; Panerai, R. B.</t>
  </si>
  <si>
    <t>Analysis of the Influence of Systemic and Intracranial Pressure in Patients with Severe Head Injury Using Linear and Non-linear Models</t>
  </si>
  <si>
    <t>VI LATIN AMERICAN CONGRESS ON BIOMEDICAL ENGINEERING (CLAIB 2014)</t>
  </si>
  <si>
    <t>IFMBE Proceedings</t>
  </si>
  <si>
    <t>6th Latin American Biomedical Engineering Conference (CLAIB)</t>
  </si>
  <si>
    <t>OCT 29-31, 2014</t>
  </si>
  <si>
    <t>Parana, ARGENTINA</t>
  </si>
  <si>
    <t>Reg Council Biomed Engn Latin America,Argentine Soc Bioengineering,Nacl Univ Entre Rios, Engn Sch,Int Federat Med &amp; Biol Engn,IEEE Engn Med &amp; Biol Soc</t>
  </si>
  <si>
    <t>Cerebral hemodynamics is greatly altered by severe head injury. The main variables involved in the system are Mean Arterial Pressure and Intracranial Pressure, which are the independent variables (inputs), and Cerebral Blood Flow, which is the dependent variable (output). The relationship between these signals is not completely understood in severe head injury, especially the contribution of the input signals and the linearity of the system. In this work, cerebral hemodynamics is modelled using Finite Impulse Response models with both linear and non-linear Support Vector Machine. Models from 31 patients showed that both input variables contribute similarly and alternatively to Cerebral Blood Flow.</t>
  </si>
  <si>
    <t>Jara, JL/J-7254-2015</t>
  </si>
  <si>
    <t>Jara, JL/0000-0002-3348-7017</t>
  </si>
  <si>
    <t>1680-0737</t>
  </si>
  <si>
    <t>978-3-319-13116-0; 978-3-319-13117-7</t>
  </si>
  <si>
    <t>10.1007/978-3-319-13117-7_139</t>
  </si>
  <si>
    <t>WOS:000363767200138</t>
  </si>
  <si>
    <t>Singh, AK; Tripathi, YB; Pandey, N; Singh, DP; Tripathi, D; Srivastava, ON</t>
  </si>
  <si>
    <t>Singh, Ashwani Kumar; Tripathi, Yamini B.; Pandey, Nidhi; Singh, D. P.; Tripathi, Deepshikha; Srivastava, O. N.</t>
  </si>
  <si>
    <t>Enhanced antilipopolysaccharide (LPS) induced changes in macrophage functions by Rubia cordifolia (RC) embedded with Au nanoparticles</t>
  </si>
  <si>
    <t>In this paper, we have shown that gold nanoparticles (Au (NPs)) embedded in Rubia cordifolia (RC) matrix (RC-Au (NPs)) exhibit a high therapeutic value relating to its anti-inflammatory characteristics. It was prepared by utilizing the reducing properties of RC to convert HAuCl4 into Au (NPs). In order to compare its effectiveness, with respect to Au (NPs), the latter was synthesized separately by reducing HAuCl4 with lemon extract. These Au (NPs) along with RC-Au (NPs) were characterized by X-ray diffractometry (XRD), transmission electron microscopy (TEM), and UV-visible spectroscopy. The enhancement in anti-inflammatory characteristics was assessed as its inhibitory potential for lipopolysaccharide (LPS)-induced nitric oxide (NO) release, by rat peritoneal macrophages. The RC-Au (NPs) significantly enhanced its potential to inhibit NO release, which was reported in terms of inhibitory concentration for 50% inhibition (IC50= 11.98 ng/ml), as compared to either RC extract (IC50=47 x 10(3) ng/ml) or to Au (NPs) (IC50=587.50 ng/ml). (C) 2013 Elsevier Inc. All rights reserved.</t>
  </si>
  <si>
    <t>Tripathi, Yamini/Q-6160-2019; SINGH, DINESH/A-2509-2011</t>
  </si>
  <si>
    <t>SINGH, DINESH/0000-0002-2893-7749; Tripathi, Prof. Yamini Bhusan/0000-0002-8093-1109</t>
  </si>
  <si>
    <t>10.1016/j.freeradbiomed.2013.06.006</t>
  </si>
  <si>
    <t>WOS:000328868900020</t>
  </si>
  <si>
    <t>Martín, JC; Rasmussen, SB; Suárez, S; Yates, M; Gil-Llambías, FJ; Villarroel, M; Avila, P</t>
  </si>
  <si>
    <t>Martin, J. C.; Rasmussen, S. B.; Suarez, S.; Yates, M.; Gil-Llambias, F. J.; Villarroel, M.; Avila, P.</t>
  </si>
  <si>
    <t>Effect of sulphuric acid pretreatment concentration on the behaviour of CoOX/γ-Al2O3-SO4 monolithic catalysts in the lean CH4-SCR process</t>
  </si>
  <si>
    <t>APPLIED CATALYSIS B-ENVIRONMENTAL</t>
  </si>
  <si>
    <t>The pretreatment of conformed gamma-alumina monolithic supports with sulphuric acid solutions induces an increase in the activity of CoOX/gamma-Al2O3 catalysts for the selective catalytic reduction of nitrogen oxides employing methane as the reductant. The improvement in the activity was related to the acid strength of the acid used in the pretreatment step, where both the activities and selectivities were found to be greatest when the monolithic supports were pretreated with a 2.5 M H2SO4 solution. The UV-vis-NIR, XRD spectroscopies, zero point charge measurements and TGA studies demonstrated that the active cobalt phase was stabilised as a tetrahedral Co(II) complex, possibly associated to sulphate ligands. UV-vis-NIR spectroscopy further revealed that pretreatment with 2.5 M H2SO4 led to the lowest ratios of crystalline Co3O4, explaining the enhanced activity and higher selectivity, since this compound is known to promote the undesirable direct methane combustion with oxygen. Furthermore, TGA analysis combined with zeta-potential measurements, lead to the conclusion that the acidity, important for the activation of methane, increased on the catalyst surface with increasing acid concentration up to 2.5 M H2SO4, whereafter formation of Al-2(SO4)(3) took place. that lowered the catalytic activity due to the formation of non-selective cobalt oxide clusters. (C) 2009 Elsevier B.V. All rights reserved.</t>
  </si>
  <si>
    <t>Rasmussen, Søren/G-9996-2011; Avila, Pedro/S-7588-2017; Yates, Malcolm/H-5152-2015; Suarez, Silvia/F-1292-2016</t>
  </si>
  <si>
    <t>Yates, Malcolm/0000-0001-5128-1218; Avila, Pedro/0000-0002-0212-941X; Suarez, Silvia/0000-0003-2258-664X</t>
  </si>
  <si>
    <t>0926-3373</t>
  </si>
  <si>
    <t>SEP 7</t>
  </si>
  <si>
    <t>10.1016/j.apcatb.2009.06.010</t>
  </si>
  <si>
    <t>WOS:000269374400051</t>
  </si>
  <si>
    <t>De la Maza, MP; Bravo, A; Leiva, L; Gattas, V; Barrera, G; Petermann, M; Garrido, F; Uribarri, J; Bunout, D; Hirsch, S</t>
  </si>
  <si>
    <t>De la Maza, M. P.; Bravo, A.; Leiva, L.; Gattas, V.; Barrera, G.; Petermann, M.; Garrido, F.; Uribarri, J.; Bunout, D.; Hirsch, S.</t>
  </si>
  <si>
    <t>Urinary excretion of fluorescent advanced glycation end products (AGEs) in the elderly</t>
  </si>
  <si>
    <t>JOURNAL OF NUTRITION HEALTH &amp; AGING</t>
  </si>
  <si>
    <t>Hirsch, Sandra/R-2431-2016; Uribarri, Jaime/ADX-7655-2022; Petermann, Marcus/AAQ-9281-2021</t>
  </si>
  <si>
    <t>Petermann, Marcus/0000-0001-7844-9674</t>
  </si>
  <si>
    <t>1279-7707</t>
  </si>
  <si>
    <t>1760-4788</t>
  </si>
  <si>
    <t>10.1007/BF02982625</t>
  </si>
  <si>
    <t>WOS:000254428000013</t>
  </si>
  <si>
    <t>Pires, MJM; Denardin, JC; Dumitru, I; Spinu, L</t>
  </si>
  <si>
    <t>Pires, M. J. M.; Denardin, J. C.; Dumitru, I.; Spinu, L.</t>
  </si>
  <si>
    <t>Ferromagnetic resonance studies in Co/SiO2 multilayers</t>
  </si>
  <si>
    <t>APPLIED SURFACE SCIENCE</t>
  </si>
  <si>
    <t>13th International Conference on Solid Films and Surfaces (ICSFS 13)</t>
  </si>
  <si>
    <t>NOV 06-10, 2006</t>
  </si>
  <si>
    <t>San Carlos de Bariloche, ARGENTINA</t>
  </si>
  <si>
    <t>Comis Nacl Energia Atom,ANPCyT,CONICET,CLAF</t>
  </si>
  <si>
    <t>The uniaxial in-plane and out-of-plane anisotropies of [Co/SiO2] x 10 multilayers have been studied by ferromagnetic resonance, magnetometry and transmission electron microscopy. The surface and volume anisotropy constants are in the range of values typical for multilayers with Co and transition metals of the iron group. The influence of the intermixed Co-SiO2 region is discussed. (C) 2007 Elsevier B.V. All rights reserved.</t>
  </si>
  <si>
    <t>Dumitru, Ioan/B-8639-2011; Pires, Manoel/M-9179-2014; Denardin, Juliano/S-6407-2019</t>
  </si>
  <si>
    <t>Denardin, Juliano/0000-0002-1373-6207</t>
  </si>
  <si>
    <t>0169-4332</t>
  </si>
  <si>
    <t>10.1016/j.apsusc.2007.07.035</t>
  </si>
  <si>
    <t>WOS:000250800100079</t>
  </si>
  <si>
    <t>Gulppi, MA; Paez, MA; Costamagna, JA; Cárdenas-Jirón, G; Bedioui, F; Zagal, JH</t>
  </si>
  <si>
    <t>Inverted correlations between rate constants and redox potential of the catalyst for the electrooxidation of 2-aminoethanethiol mediated by surface confined substituted cobalt-phthalocyanines</t>
  </si>
  <si>
    <t>This study reports on the role of both electron donor and electron acceptor substituents on the periphery of phthalocyanine cycle on the electrocatalytic activity of cobalt plithalocyanines for the oxidation of 2-aminoethanethiol (2-AET). By using these groups it is possible to modulate the Co(II)/(I) formal potential of the catalysts. The reported results show that the electrocatalytic activity of the adsorbed phthalocyanines containing electron-withdrawing groups decreases as the Co(II)/(I) formal potential of the catalyst becomes more positive, while electron-donating groups on the periphery of the ligand increase the catalytic activity. (c) 2005 Elsevier B.V. All rights reserved.</t>
  </si>
  <si>
    <t>zagal, jose/L-9648-2014; Gulppi, Miguel/KTA-6210-2024; Paez, Maritza/M-2010-2014; Cardenas-Jiron, Gloria/H-9508-2012; Bedioui, Fethi/N-3507-2014</t>
  </si>
  <si>
    <t>paez, maritza/0000-0001-5881-884X; Cardenas-Jiron, Gloria/0000-0003-4305-8088; Bedioui, Fethi/0000-0002-0063-4412; Gulppi, Miguel/0000-0001-6099-4463</t>
  </si>
  <si>
    <t>0022-0728</t>
  </si>
  <si>
    <t>10.1016/j.jelechem.2005.03.010</t>
  </si>
  <si>
    <t>WOS:000229512700007</t>
  </si>
  <si>
    <t>Vogel, EE; Cartes, J; Altbir, D; Vargas, P</t>
  </si>
  <si>
    <t>Hysteresis cycles for ± J spin glasses</t>
  </si>
  <si>
    <t>International Conference on Magnetism</t>
  </si>
  <si>
    <t>AUG 06-11, 2000</t>
  </si>
  <si>
    <t>RECIFE, BRAZIL</t>
  </si>
  <si>
    <t>CNPq,FINEP,CAPES,FACEPE,FAPEST,FAPERJ</t>
  </si>
  <si>
    <t>Hysteresis cycles for cubic +/- J Ising spin glasses are obtained by Monte-Carlo simulations and compared to similar results previously reported for triangular systems. Generic characteristics, such as hysteresis cycles divided in sectors and no return memory point, are explained in general A discussion is done for the magnetization within each sector, dissipated energy per cycle and temperature dependence. (C) 2001 Elsevier Science B.V. All rights reserved.</t>
  </si>
  <si>
    <t>Altbir, Dora/0000-0002-2945-4909; Vogel, Eugenio/0000-0002-1701-3030; vargas, patricio/0000-0001-9235-9747</t>
  </si>
  <si>
    <t>10.1016/S0304-8853(00)01005-2</t>
  </si>
  <si>
    <t>WOS:000170628400069</t>
  </si>
  <si>
    <t>Alvarez, C; Lanio, ME; Tejuca, M; Martínez, D; Pazos, F; Campos, AM; Encinas, MV; Pertinhez, T; Schreier, S; Lissi, EA</t>
  </si>
  <si>
    <t>The role of ionic strength on the enhancement of the hemolytic activity of sticholysin I, a cytolysin from Stichodactyla helianthus</t>
  </si>
  <si>
    <t>Sticholysin I (St I) is a potent cytolytic polypeptide purified from the Caribbean sea anemone Stichodactyla helianthus. The hemolytic activity of sticholysin is potentiated by its preincubation at high ionic strengths. In the present work the mechanism of the potentiating action of the medium ionic strength on the toxin hemolytic capacity is investigated. It is suggested that preincubation with high saline concentration induces a transition of St I to a more relaxed conformation that facilitates the lytic process. (C) 1998 Elsevier Science Ltd. All rights reserved.</t>
  </si>
  <si>
    <t>Encinas, Maria/L-9686-2014; Schreier, Shirley/F-7001-2014; Campos Staffico, Alessandra/IOK-4172-2023</t>
  </si>
  <si>
    <t>Fabiola, Isabel/0000-0002-9502-2186</t>
  </si>
  <si>
    <t>10.1016/S0041-0101(97)00069-X</t>
  </si>
  <si>
    <t>WOS:000073385700014</t>
  </si>
  <si>
    <t>Cerda, E; Melo, F; Rica, S</t>
  </si>
  <si>
    <t>Model for subharmonic waves in granular materials</t>
  </si>
  <si>
    <t>PHYSICAL REVIEW LETTERS</t>
  </si>
  <si>
    <t>Parametric waves arise spontaneously when a thin layer of granular material is oscillated vertically. A dynamical model of these waves accounting for the observed instability threshold and appearance of square patterns is presented. The proposed instability mechanism is due to two competing processes: a focusing effect that concentrates particles in space, and a diffusion effect that relaxes large thickness gradients in the layer. When the layer is in a liquid-type state, close to a solid-liquid transition, the model correctly predicts the presence of oscillons recently reported by P. Umbanhowar et al.</t>
  </si>
  <si>
    <t>Melo, Francisco/M-3923-2014; Rica, Sergio/G-9865-2011</t>
  </si>
  <si>
    <t>Rica, Sergio/0000-0003-0695-6700; Melo, Francisco Esteban/0000-0001-6818-5476</t>
  </si>
  <si>
    <t>0031-9007</t>
  </si>
  <si>
    <t>DEC 8</t>
  </si>
  <si>
    <t>10.1103/PhysRevLett.79.4570</t>
  </si>
  <si>
    <t>WOS:A1997YK36500014</t>
  </si>
  <si>
    <t>Heredia, V; Vegas, J; Espinoza, L; Flores, E; Navarro, F; Lizama, D; Aguirre, M; Márquez, P; Pizarro, J</t>
  </si>
  <si>
    <t>Heredia, Veronica; Vegas, Javiera; Espinoza, Lidia; Flores, Erick; Navarro, Freddy; Lizama, Daniel; Aguirre, Maria; Marquez, Paulina; Pizarro, Jaime</t>
  </si>
  <si>
    <t>Carbon black as a modifier for a cheap carbon paper disposable electrode for the determination of zaleplon in synthetic saliva</t>
  </si>
  <si>
    <t>The electrochemical determination of zaleplon, a sleep-inducing drug, is reported for the first time using a disposable electrochemical sensor based on carbon paper modified with carbon black via drop-coating. The electrochemical performance of the sensor was investigated using Square-Wave Adsorptive Voltammetry. The surface of the electrode was characterized through scanning electron microscopy, X-ray diffraction, and Raman spectroscopy. Nyquist plots from Electrochemical Impedance Spectroscopy reveal rough surface features in both electrodes, with more pronounced pore size effects observed for carbon paper than the modified electrode. Changes between both electrodes were attributed to differences in the capacitive and diffusive behavior of the analyte on each surface. Diffusional behavior was explained by macroscopic parameters, such as porosity and tortuosity. For the modified electrode, optimal chemical and electrochemical conditions were established for zaleplon detection, showing a linear range of 0.17 to 2.0 mM, a sensitivity of 0.086 mA mM-1, and a limit of detection and quantification of 0.019 and 0.079 mM, respectively. The addition of carbon black improved the pre-concentration capability of the sensor, enabling a new approach for rapid and sensitive zaleplon detection in oral fluids through a disposable electrode.</t>
  </si>
  <si>
    <t>Navarro, Freddy/KIA-4345-2024; Aguirre, Maria/A-3935-2013</t>
  </si>
  <si>
    <t>10.1007/s10800-024-02240-7</t>
  </si>
  <si>
    <t>WOS:001381907800001</t>
  </si>
  <si>
    <t>Fuentes, F; Pailahueque, N; Muñoz, I; Escobar, R; Cardemil, JM</t>
  </si>
  <si>
    <t>Fuentes, Francisco; Pailahueque, Nicolas; Munoz, Ivan; Escobar, Rodrigo; Cardemil, Jose M.</t>
  </si>
  <si>
    <t>Assessing the integration of solar process heat in the dairy industry: A case study in Chile</t>
  </si>
  <si>
    <t>SUSTAINABLE ENERGY TECHNOLOGIES AND ASSESSMENTS</t>
  </si>
  <si>
    <t>Solar heat for industrial processes (SHIP) in the dairy industry has attracted considerable interest during the last few years. The present study assesses the use of solar heat in dairy factories applying Ultra High Temperature pasteurization, using three locations in Chilean central and southern regions as case studies. The analysis utilizes numerical simulations considering annual energy performance, economic feasibility, size of thermal energy storage (TES), and the economic competitiveness for four different solar thermal collector technologies: Flat Plate Collector (FPC), Evacuated Tube Collector, Parabolic Trough Collector (PTC), and Linear Fresnel Reflector. The numerical simulations were conducted using the TRNSYS software for varying meteorological parameters and hourly heat load profile. The integration scheme selected for the implementation of the SHIP systems considers supply level to reheat the boiler's feedwater. The results show that the minimum levelized cost of heat ranges between 78 USD/MWh - 79 USD/MWh, with FPC and PTC showing the lower values. For all the companies analyzed, the minimums values of LCoH were observed when considering specific storage volumes between 75 l/m2-120 l/m2, 2 - 120 l/m 2 , indicating a strong relationship between solar resource availability and financial performance.</t>
  </si>
  <si>
    <t>Escobar, Rodrigo/JHU-7720-2023; Pailahueque, Nicolas/GYA-3286-2022; Cardemil, Jose M./K-4375-2013</t>
  </si>
  <si>
    <t>Pailahueque Barahona, Nicolas/0009-0006-3051-3888; Escobar, Rodrigo/0000-0001-9097-7461; Cardemil, Jose M./0000-0002-9022-8150</t>
  </si>
  <si>
    <t>2213-1388</t>
  </si>
  <si>
    <t>2213-1396</t>
  </si>
  <si>
    <t>10.1016/j.seta.2024.103894</t>
  </si>
  <si>
    <t>WOS:001280356800001</t>
  </si>
  <si>
    <t>Saavedra, LM; Bastías, M; Mendoza, P; Lagos, NA; García-Herrera, C; Ponce, V; Alvarez, F; Llanos-Rivera, A</t>
  </si>
  <si>
    <t>Saavedra, Luisa M.; Bastias, Manuel; Mendoza, Paula; Lagos, Nelson A.; Garcia-Herrera, Claudio; Ponce, Vania; Alvarez, Fabian; Llanos-Rivera, Alejandra</t>
  </si>
  <si>
    <t>Environmental correlates of oyster farming in an upwelling system: Implication upon growth, biomass production, shell strength and organic composition</t>
  </si>
  <si>
    <t>MARINE ENVIRONMENTAL RESEARCH</t>
  </si>
  <si>
    <t>Comprehending the potential effects of environmental variability on bivalves aquaculture becomes crucial for its sustainability under climate change scenarios, specially in the Humboldt Current System (HCS) where upwelling intensification leading to frequent hypoxia and acidification is expected. In a year-long study, Pacific oysters (Magallana gigas) were monitored at two depths (1.5m, 6.5m) in a bay affected by coastal upwelling. Surface waters exhibited warmer, well-oxygenated conditions and higher chlorophyll-a concentrations, while at depth greater hypoxia and acidification events occur, especially during upwelling. Surface cultured oysters exhibited 60 % larger size and 35% greater weight due to faster growth rate during the initial month of cultivation. The condition index (CI) increases in surface oysters after 10 months, whereas those at the bottom maintain a lower index. Food availability, temperature, and oxygen, correlates with higher growth rates, while pH associates with morphometric variables, indicating that larger oysters tend to develop under higher pH. Increased upwelling generally raises CI, but bottom oysters face stressful conditions such as hypoxia and acidification, resulting in lower performance. However, they acclimate by changing the organic composition of their shells and making them stronger. This study suggests that under intensified upwelling scenario, oysters would grow slowly, resulting in smaller sizes and lower performance, but the challenges may be confronted through complex compensation mechanisms among biomass production and maintenance of the shell structure and function. This poses a significant challenge for the sustainability of the aquaculture industry, emphasizing the need for adaptive strategies to mitigate the effects of climate change.</t>
  </si>
  <si>
    <t>García-Herrera, Claudio/ABE-8991-2020</t>
  </si>
  <si>
    <t>Alvarez Carrasco, Fabian/0009-0000-2506-4623; Saavedra Lowenberger, Luisa Marie/0000-0002-8753-5416</t>
  </si>
  <si>
    <t>0141-1136</t>
  </si>
  <si>
    <t>1879-0291</t>
  </si>
  <si>
    <t>10.1016/j.marenvres.2024.106489</t>
  </si>
  <si>
    <t>WOS:001298516500001</t>
  </si>
  <si>
    <t>Ahmad, G; Kamatchi, P; Prakashvel, J; Flores, EIS</t>
  </si>
  <si>
    <t>Flores, EIS; Astroza, R; Das, R</t>
  </si>
  <si>
    <t>Ahmad, Gheyasuddin; Kamatchi, P.; Prakashvel, J.; Flores, Erick I. Saavedra</t>
  </si>
  <si>
    <t>Calibration Factors for Mass Loss of Longitudinal and Transverse Reinforcement in Accelerated Corrosion Process in the RC Specimens</t>
  </si>
  <si>
    <t>RECENT ADVANCES ON THE MECHANICAL BEHAVIOUR OF MATERIALS, ICM 2023</t>
  </si>
  <si>
    <t>Lecture Notes in Civil Engineering</t>
  </si>
  <si>
    <t>14th International Conference on the Mechanical Behaviour of Materials (ICM)</t>
  </si>
  <si>
    <t>JUL 12-14, 2023</t>
  </si>
  <si>
    <t>Univ Santiago, Dept Civil Engn</t>
  </si>
  <si>
    <t>As reported in literature, accelerated corrosion process using impressed current technique is widely adopted to corrode the rebar in reinforced concrete specimens in order to characterise the mechanical properties and to study the response of the corroded structure. Often variations are observed between the actual mass loss achieved during accelerated corrosion process and the target mass loss estimated using Faraday's law. In this paper, an effort has been made to quantify the variations, in terms of calibration factors for the reinforced concrete prism specimens. Three cases viz., Case 1 passing the current through longitudinal rebar by allowing the current to pass through transverse reinforcement, Case 2 passing the current through the longitudinal rebar by insulating the transverse rebar connection and Case 3 passing the current through longitudinal as well as transverse rebar separately by insulating the connection between rebars. Calibration factors for longitudinal and transverse rebars are obtained for the three cases considered. Further, the yield strength (fy), ultimate tensile strength (fu), and elongation parenthesis (delta(c)) of the corroded rebars of the specimens investigated are obtained. The constants for fy, fu, delta(c), called here as alpha 1(,) alpha(2), alpha(3) respectively, are estimated in the present study and comparisons have been made with values obtained from existing models in literature.</t>
  </si>
  <si>
    <t>Ahmad, Gheyasuddin/0000-0003-0826-3895</t>
  </si>
  <si>
    <t>2366-2557</t>
  </si>
  <si>
    <t>2366-2565</t>
  </si>
  <si>
    <t>978-3-031-53377-8; 978-3-031-53375-4; 978-3-031-53374-7</t>
  </si>
  <si>
    <t>10.1007/978-3-031-53375-4_17</t>
  </si>
  <si>
    <t>WOS:001298122200017</t>
  </si>
  <si>
    <t>Segales, D; Cofre-Bolados, C; Valenzuela, CF; Fabres, I; Formantel, SB</t>
  </si>
  <si>
    <t>Segales, Dulce; Cofre-Bolados, Cristian; Valenzuela, Claudio Farias; Fabres, Ignacio; Formantel, Sebastian Barrows</t>
  </si>
  <si>
    <t>Physical performance with EPTS analysis in national team soccer players vs. local Paraguayan competition</t>
  </si>
  <si>
    <t>SPORT TK-REVISTA EUROAMERICANA DE CIENCIAS DEL DEPORTE</t>
  </si>
  <si>
    <t>In the senior team of Paraguay since mid-2020, profiles have been carried out by positions that allow us to understand a gold standard, and in this way quickly compare player profiles to relate them to the models found in the local league. The aim of this study was to determine the physical performance of the soccer players of the local league of Paraguay vs. the National Team, relating the analysis by position between Front Markers, Central Markers and Wingers. The sample consisted of 176 professional soccer players: 149 of the local tournament belonging to 6 first division clubs, measured with electronic performance and tracking systems (EPTS). The data for the national team corresponded to 27 players measured in the competition matches of the Qualifier for Qatar 2022 and Copa Am &amp; eacute;rica 2021. The results indicated that there were no differences in maximum speed between the national team and players of the local tournament. In a distance traveled greater than 24 km/h, there was a difference in the extremes in favor of those selected. In a distance greater than 18 km/h, there was no difference. In acceleration distance there were no differences in the two groups analyzed. Finally, in total distance traveled, there was only a difference in central markers in favor of the local group.</t>
  </si>
  <si>
    <t>2340-8812</t>
  </si>
  <si>
    <t>WOS:001360797000004</t>
  </si>
  <si>
    <t>Soares, DJM; Soares, TEA; Ríos-Muñoz, D; dos Santos, W</t>
  </si>
  <si>
    <t>Soares, Denilson Junio Marques; Soares, Talita Emidio Andrade; Rios-Munoz, Daniel; dos Santos, Wagner</t>
  </si>
  <si>
    <t>SOCIOECONOMIC INEQUALITIES AND ACADEMIC PERFORMANCE: ANALYSIS OF SAEB/BRAZIL AND SIMCE/CHILE RESULTS IN 2019</t>
  </si>
  <si>
    <t>NUANCES-ESTUDOS SOBRE EDUCACAO</t>
  </si>
  <si>
    <t>: This paper was developed with the aim of analyzing the influence of socioeconomic factors on students' academic performance in standardized assessments administered by the Sistema de Avalia &amp; ccedil;&amp; atilde;o da Educa &amp; ccedil;&amp; atilde;o B &amp; aacute;sica in Brazil and the pelo Sistema de Medici &amp; oacute;n de la Calidad de la Educaci &amp; oacute;n in Chile. This is a comparative mixed methods research with a sequential exploratory perspective, predominantly quantitative, which uses official data obtained through queries to the electronic portals of both countries. The results confirm the association between students' socioeconomic status and their academic success, with a stronger emphasis on the intensity of this relationship in the most extreme socioeconomic categories. This highlights the pressing need to develop innovative strategies to balance academic performance expectations among students from different social backgrounds. This challenge becomes even more significant in light of the ongoing educational changes in both countries, particularly the reforms in their academic assessment systems.</t>
  </si>
  <si>
    <t>Santos, Wagner/AAC-1068-2019</t>
  </si>
  <si>
    <t>2236-0441</t>
  </si>
  <si>
    <t>e024006</t>
  </si>
  <si>
    <t>10.32930/nuances.v35i00.10410</t>
  </si>
  <si>
    <t>WOS:001286125300001</t>
  </si>
  <si>
    <t>Bittencourt, GHR; Altbir, D; Carvalho-Santos, VL</t>
  </si>
  <si>
    <t>Bittencourt, G. H. R.; Altbir, D.; Carvalho-Santos, V. L.</t>
  </si>
  <si>
    <t>Geometry effects on the domain wall width in bent nanowires</t>
  </si>
  <si>
    <t>Spintronic devices using domain walls (DWs) as information carriers require stable high speeds and a clear understanding of their dynamics. The latter strongly depends on the geometry of the magnetic element hosting the DW. This work aims to determine the effects of the geometry on the width of a transverse DW nucleated in a bent magnetic nanowire with a rectangular cross-section. Our results show that a geometry-induced effective anisotropy is responsible for shrinking or stretching the DW width, depending on the direction along which the DW center points (DW phase).</t>
  </si>
  <si>
    <t>Bittencourt, Guilherme/MXM-5181-2025; Altbir, Dora/R-6781-2018; Carvalho-Santos, Vagson/E-8806-2013</t>
  </si>
  <si>
    <t>Altbir, Dora/0000-0002-2945-4909; Carvalho-Santos, Vagson/0000-0002-2759-2152; Rezende Bittencourt, Guilherme Henrique/0000-0002-0912-8444</t>
  </si>
  <si>
    <t>10.1016/j.jmmm.2023.171384</t>
  </si>
  <si>
    <t>OCT 2023</t>
  </si>
  <si>
    <t>WOS:001105431700001</t>
  </si>
  <si>
    <t>González, R; Viviani, P; Merialdi, M; Rubio, G; Pons, A; Gutiérrez, J</t>
  </si>
  <si>
    <t>Gonzalez, Rogelio; Viviani, Paola; Merialdi, Mario; Rubio, Gonzalo; Pons, Andres; Gutierrez, Jorge</t>
  </si>
  <si>
    <t>Increase in maternal mortality and prematurity during the COVID-19 pandemic in Chile</t>
  </si>
  <si>
    <t>REVISTA MEDICA CLINICA LAS CONDES</t>
  </si>
  <si>
    <t>Introduction: At the third year of the pandemic in Chile, the reported cases of COVID-19 reached 4,769,638 and 61,725 deaths (1.4%), with 93% of the population with a complete vaccination schedule (17,686,528). Aim: The purpose of this study is a brief communication on the impact of the SARS-CoV-2 pandemic on maternal, perinatal and prematurity mortality in Chile. Method: The national database of the Informatics Department of the Ministry of Health of Chile (DEIS), and the information reported from the official WHO website were used. All births, general and fetal deaths from January 1990 to September 2022 were included. A comparison is made between the basic maternal and perinatal indicators of the last 30 years and those of the years of the pandemic. Results: From March 2020 to September 2022, approximately 61,000 people died in Chile with a diagnosis associated with COVID-19, 17% of the general mortality for the period (approx. 364.000 deaths). An acceleration in the historical trend towards a decrease in the overall birth/death ratio was observed from 1.9 pre-pandemic to 1.4 during the third year of the pandemic. Maternal Mortality Ratio in 2020 (28.1 x 100,000) increased compared to 2019 pre-pandemic (19.1) or the simple historical trend line projected for 2020 (18.0) by 56%. Prematurity under 37 weeks of gestation increased from 8.5% (2019) to 9.5% for the years 2021 and 2022. Neonatal mortality in the first 28 days remained stable at 9 per thousand births during the 3 years of the pandemic and fetal mortality (&gt;21 weeks) had a slight increase to 4.7 per thousand (year 2020) in relation to 3.4 in 2019. Conclusions: In Chile, an increase of approximately 56% in maternal mortality occurred in the first year of the SARS-CoV-2 pandemic. In the second year, a significant increase in late prematurity and a slight increase in fetal mortality were observed. These findings have been reported in the reviews and latest updates of the year 2022.</t>
  </si>
  <si>
    <t>0716-8640</t>
  </si>
  <si>
    <t>10.1016/j.rmclc.2023.01.009</t>
  </si>
  <si>
    <t>FEB 2023</t>
  </si>
  <si>
    <t>WOS:001009458100001</t>
  </si>
  <si>
    <t>Borges-Martínez, M; Montenegro-Pohlhammer, N; Zhang, XC; Galvez-Aranda, DE; Ponce, V; Seminario, JM; Cárdenas-Jirón, G</t>
  </si>
  <si>
    <t>Borges-Martinez, Merlys; Montenegro-Pohlhammer, Nicolas; Zhang, Xiance; Galvez-Aranda, Diego E.; Ponce, Victor; Seminario, Jorge M.; Cardenas-Jiron, Gloria</t>
  </si>
  <si>
    <t>Fullerene binding effects in Al(III)/Zn(II) Porphyrin/Phthalocyanine photophysical properties and charge transport</t>
  </si>
  <si>
    <t>SPECTROCHIMICA ACTA PART A-MOLECULAR AND BIOMOLECULAR SPECTROSCOPY</t>
  </si>
  <si>
    <t>We evaluate the fullerene C-60 binding effect; through the metal (Al) and through the ligand (Pc,TPP), on the photophysical and charge transport properties of M-porphyrin(TPP)/phthalocyanine(Pc) (M = Al(III), Zn (II)). We perform density functional theory (DFT) and time-dependent DFT calculations for the macrocycle-C-60 dyads, showing that all systems studied are thermodynamically favorable. The C-60 binding effect on the absorption spectrum is a red-shift of the Q and Soret (B) bands of TPPs and Pcs. The Pc dyads show longer k for Q bands (673 nm) than those with TPP (568 nm). AlTPP-C-60 and ZnTPP-C-60 show a more favorable electron injection to TiO2 than the analogs Pcs, and the regeneration of the dye is preferred in AlTPP-C-60 and AlPc-C-60. Zero-bias conductance is computed (10(-4)-10(-7) G(0)) for the dyads using molecular junctions with Au(1 1 1)-based electrodes. When a bias voltage of around 0.6 V up to 1 V is applied, an increase in current is obtained for AlTPP-C-60 (10(-7) A), ZnTPP-C-60 (10(-7) A), and AlPc-C-60 (10(-8) A). Although there is not a unique trend in the behavior of the dyads, Pcs have better photophysical properties than TPPs and the latter are better in the charge transport. We conclude that AlTPP(ZnTPP)-C-60 dyads are an excellent alternative for designing new materials for dye-sensitized solar cells or optoelectronic devices. (C) 2021 Elsevier B.V. All rights reserved.</t>
  </si>
  <si>
    <t>Seminario, Jorge/C-9646-2012; Montenegro-Pohlhammer, Nicolas/HJZ-2914-2023; Ponce, Victor/ABG-8006-2020; Cardenas-Jiron, Gloria/H-9508-2012</t>
  </si>
  <si>
    <t>Montenegro-Pohlhammer, Nicolas/0000-0003-3574-2955; Borges, Merlys/0000-0001-8130-1718; Cardenas-Jiron, Gloria/0000-0003-4305-8088</t>
  </si>
  <si>
    <t>1386-1425</t>
  </si>
  <si>
    <t>1873-3557</t>
  </si>
  <si>
    <t>10.1016/j.saa.2021.120740</t>
  </si>
  <si>
    <t>DEC 2021</t>
  </si>
  <si>
    <t>WOS:000751759500008</t>
  </si>
  <si>
    <t>Castillo-Sepúlveda, S; Cacilhas, R; Carvalho-Santos, VL; Corona, RM; Altbir, D</t>
  </si>
  <si>
    <t>Castillo-Sepulveda, S.; Cacilhas, R.; Carvalho-Santos, V. L.; Corona, R. M.; Altbir, D.</t>
  </si>
  <si>
    <t>Magnetic hopfions in toroidal nanostructures driven by an Oersted magnetic field</t>
  </si>
  <si>
    <t>The search for magnetic hopfions has been the focus of intense research during the last years. In this direction, and using micromagnetic simulations, we studied the magnetization reversal mechanism in toroidal nanoparticles under the action of an Oersted magnetic field. Our results evidence the nucleation of four magnetic configurations as a function of geometry, two of them being hopfion-like textures. These mechanisms are preferred for large toroidal structures. The annihilation of such texture is indicated by strong changes in the energy, which characterizes a topological transition.</t>
  </si>
  <si>
    <t>; Altbir, Dora/R-6781-2018; Carvalho-Santos, Vagson/E-8806-2013</t>
  </si>
  <si>
    <t>Corona, Rosa/0000-0001-6054-5019; Cacilhas, Rafael/0000-0001-5611-1373; Castillo, Sebastian/0000-0001-7730-8773; Altbir, Dora/0000-0002-2945-4909; Carvalho-Santos, Vagson/0000-0002-2759-2152</t>
  </si>
  <si>
    <t>NOV 3</t>
  </si>
  <si>
    <t>10.1103/PhysRevB.104.184406</t>
  </si>
  <si>
    <t>WOS:000717972500009</t>
  </si>
  <si>
    <t>Vivanco, I; Cartwright, B; Araujo, AL; Gordillo, L; Marin, JF</t>
  </si>
  <si>
    <t>Vivanco, Isis; Cartwright, Bruce; Araujo, A. Ledesma; Gordillo, Leonardo; Marin, Juan F.</t>
  </si>
  <si>
    <t>Generation of Gravity Waves by Pedal-Wavemakers</t>
  </si>
  <si>
    <t>FLUIDS</t>
  </si>
  <si>
    <t>Experimental wave generation in channels is usually achieved through wavemakers (moving paddles) acting on the surface of the water. Although practical for engineering purposes, wavemakers have issues: they perform poorly in the generation of long waves and create evanescent waves in their vicinity. In this article, we introduce a framework for wave generation through the action of an underwater multipoint mechanism: the pedal-wavemaking method. Our multipoint action makes each point of the bottom move with a prescribed pedalling-like motion. We analyse the linear response of waves in a uniform channel in terms of the wavelength of the bottom action. The framework naturally solves the problem of the performance for long waves and replaces evanescent waves by a thin boundary layer at the bottom of the channel. We also show that proper synchronisation of the orbital motion on the bottom can produce waves that mimic deep water waves. This last feature has been proved to be useful to study fluid-structure interaction in simulations based on smoothed particle hydrodynamics.</t>
  </si>
  <si>
    <t>GORDILLO, Leonardo/I-8215-2014; Marin, Juan/J-6676-2019</t>
  </si>
  <si>
    <t>GORDILLO, Leonardo/0000-0002-9516-1346; Cartwright, Bruce/0000-0002-3649-3770; Marin, Juan/0000-0003-3756-5016; Vivanco Vivanco, Isis/0009-0001-1769-5035; Ledesma Araujo, Angelo Isaac/0000-0003-1018-5785</t>
  </si>
  <si>
    <t>2311-5521</t>
  </si>
  <si>
    <t>10.3390/fluids6060222</t>
  </si>
  <si>
    <t>WOS:000666748900001</t>
  </si>
  <si>
    <t>Farías-Valenzuela, C; Alarcón-López, H; Moraga-Pantoja, M; Troncoso-Moreno, T; Vega-Tobar, V; Rivadeneira-Intriago, M; Valdivia-Moral, P</t>
  </si>
  <si>
    <t>Farias-Valenzuela, C.; Alarcon-Lopez, H.; Moraga-Pantoja, M.; Troncoso-Moreno, T.; Vega-Tobar, V.; Rivadeneira-Intriago, M.; Valdivia-Moral, P.</t>
  </si>
  <si>
    <t>COMPARISON OF ANTHROPOMETRIC MEASUREMENTS OF CARDIOVASCULAR RISK, ISOMETRIC STRENGTH AND FUNCTIONALITY AMONG CHILEAN ADOLESCENTS OF BOTH GENDER WITH INTELLECTUAL DISABILITIES</t>
  </si>
  <si>
    <t>Adolescents with intellectual disabilities have high rates of adiposity, low levels of strength and less functional capacity when compared to people without disabilities. The objective of the present study was to compare the differences in anthropometric measurements of cardiovascular risk, isometric strength and functional capacity among adolescents with moderate intellectual disability of both sexes. The sample was made up of 39 adolescents, 21 men and 18 women, belonging to special educational centers in the Metropolitan Region, Santiago of Chile. Anthropometric measurements were considered: weight, height, body mass index, waist circumference, waist-height ratio; isometric strength measurements: absolute and relative trunk extensor and hand grip strength; and functional tests: counter-movement jump, agility test 4x10 mts., timed up and go and, 5 times sit to stand test. For statistical analysis, the Student's T test was used for independent samples. Significant differences (p &lt;0.05) were obtained between men and women in anthropometric measurements: height and waist-height ratio; isometric strength measurements: hand grip and trunk extensor strength, absolute and relative; and functional tests related to countermovement jumping and timed up and go. There are differences in favor of men in different health markers related to anthropometric variables, isometric strength and functional capacity among Chilean school female and male adolescents with moderate intellectual disability; results that could affect the well-being, autonomy, and quality of life of people with intellectual disabilities in school and work contexts.</t>
  </si>
  <si>
    <t>Valdivia-Moral, Pedro/J-7490-2013</t>
  </si>
  <si>
    <t>Farias Valenzuela, Claudio/0000-0002-4027-4415</t>
  </si>
  <si>
    <t>WOS:000709411800006</t>
  </si>
  <si>
    <t>Santana, PA; Castillo, CA; Michea, SA; Venegas-Yazigi, D; Paredes-García, V</t>
  </si>
  <si>
    <t>Santana, Paula A.; Castillo, Carolina A.; Michea, Sebastian A.; Venegas-Yazigi, Diego; Paredes-Garcia, Veronica</t>
  </si>
  <si>
    <t>Co0 superparamagnetic nanoparticles stabilized by an organic layer coating with antimicrobial activity</t>
  </si>
  <si>
    <t>Cobalt (Co) is one of the most promising materials in nanotechnology due to its superior magnetic properties. However, due to the high cytotoxicity of cobalt, the activity in biological systems has been little studied. In this work, we report the structural, morphological, and magnetic properties of cobalt nanoparticles stabilized with an organic layer (Co-0@C-NPs) and its potential antimicrobial activity. The Co-0@C-NPs were obtained from solvothermal conditions and characterized by X-ray powder diffraction, electronic microscopy, and magnetic measurements. The organic layer was analysed by thermogravimetric analysis, Scanning Electron Microscopy, Energy Dispersive Spectrometer, and Fourier Transform Infrared Spectroscopy. From the TEM image, an organic coating layer is observed around Co(0)where this coating prevents NPs from oxidation allowing it to remain stable until 400 degrees C. Surface composition studies by SEM/EDS allowed the identification of carbon, oxygen, and cobalt elements present in the organic layer. This result was corroborated later by FITR analysis. Preliminary antibacterial properties were also investigated, which showed that the cobalt nanoparticles are active againstStaphylococcus aureusafter 1 h of exposure. The superparamagnetic properties and organic coating Co-0@C-NPs could be biocompatible with biological systems, but more research is needed to apply these nanoparticles in biomedical products.</t>
  </si>
  <si>
    <t>Paredes-Garcia, Veronica/C-4415-2011; Michea, Sebastian/E-9043-2017; Venegas-Yazigi, Diego/C-5022-2009</t>
  </si>
  <si>
    <t>Venegas-Yazigi, Diego/0000-0001-7816-2841; Michea, Sebastian/0000-0001-9312-5766; Santana Sepulveda, Paula/0000-0002-5742-4926</t>
  </si>
  <si>
    <t>SEP 20</t>
  </si>
  <si>
    <t>10.1039/d0ra07017c</t>
  </si>
  <si>
    <t>WOS:000572299600038</t>
  </si>
  <si>
    <t>Aguilera, E; Jaeschke-Ubiergo, R; Vidal-Silva, N; Torres, LEFF; Nunez, AS</t>
  </si>
  <si>
    <t>Aguilera, Esteban; Jaeschke-Ubiergo, R.; Vidal-Silva, N.; Torres, Luis E. F. Foa; Nunez, A. S.</t>
  </si>
  <si>
    <t>Topological magnonics in the two-dimensional van der Waals magnet CrI3</t>
  </si>
  <si>
    <t>We report on the magnon spectrum of Kitaev-Heisenberg magnets and extract the parameters to model a two-dimensional CrI3. Our minimal spin Hamiltonian includes a contribution stemming from a Heisenberg, isotropic exchange, and a contribution arising from a Kitaev interaction, anisotropic and frustrated exchange. Our calculations reveal a gap that opens at the K and K' points and the topological nature of the magnons which lead to the thermal Hall effect. Furthermore, we calculate the magnon spectrum of nanoribbons illustrating the corresponding edge states.</t>
  </si>
  <si>
    <t>Jaeschke-Ubiergo, Rodrigo/LRT-3373-2024; Núñez, Alvaro/F-4572-2011; Vidal Silva, Nicolas/IAN-0226-2023; Foa Torres, Luis E. F./B-1186-2008</t>
  </si>
  <si>
    <t>Aguilera Marinovic, Esteban Javier/0000-0001-9526-230X; Nunez, Alvaro S./0000-0002-6804-9703; Jaeschke-Ubiergo, Rodrigo/0000-0002-4821-8303; Vidal Silva, Nicolas/0000-0002-3717-3816; Foa Torres, Luis E. F./0000-0002-6319-9593</t>
  </si>
  <si>
    <t>10.1103/PhysRevB.102.024409</t>
  </si>
  <si>
    <t>WOS:000545539000011</t>
  </si>
  <si>
    <t>Bouferra, R; Marín, G; Amhil, S; Wasim, SM; Essaleh, L</t>
  </si>
  <si>
    <t>Bouferra, R.; Marin, G.; Amhil, S.; Wasim, S. M.; Essaleh, L.</t>
  </si>
  <si>
    <t>Low temperature electrical impedance spectroscopy characterization of n type CuInSe2 semiconductor compound</t>
  </si>
  <si>
    <t>In this report, the ternary chalcopyrite semiconductor n-CulnSe(2) (n-CIS112) was studied using impedance spectroscopy (IS) over a wide range of temperatures [80 K, 300 K] and frequencies [20 Hz, 1 MHz]. The ingot was grown by vertical Bridgman technique. The experimental data are analyzed to estimate the activation and relaxation energies. The activation energies agree with those reported from Hall effect measurements. The predominance of both bulk and grain-boundary contributions to the electrical conduction is confirmed by using impedance and modulus formalism. AC electrical conductivity data sigma(ac)(omega,T) for n-CulnSe(2) are discussed using the theoretical Overlapping Large Polaron Tunneling process.</t>
  </si>
  <si>
    <t>1873-2135</t>
  </si>
  <si>
    <t>10.1016/j.physb.2019.04.028</t>
  </si>
  <si>
    <t>WOS:000468173100003</t>
  </si>
  <si>
    <t>Borrescio-Higa, F; Bozzoli, CG; Droller, F</t>
  </si>
  <si>
    <t>Borrescio-Higa, Florencia; Guillermo Bozzoli, Carlos; Droller, Federico</t>
  </si>
  <si>
    <t>Early life environment and adult height: The case of Chile</t>
  </si>
  <si>
    <t>ECONOMICS &amp; HUMAN BIOLOGY</t>
  </si>
  <si>
    <t>In this paper, we analyze the relationship between adult height and early-life disease environment, proxied by the infant mortality rate (IMR) in the first year of life, using cohort-region level data for Chile for 1960-1989. IMRs show a remarkable reduction of 100 points per thousand over this thirty-year period, declining from 119.4 to 21.0 per thousand. We also document a 0.96 cm increase in height per decade.We find that the drop in IMRs observed among our cohorts explains almost all of the long-term trend in rising adult heights, and that per capita GDP does not appear to have any predictive power in this context. Results are robust in a variety of specifications, which include area and cohort dummies, an adjustment for internal migration, and urbanization rates. Our results point to the long-term effect of a public health policy. (C) 2018 Elsevier B.V. All rights reserved.</t>
  </si>
  <si>
    <t>Droller, Federico/S-7630-2019; Bozzoli, Carlos/AGM-6733-2022</t>
  </si>
  <si>
    <t>Borrescio-Higa, Florencia/0000-0001-7521-9750; Bozzoli, Carlos Guillermo/0000-0001-5079-5540</t>
  </si>
  <si>
    <t>1570-677X</t>
  </si>
  <si>
    <t>1873-6130</t>
  </si>
  <si>
    <t>10.1016/j.ehb.2018.11.003</t>
  </si>
  <si>
    <t>WOS:000468014000011</t>
  </si>
  <si>
    <t>Noronha, VT; Aquino, YMLO; Maia, MT; Freire, RM</t>
  </si>
  <si>
    <t>Nascimento, RF; Ferreira, OP; DePaula, AJ; Neto, VDS</t>
  </si>
  <si>
    <t>Noronha, Victor T.; Aquino, Yasmine M. L. O.; Maia, Marcella T.; Freire, Rafael M.</t>
  </si>
  <si>
    <t>Sensing of Water Contaminants: From Traditional to Modern Strategies Based on Nanotechnology</t>
  </si>
  <si>
    <t>NANOMATERIALS APPLICATIONS FOR ENVIRONMENTAL MATRICES: WATER, SOIL AND AIR</t>
  </si>
  <si>
    <t>Micro &amp; Nano Technologies</t>
  </si>
  <si>
    <t>Torres Maia, Marcella/AAV-5963-2020; Aquino, Yasmine/AAD-3449-2019; Noronha, Victor/R-4401-2018</t>
  </si>
  <si>
    <t>Noronha, Victor/0000-0002-9643-5812</t>
  </si>
  <si>
    <t>978-0-12-814830-3; 978-0-12-814829-7</t>
  </si>
  <si>
    <t>10.1016/B978-0-12-814829-7.00003-3</t>
  </si>
  <si>
    <t>10.1016/C2017-0-01930-4</t>
  </si>
  <si>
    <t>WOS:000555438800004</t>
  </si>
  <si>
    <t>Antilen, M; Bustos, O; Ramirez, G; Canales, C; Faundez, M; Escudey, M; Pizarro, C</t>
  </si>
  <si>
    <t>Antilen, Monica; Bustos, Odette; Ramirez, Galo; Canales, Camila; Faundez, Mario; Escudey, Mauricio; Pizarro, Carmen</t>
  </si>
  <si>
    <t>Electrochemical evaluation of ciprofloxacin adsorption on soil organic matter</t>
  </si>
  <si>
    <t>Over the last decade, at both a national and international level, the amount and fate of pharmaceutical residues in the environment have become of public interest. Among the several types of pharmaceutical wastes, a particular fluoroquinolone called ciprofloxacin (Cipro) is worth mentioning. On the other hand, soil organic matter (OM) has proven to be capable of generating interactions with antibiotics, which results in a decrease in their availability. Therefore, the main goal of the current work is to investigate the adsorption of Cipro on humic acids (HA), and to evaluate an electrochemical adsorption experimental design to handle the HA special particle size and solubility. S-type adsorption isotherms are observed for Cipro adsorption on HA extracted from two volcanic soils, wherein a cooperative adsorption phenomenon exists. The Langmuir Freundlich model was utilised to obtain the best fit. This model is especially effective at fitting HA-Andisol adsorption, R-2 &gt; 0.99. Adsorption on both HA presents n &gt; 1, strongly suggesting the existence of cooperative adsorption. This comes from the macromolecular nature of the multiple functional groups, which results in multiple interactions. The analytical results of the electrochemical methodology are statistically precise and accurate. The electrochemical technique requires shorter adsorbent adsorbate equilibration times than traditional methods and physical separation is not needed. A detailed particle size analysis shows that the adsorption is the most significant process in OM-ciprofloxacin interaction. In relation to analytical parameters of pharmaceutical samples (ciprofloxacin), a relative standard deviation of 1.85%, a percentage error of 1.53% and a 98.5% of recovery were obtained.</t>
  </si>
  <si>
    <t>Canales, Camila/0000-0002-4966-3601; Antilen-Lizana, Monica/0000-0003-0512-4267; Pizarro, Carmen/0000-0003-4927-5681; Faundez, Mario/0000-0002-5507-3579; Ramirez, Galo/0000-0002-6217-4730</t>
  </si>
  <si>
    <t>10.1039/c6nj00207b</t>
  </si>
  <si>
    <t>WOS:000381717500079</t>
  </si>
  <si>
    <t>Fonseca, JM; Carvalho-Santos, VL; Moura-Melo, WA; Pereira, AR</t>
  </si>
  <si>
    <t>Fonseca, Jakson M.; Carvalho-Santos, Vagson L.; Moura-Melo, Winder A.; Pereira, Afranio R.</t>
  </si>
  <si>
    <t>Berry phases and zero-modes in toroidal topological insulator</t>
  </si>
  <si>
    <t>An effective Hamiltonian describing the surface states of a toroidal topological insulator is obtained, and it is shown to support both bound-states and charged zero-modes. Actually, the spin connection induced by the toroidal curvature can be viewed as an position-dependent effective vector potential, which ultimately yields the zero-modes whose wave-functions harmonically oscillate around the toroidal surface. In addition, two distinct Berry phases are predicted to take place by the virtue of the toroidal topology.</t>
  </si>
  <si>
    <t>Moura-Melo, Winder/G-2709-2019; Pereira, Afranio/G-3871-2012; Fonseca, Jakson/N-7354-2013; Carvalho-Santos, Vagson/E-8806-2013</t>
  </si>
  <si>
    <t>Fonseca, Jakson/0000-0001-9441-026X; Carvalho-Santos, Vagson/0000-0002-2759-2152</t>
  </si>
  <si>
    <t>1434-6036</t>
  </si>
  <si>
    <t>10.1140/epjb/e2016-70076-8</t>
  </si>
  <si>
    <t>WOS:000378523800001</t>
  </si>
  <si>
    <t>Ramírez, M; Gallardo, A; Vidal, A; Cornejo, S; Ramírez, D; Medinas, D; Bustamante, G; Pasquali, R; Hetz, C</t>
  </si>
  <si>
    <t>Ramirez, Marcos; Gallardo, Andres; Vidal, Aaron; Cornejo, Sebastian; Ramirez, Dario; Medinas, Danilo; Bustamante, Gonzalo; Pasquali, Renzo; Hetz, Claudio</t>
  </si>
  <si>
    <t>Creutzfeldt-Jakob disease. Report of one case</t>
  </si>
  <si>
    <t>Creutzfeldt-Jakob disease has a higher incidence in Chile than in other countries. The post mortem pathological characterization of brain tissue is necessary to reach a definitive diagnosis. We report a 73 years old man with a history compatible with of a rapidly progressive dementia, in which the first electroencephalographic study showed a pattern consistent with non-convulsive status epilepticus. Besides discarding this diagnosis, it was necessary to rule out other causes of rapidly progressive dementia such as Hashimoto encephalopathy. Finally, the sustained clinical deterioration with no response to anticonvulsants and corticosteroids, the imaging studies, a serial electroencephalographic monitoring study and the detection of 14-3-3 protein in cerebrospinal fluid were the keys to achieve the diagnosis of the disease.</t>
  </si>
  <si>
    <t>Medinas, Danilo/ABA-1182-2021; Gallardo, Andrés/IYJ-2148-2023; Hetz, Claudio/ABD-7514-2021</t>
  </si>
  <si>
    <t>WOS:000380293800016</t>
  </si>
  <si>
    <t>Rondanelli, R; Molina, A; Falvey, M</t>
  </si>
  <si>
    <t>Rondanelli, Roberto; Molina, Alejandra; Falvey, Mark</t>
  </si>
  <si>
    <t>THE ATACAMA SURFACE SOLAR MAXIMUM</t>
  </si>
  <si>
    <t>BULLETIN OF THE AMERICAN METEOROLOGICAL SOCIETY</t>
  </si>
  <si>
    <t>Molina, Alejandra/HZL-8705-2023; Rondanelli, Roberto/A-4717-2012</t>
  </si>
  <si>
    <t>Rondanelli, Roberto/0000-0002-7440-7810; Molina Monje, Alejandra/0000-0002-0080-1495</t>
  </si>
  <si>
    <t>0003-0007</t>
  </si>
  <si>
    <t>1520-0477</t>
  </si>
  <si>
    <t>10.1175/BAMS-D-13-00175.1</t>
  </si>
  <si>
    <t>WOS:000353657200006</t>
  </si>
  <si>
    <t>Silva, AC; Escudey, M; Förster, JE; Pizarro, C; Ardisson, JD; Barral, UM; Pereira, MC; Fabris, JD</t>
  </si>
  <si>
    <t>Silva, Alexandre Christofaro; Escudey, Mauricio; Enrique Foerster, Juan; Pizarro, Carmen; Ardisson, Jose Domingos; Barral, Uidemar Morais; Pereira, Marcio Cesar; Fabris, Jose Domingos</t>
  </si>
  <si>
    <t>Iron-bearing minerals in ashes emanated from Osorno volcano, in Chile</t>
  </si>
  <si>
    <t>13th Latin American Conference on the Applications of the Mossbauer Effect (LACAME)</t>
  </si>
  <si>
    <t>NOV 11-16, 2012</t>
  </si>
  <si>
    <t>Medellin, COLOMBIA</t>
  </si>
  <si>
    <t>Univ Antioquia,Planetario Medellin Jesus Emilio Ramirez Gonzalez,Parque Explora,COLCIENCIAS,IOP Publishing,Univ Tolima,Univ EAFIT,Univ Tecnologica Pereira,Medellin Convent &amp; Visitors Bureau,Alcaldia Medellin,Ctr Latinoamericano Fis CLAF,WissEL GmbH,Embajada Francia Colombia,Soc Colombiana Fis,Univ Pontificia Bolivariana,Univ Autonoma Occidente Cali,SENA,Springer Sci, Business Media</t>
  </si>
  <si>
    <t>A sample of volcanic ashes emanated from the Osorno volcano, southern Chile, was characterized with X-ray fluorescence, X-ray diffraction and Fe-57 Mossbauer spectroscopy, in an attempt to identify the iron-bearing minerals of that geologically recent magmatic deposit. X-ray patterns indicated that the sample is mainly constituted of anorthite, Fe-diopside-type and Ca-magnetite. The crystallographic structures of these dominant iron minerals are proposed on basis of their chemical composition and corresponding Mossbauer data to support models refined by fitting powder X-ray diffraction data with the Rietveld algorithm.</t>
  </si>
  <si>
    <t>Silva, Alexandre/L-3521-2014; Fabris, José/H-4121-2012; Ardisson, José/O-6987-2018; Pereira, Marcio/H-7672-2012</t>
  </si>
  <si>
    <t>Pereira, Marcio/0000-0001-9143-782X; Pizarro, Carmen/0000-0003-4927-5681</t>
  </si>
  <si>
    <t>10.1007/s10751-013-0768-y</t>
  </si>
  <si>
    <t>WOS:000328068400019</t>
  </si>
  <si>
    <t>Vejar, ND; Azocar, MI; Tamayo, LA; Gonzalez, E; Pavez, J; Gulppi, M; Zagal, JH; Zhou, X; Santibañez, F; Thompson, GE; Paez, MA</t>
  </si>
  <si>
    <t>Vejar, N. D.; Azocar, M. I.; Tamayo, L. A.; Gonzalez, E.; Pavez, J.; Gulppi, M.; Zagal, J. H.; Zhou, X.; Santibanez, F.; Thompson, G. E.; Paez, M. A.</t>
  </si>
  <si>
    <t>Antibiofouling Properties of Sol-Gel Type Polymers for Aluminium Alloys: Biocorrosion Protection Against Pseudomonas Aeruginosa</t>
  </si>
  <si>
    <t>The antibiofouling ability of three hybrid sol-gel coatings against P. aeruginosa for the protection of AA2024-T3 aluminium alloy has been investigated. The polymers were synthesized by mixing tetraethoxysilane (TEOS) with three precursors: (a) triethoxypropylsilane (TEPRS), (b) triethoxypentylsilane (TEPES) and (c) triethoxyoctylsilane (TEOCS). The main difference between the three precursors is the length of the aliphatic chain of one of the substituents. The antibacterial properties of the polymers were examined using viability techniques. The morphology of the polymers was characterized using scanning electron microscopy (SEM). The resistance of the AA2024 alloy coated with the respective polymers to microbiologically influenced corrosion was evaluated by potentiodynamic polarization. The results showed that the polymers possess antibacterial ability against P. aeruginosa and that the length of the aliphatic chain of the precursors does not significantly affect this property. Further, the electrochemical measurements revealed that the coatings inhibited microbiologically influenced corrosion in the mixture of P. aeruginosa and 0.1 M NaCl, due to the antibacterial properties of the polymers. A correlation between the degree of protection and the length of the aliphatic chain was revealed. Thus, the longer the chain length, the greater the protective effect. The antibiofouling ability resides mainly on the hydrophobic characteristic of polymers and the pH change occurring at the polymer-electrolyte interface when the coated aluminium alloy was immersed in the electrolytes.</t>
  </si>
  <si>
    <t>Paez, Maritza/M-2010-2014; Vejar, Nelson/M-7784-2017; Santibanez, Francisco/JGD-1397-2023; zagal, jose/L-9648-2014; Tamayo, Laura/I-8942-2018; Azocar, Manuel/I-1226-2013; Pappas, Georgios/F-7194-2014; Gulppi, Miguel/KTA-6210-2024; Zhou, Xiaorong/M-3600-2014; PAVEZ, JORGE/K-6904-2014</t>
  </si>
  <si>
    <t>paez, maritza/0000-0001-5881-884X; Vejar, Nelson/0000-0002-9544-2199; Zhou, Xiaorong/0000-0001-9943-3997; Azocar Guzman, Manuel/0000-0003-1098-4659; Tamayo, Laura/0000-0003-1159-5305; PAVEZ, JORGE/0000-0002-5100-6707</t>
  </si>
  <si>
    <t>WOS:000326502600003</t>
  </si>
  <si>
    <t>Iglesias, M; Vázquez, I; de Acosta, MB; Figueiras, A; Nieto, L; Piñeiro, M; Gómez, R; Lorenzo, A; Muñoz, JED</t>
  </si>
  <si>
    <t>Iglesias, M.; Vazquez, I.; Barreiro de Acosta, M.; Figueiras, A.; Nieto, L.; Pineiro, M.; Gomez, R.; Lorenzo, A.; Dominguez Munoz, J. E.</t>
  </si>
  <si>
    <t>Health related quality of life in patients with Cohn's disease in remission</t>
  </si>
  <si>
    <t>REVISTA ESPANOLA DE ENFERMEDADES DIGESTIVAS</t>
  </si>
  <si>
    <t>Background: Crohn's disease (CD) affects Health Related Quality of Life (HRQoL) especially in patients with clinical activity but their impact over the disease during periods of remission has not been sufficiently studied. Objective: To evaluate HRQoL in CD patients in remission and to identify socio-demographic and clinical factors related. Methods: We included patients with CD in remission for at least 6 months, defined as a CDAI &lt; 150 and a CRP &lt; 5 mg/L. Socio-demographic and clinical parameters were recorded. HRQoL was evaluated with Short Form 36 Questionnaire (SF-36) and the Inflammatory Bowel Disease Questionnaire (IBDQ). Results were analyzed using multiple regressions with a confidence interval of 95%. Results: Nine two patients ((X) over bar = 37 +/- 11.4 years, 52.2% men) were consecutively included. Two patients failed to fill correctly the questionnaire and were excluded. Scores on the SF-36 were lower than in the general population of similar age and sex. The most affected dimension in the SF-36 was General Health (47.98 +/- 19.58) and the IBDQ Systemic Symptoms (5.15 +/- 1.27). Age, colonic location and previous surgery was related with worse HRQoL, while higher educational status, more time since diagnosis, steroid-resistance and inflammatory behavior, was associated with better HRQoL. Conclusions: Despite being in remission, CD patients had affected their HRQoL, so we must continue working to achieve improvement in HRQL of these patients during these periods of the disease.</t>
  </si>
  <si>
    <t>Piñeiro-Lamas, María/AAD-1740-2020; Figueiras Guzman, Adolfo/K-8563-2015; Dominguez-Munoz, J. Enrique/Q-8922-2017</t>
  </si>
  <si>
    <t>Figueiras Guzman, Adolfo/0000-0002-5766-8672; Dominguez-Munoz, J. Enrique/0000-0001-8283-3185; Barreiro de Acosta, Manuel/0000-0001-5915-1477; Pineiro-Lamas, Maria/0000-0003-3655-100X</t>
  </si>
  <si>
    <t>1130-0108</t>
  </si>
  <si>
    <t>2340-4167</t>
  </si>
  <si>
    <t>WOS:000286910300002</t>
  </si>
  <si>
    <t>Sridang, PC; Lobos, J; Pottier, A; Wisniewski, C; Grasmick, A</t>
  </si>
  <si>
    <t>Sridang, P. C.; Lobos, J.; Pottier, A.; Wisniewski, C.; Grasmick, A.</t>
  </si>
  <si>
    <t>Biomass adaptation to complex substrate degradation in membrane bioreactors: appropriated operating conditions</t>
  </si>
  <si>
    <t>WATER SCIENCE AND TECHNOLOGY</t>
  </si>
  <si>
    <t>The aim of this work is to analyse the biological performances of two immersed membranes bioreactors focusing on the biomass adaptation to complex substrate degradation and the performance in term of permeate quality. Two influents were selected: a synthetic complex influent (acetate/Viandox (R), MBR1) and a real seafood processing wastewater (surimi product, MBR2). The MBR systems were operated for long periods without any sludge extraction except for sampling. Organic matter removal, sludge production and quality of the treated wastewater were analysed and studied. COD removal efficiencies after a period of biomass adaptation were higher than 97% and 95% for the synthetic and real wastewater respectively. in both cases, the COD of the treated wastewater was lower than 50 mg.L-1. In spite of salt concentration in the real wastewater a biomass adaptation process occurs. In the overall operational period, a 0.058 gCOD(P).gCOD(T)(-1) and a 0.12 gCOD(P).gCOD(T)(-1) observed sludge yields were obtained for the MBR1 and MBR2 respectively. These values are. approximately 5 to 10 times lower than those measured in conventional activated sludge process. These results showed that the presence of particular and some of non-easily degradable compounds in the influent of MBR2 didn't limit the performance of MBR in term of COD removal achieved The. results have also confirmed the excellent permeate quality for water reuse from MBR systems.</t>
  </si>
  <si>
    <t>Wisniewski, Christelle/0000-0002-3068-5018</t>
  </si>
  <si>
    <t>0273-1223</t>
  </si>
  <si>
    <t>1996-9732</t>
  </si>
  <si>
    <t>10.2166/wst.2008.650</t>
  </si>
  <si>
    <t>WOS:000253061000006</t>
  </si>
  <si>
    <t>Pelissier, T; Laurido, C; Hernandez, A; Constandil, L; Eschalier, A</t>
  </si>
  <si>
    <t>Pelissier, Teresa; Laurido, Claudio; Hernandez, Alejandro; Constandil, Luis; Eschalier, Alain</t>
  </si>
  <si>
    <t>Biphasic effect of apomorphine on rat nociception and effect of dopamine D2 receptor antagonists</t>
  </si>
  <si>
    <t>EUROPEAN JOURNAL OF PHARMACOLOGY</t>
  </si>
  <si>
    <t>Studies on the effect of dopaminergic agonists in behavioral measures of nociception have gathered numerous but rather conflicting data. We studied the effects of the D-1/D-2 receptor agonist apomorphine, as well as the modulatory effects of (S)-(-)-sulpiride (selective D-2 receptor antagonist) and domperidone (peripheral D-2 receptor antagonist), on thermal, mechanical and chemical nociception on rats. Apomorphine induced a biphasic dose-response relationship, low doses producing hyperalgesia and high doses inducing antinociception. Tonic (chemical) pain was more sensitive to apomorphine than phasic (thermal and mechanical thresholds) pain. (S)-(-)-sulpiride, but not domperidone, fully antagonized the antinociceptive effect of apomorphine in all three measures of nociception, pointing to a participation of D2 dopaminergic receptors for the antinociceptive action of apomorphine. Although spinal sites for dopaminergic ligands mechanistically may account for the effects observed, involvement of dopaminergic receptors of the forebrain could probably explain better the antinociceptive effects of apomorphine, especially in chemical tonic pain. (c) 2006 Published by Elsevier B.V.</t>
  </si>
  <si>
    <t>ESCHALIER, Alain/L-9957-2015; Hernandez, Alejandro/M-4796-2019</t>
  </si>
  <si>
    <t>Hernandez, Alejandro/0000-0001-9222-6522; Constandil, Luis/0000-0002-2504-0119</t>
  </si>
  <si>
    <t>0014-2999</t>
  </si>
  <si>
    <t>1879-0712</t>
  </si>
  <si>
    <t>10.1016/j.ejphar.2006.06.081</t>
  </si>
  <si>
    <t>WOS:000240908300006</t>
  </si>
  <si>
    <t>Antilén, M; Araya, N; Briceno, M; Escudey, M</t>
  </si>
  <si>
    <t>Antilen, Monica; Araya, Nadia; Briceno, Margarita; Escudey, Mauricio</t>
  </si>
  <si>
    <t>Changes on chemical fractions of heavy metals in Chilean soils amended with sewage sludge affected by a thermal impact</t>
  </si>
  <si>
    <t>AUSTRALIAN JOURNAL OF SOIL RESEARCH</t>
  </si>
  <si>
    <t>Forest. res are frequent in central-southern Chile; high temperatures may affect chemical fractions of heavy metals (Cu, Zn, Ni, Pb, Cd, Mo, Cr, and Mn) naturally present in soils and those coming from sewage sludge amendment. Changes in exchangeable, sorbed, organic, carbonate, and residual heavy metals fractions, evaluated by sequential extraction, were observed after heating at 400 degrees C in 2 amended volcanic soils. Most significant heavy metals in these samples were Cu, Zn, Pb, and Ni. A significant increment in the total content of organic matter and metal ions, such as Zn and Cu, was observed in amended soils with respect to controls. In all samples, sorbed and exchangeable forms represent &lt; 10% of the total amount, while organic and carbonate fractions represent 24 and 48%, respectively. The thermal treatment of amended soil samples results in a redistribution of the organic fraction, mainly into more insoluble carbonate and residual fractions such as oxides. Finally, the thermal impact is much more important on sewage sludge amended soils if a heavy metal remediation process is considered, reducing the mobility and solubility of heavy metals supported by sewage sludge, minimising leaching and promoting accumulations in surface horizons.</t>
  </si>
  <si>
    <t>Antilen-Lizana, Monica/0000-0003-0512-4267</t>
  </si>
  <si>
    <t>0004-9573</t>
  </si>
  <si>
    <t>1446-568X</t>
  </si>
  <si>
    <t>10.1071/SR06063</t>
  </si>
  <si>
    <t>WOS:000240592900007</t>
  </si>
  <si>
    <t>Mack, G; Palma, G; Vergara, L</t>
  </si>
  <si>
    <t>Corrections to universal fluctuations in correlated systems:: The two-dimensional XY model -: art. no. 026119</t>
  </si>
  <si>
    <t>Generalized universality, as recently proposed, postulates a universal non-Gaussian form of the probability density function (PDF) of certain global observables for a wide class of highly correlated systems of finite volume N. Studying the two-dimensional XY model, we link its validity to renormalization group properties. It would be valid if there were a single dimension 0 operator, but the actual existence of several such operators leads to T-dependent corrections. The PDF is the Fourier transform of the partition function Z(q) of an auxiliary theory which differs by a dimension 0 perturbation with a very small imaginary coefficient iq/N from a theory which is asymptotically free in the infrared. We compute the PDF from a systematic loop expansion of ln Z(q).</t>
  </si>
  <si>
    <t>Vergara, Lautaro/V-2736-2019</t>
  </si>
  <si>
    <t>10.1103/PhysRevE.72.026119</t>
  </si>
  <si>
    <t>WOS:000231564100033</t>
  </si>
  <si>
    <t>Non-relativistic anyons, exotic galilean symmetry and noncommutative plane -: art. no. 033</t>
  </si>
  <si>
    <t>We show that the Lukierski et al. model, invariant with respect to the two-fold centrally extended Galilei group, can be decomposed into an infinite number of independent copies (differing in their spin) of the exotic particle of Duval et al. The difference between the two models is found to be sensitive to electromagnetic coupling. The nature of the noncommutative plane coordinates is discussed in the light of the exotic galilean symmetry. We prove that the first model, interpreted as describing a non-relativistic anyon, is the non-relativistic limit of a particle with torsion related to relativistic anyons.</t>
  </si>
  <si>
    <t>WOS:000177447500033</t>
  </si>
  <si>
    <t>Monice, FL; Andrade, CGT; Abrahamsohn, PA; Soto-Suazo, M; Oliveira, SF; Zorn, TMT</t>
  </si>
  <si>
    <t>Granulated decidual cells in the mouse deciduoma: A putative source of decidual prolactin in mice</t>
  </si>
  <si>
    <t>CELLS TISSUES ORGANS</t>
  </si>
  <si>
    <t>Decidual cells are endometrial fibroblasts that redifferentiate during pregnancy in several species of mammals. In this work, we describe a subpopulation of resident decidual cells in the mouse endometrium that are joined by intercellular junctions and have cytoplasmic granules. Decidualization was induced in pseudopregnant mice on the 4th day of pseudopregnancy by injection of 30 mul of arachis oil into the uterine lumen. The uteri were collected on day 8 of pseudopregnancy (at 4 p.m., 8 p.m. and 11 p.m.) and on day 9 (at 8 a.m.). The tissues were fixed for light and electron microscopy. During day 8 of pseudopregnancy, granulated cells were present at the antimesometrial pole of the endometrium; they were concentrated at the periphery of the antimesometrial decidua and disappeared on day 9 of pseudopregnancy. The cytoplasm of the granulated decidual cells had acidophilic granules that stained also with periodic acid-Schiff (PAS). These granules stained with anti-rat prolactin antibody in both light and electron microscope immunocytochemical preparations. Vacuoles of various sizes were always present in the granulated cells. A PAS-positive and prolactin-stained material was often deposited at the periphery of the vacuoles. Our results indicate that the granulated decidual cells are the source of decidual prolactin which accumulates in cytoplasmic granules. These granulated cells therefore form a transient gland in the mouse antimesometrial endometrium (granulated decidual gland). Copyright (C) 2001 S. Karger AG,Basel.</t>
  </si>
  <si>
    <t>Zorn, Telma/C-4065-2008</t>
  </si>
  <si>
    <t>1422-6405</t>
  </si>
  <si>
    <t>1422-6421</t>
  </si>
  <si>
    <t>10.1159/000047842</t>
  </si>
  <si>
    <t>WOS:000167706800003</t>
  </si>
  <si>
    <t>Gamboa, J; Plyushchay, M</t>
  </si>
  <si>
    <t>Classical anomalies for spinning particles</t>
  </si>
  <si>
    <t>We discuss the phenomenon of classical anomaly. It is observed for 3D Berezin-Marinov (BM), Barducci-Casalbuoni-Lusanna (BCL) and Cortes-Plyushchay-Velazquez (CPV) pseudoclassical spin particle models. We show that quantum mechanically these different models correspond to the same P,T-invariant system of planar fermions, but the quantum system has global symmetries being not reproducible classically in full in any of the models. We demonstrate that the specific U(1) gauge symmetry characterized by the opposite coupling constants of spin s = +1/2 and s = -1/2 states has a natural classical analog in the CPV model but can be reproduced in the BM and BCL models in an obscure and rather artificial form. We also show that the BM and BCL models quantum mechanically are equivalent in any odd-dimensional space-time, but describe different quantum systems in even space-time dimensions. (C) 1998 Elsevier Science B.V.</t>
  </si>
  <si>
    <t>Gamboa, Jorge/R-8744-2019; Gamboa, Jorge/E-5879-2010</t>
  </si>
  <si>
    <t>Gamboa, Jorge/0000-0002-4204-7670</t>
  </si>
  <si>
    <t>FEB 16</t>
  </si>
  <si>
    <t>10.1016/S0550-3213(97)00792-X</t>
  </si>
  <si>
    <t>WOS:000072301600020</t>
  </si>
  <si>
    <t>SalinasTorres, VH; Pereira, CAD; Tiwari, RC</t>
  </si>
  <si>
    <t>Convergence of dirichlet measures arising in context of Bayesian analysis of competing risks models</t>
  </si>
  <si>
    <t>JOURNAL OF MULTIVARIATE ANALYSIS</t>
  </si>
  <si>
    <t>In this paper, we study the weak convergence of Dirichlet measures on the class constituted by vectors of subprobability measures such that the sum of its components is a probability measure on a complete separable metric space. This vectorial class of subprobabilities appears in the context of the competing risks theory and the Dirichlet measures are considered as a prior family in a Bayesian approach. The weak convergence results are derived and used to study the convergence of the Bayes estimators of certain parameters in competing risks models. (C) 1997 Academic Press.</t>
  </si>
  <si>
    <t>Pereira, Carlos Alberto de Braganca/O-5022-2015</t>
  </si>
  <si>
    <t>Pereira, Carlos Alberto de Braganca/0000-0001-6315-7484</t>
  </si>
  <si>
    <t>0047-259X</t>
  </si>
  <si>
    <t>10.1006/jmva.1997.1679</t>
  </si>
  <si>
    <t>WOS:A1997XQ54100002</t>
  </si>
  <si>
    <t>CID, R; LLAMBIAS, FJG; FIERRO, JLG; AGUDO, AL; VILLASENOR, J</t>
  </si>
  <si>
    <t>PHYSICOCHEMICAL CHARACTERIZATION OF MOO3-NAY ZEOLITE CATALYSTS</t>
  </si>
  <si>
    <t>JOURNAL OF CATALYSIS</t>
  </si>
  <si>
    <t>Villasenor, Jose/R-9719-2019; Garcia Fierro, Jose Luis/C-4774-2014</t>
  </si>
  <si>
    <t>Garcia Fierro, Jose Luis/0000-0002-6880-3737</t>
  </si>
  <si>
    <t>0021-9517</t>
  </si>
  <si>
    <t>10.1016/0021-9517(84)90324-5</t>
  </si>
  <si>
    <t>WOS:A1984TL90000029</t>
  </si>
  <si>
    <t>WEISS, I; FREYER, AJ; SHAMMA, M; URZUA, A</t>
  </si>
  <si>
    <t>THE STEREOCHEMISTRY AT C-13 FOR THE PROAPORPHINE-BENZYLISOQUINOLINE ALKALOIDS</t>
  </si>
  <si>
    <t>HETEROCYCLES</t>
  </si>
  <si>
    <t>0385-5414</t>
  </si>
  <si>
    <t>10.3987/R-1984-10-2231</t>
  </si>
  <si>
    <t>WOS:A1984TK75100012</t>
  </si>
  <si>
    <t>Sandoval, MA; Calzadilla, W; Vidal, J; Brillas, E; Salazar-González, R</t>
  </si>
  <si>
    <t>Sandoval, Miguel A.; Calzadilla, Wendy; Vidal, Jorge; Brillas, Enric; Salazar-Gonzalez, Ricardo</t>
  </si>
  <si>
    <t>Contaminants of emerging concern: Occurrence, analytical techniques, and removal with electrochemical advanced oxidation processes with special emphasis in Latin America</t>
  </si>
  <si>
    <t>ENVIRONMENTAL POLLUTION</t>
  </si>
  <si>
    <t>The occurrence of contaminants of emerging concern (CECs) in environmental systems is gradually more studied worldwide. However, in Latin America, the presence of contaminants of emerging concern, together with their environmental and toxicological impacts, has recently been gaining wide interest in the scientific community. This paper presents a critical review about the source, fate, and occurrence of distinct emerging contaminants reported during the last two decades in various countries of Latin America. In recent years, Brazil, Chile, and Colombia are the main countries that have conducted research on the presence of these pollutants in biological and aquatic compartments. Data gathered indicated that pharmaceuticals, pesticides, and personal care products are the most assessed CECs in Latin America, being the most common compounds the followings: atrazine, acenaphthene, caffeine, carbamazepine, ciprofloxacin, diclofenac, diuron, estrone, losartan, sulfamethoxazole, and trimethoprim. Most common analytical methodologies for identifying these compounds were HPLC and GC coupled with mass spectrometry with the potential to characterize and quantify complex substances in the environment at low concentrations. Most CECs' monitoring and detection were observed near to urban areas which confirm the out -of -date wastewater treatment plants and sanitization infrastructures limiting the removal of these pollutants. Therefore, the implementation of tertiary treatment should be required. In this tenor, this review also summarizes some studies of CECs removal using electrochemical advanced oxidation processes that showed satisfactory performance. Finally, challenges, recommendations, and future perspectives are discussed.</t>
  </si>
  <si>
    <t>Calzadilla, Wendy/KHY-6999-2024; Salazar, Ricardo/L-7870-2013; Sandoval, Miguel A/JCF-1838-2023</t>
  </si>
  <si>
    <t>Vidal, Jorge/0000-0002-1334-377X; Salazar-Gonzalez, Ricardo/0000-0003-2180-6022</t>
  </si>
  <si>
    <t>0269-7491</t>
  </si>
  <si>
    <t>1873-6424</t>
  </si>
  <si>
    <t>10.1016/j.envpol.2024.123397</t>
  </si>
  <si>
    <t>WOS:001177784700001</t>
  </si>
  <si>
    <t>Rubin, IN; Ispolatov, Y; Doebeli, M</t>
  </si>
  <si>
    <t>Rubin, Ilan N.; Ispolatov, Yaroslav; Doebeli, Michael</t>
  </si>
  <si>
    <t>Maximal ecological diversity exceeds evolutionary diversity in model ecosystems</t>
  </si>
  <si>
    <t>ECOLOGY LETTERS</t>
  </si>
  <si>
    <t>Understanding community saturation is fundamental to ecological theory. While investigations of the diversity of evolutionary stable states (ESSs) are widespread, the diversity of communities that have yet to reach an evolutionary endpoint is poorly understood. We use Lotka-Volterra dynamics and trait-based competition to compare the diversity of randomly assembled communities to the diversity of the ESS. We show that, with a large enough founding diversity (whether assembled at once or through sequential invasions), the number of long-time surviving species exceeds that of the ESS. However, the excessive founding diversity required to assemble a saturated community increases rapidly with the dimension of phenotype space. Additionally, traits present in communities resulting from random assembly are more clustered in phenotype space compared to random, although still markedly less ordered than the ESS. By combining theories of random assembly and ESSs we bring a new viewpoint to both the saturation and random assembly literature.</t>
  </si>
  <si>
    <t>1461-023X</t>
  </si>
  <si>
    <t>1461-0248</t>
  </si>
  <si>
    <t>10.1111/ele.14156</t>
  </si>
  <si>
    <t>WOS:000929931100001</t>
  </si>
  <si>
    <t>Maine, A; Encinas, MV; Pavez, J; Urzúa, M; Günther, G; Reyes, I; Briones, X</t>
  </si>
  <si>
    <t>Maine, A.; Encinas, M., V; Pavez, J.; Urzua, M.; Gunther, G.; Reyes, I; Briones, X.</t>
  </si>
  <si>
    <t>On the Preparation of Thin Films of Stearyl Methacrylate Directly Photo-polymerized at the Air-Water Interface</t>
  </si>
  <si>
    <t>LANGMUIR</t>
  </si>
  <si>
    <t>Characterization of bidimensional polymeric films at the air-water interface in the Langmuir trough, despite being a recurrent topic, usually refers to films of already formed polymeric materials, with very scarce reports on direct polymerization at the air-water interface. In the present work, we studied the photo-polymerization of stearyl methacrylate directly at the air-water interface under a nitrogen atmosphere, with the radical initiator solubilized in the aqueous phase. Two-dimensional (2D) polymerization was monitored by measuring the pressure-area isotherm at different irradiation times. The polymerization leads to a film with an isotherm different from that observed for the monomer, where the surface pressure is directly related to the irradiation time. The shape of this isotherm confirms the presence of a compressed liquid phase, where a higher order can be attained as a consequence of stronger packing forces involving polymer chains. The presence of inter-chain interactions allows rearrangements on the surface of the subphase, and even before the collapse a dense 2D ordering (with a solid phase-like behavior) can be observed. We present a new one-step, solvent-free procedure to obtain a photo-polymeric film directly at the air-water interface, which can be transferred to a solid surface by the Langmuir-Blodgett method, allowing film preparation of controlled thickness. Films were characterized by measuring properties such as thickness, roughness, and hydrophobicity and comparing them with films obtained from a conventional polymer. We report the differences between the interfacial behavior of amphiphilic molecules and nanomaterials such as films obtained by photo-polymerization, PSMA, directly on the air-water interface.</t>
  </si>
  <si>
    <t>Gunther, German/I-1028-2013; BRIONES, XIMENA/G-3554-2016; Urzúa, Marcela/E-1429-2014; PAVEZ, JORGE/K-6904-2014</t>
  </si>
  <si>
    <t>PAVEZ, JORGE/0000-0002-5100-6707; Urzua Acevedo, Marcela Del Pilar/0000-0002-2371-620X; BRIONES, XIMENA/0000-0003-2343-260X</t>
  </si>
  <si>
    <t>0743-7463</t>
  </si>
  <si>
    <t>2022 SEP 16</t>
  </si>
  <si>
    <t>10.1021/acs.langmuir.2c01513</t>
  </si>
  <si>
    <t>WOS:000855682400001</t>
  </si>
  <si>
    <t>Garcia-Munoz, F; Diaz-Gonzalez, F; Corchero, C</t>
  </si>
  <si>
    <t>Garcia-Munoz, Fernando; Diaz-Gonzalez, Francisco; Corchero, Cristina</t>
  </si>
  <si>
    <t>A two-stage stochastic programming model for the sizing and location of DERs considering electric vehicles and demand response</t>
  </si>
  <si>
    <t>SUSTAINABLE ENERGY GRIDS &amp; NETWORKS</t>
  </si>
  <si>
    <t>This article addresses the optimal distributed energy resources (DER) allocation and sizing into an LV distribution network (DN) considering demand response (DR) and high penetration of plug-in electric vehicles (PEV) in a two-stage stochastic programming framework. The model includes (i) economic variables related to the capital cost of the DERs capacity installed with their respective operational costs and (ii) operational technical constraints based on the AC power flow equations. The formulation estimates the distributed generation (DG) capacity in terms of apparent power, i.e., the capacity found by the model relates the active and reactive power injected from DG to the DN simultaneously. A linearization and a modified version of the genetic algorithm (GA) solve the mix-integer non-linear problem (MINLP), and the backward algorithm is applied to reduce the number of scenarios. The model is tested in the IEEE 69-bus system under 18 different scenarios of 24 h to measure the DERs capacity installed variability. Finally, the results showed that (i) the set of scenarios selected are decisive for the optimal capacity installed affecting the investment and the Grid dependence, (ii) the PEVs affect the total DERs capacity installed and the operation costs, and (iii) the reactive power provided by the DERs might supply the total reactive power demand. (c) 2022 Elsevier Ltd. All rights reserved.</t>
  </si>
  <si>
    <t>Corchero, Cristina/G-5229-2013; García-Muñoz, Fernando/AAX-9963-2020</t>
  </si>
  <si>
    <t>Garcia-Munoz, Fernando/0000-0001-9376-4357</t>
  </si>
  <si>
    <t>2352-4677</t>
  </si>
  <si>
    <t>10.1016/j.segan.2022.100624</t>
  </si>
  <si>
    <t>WOS:000789540300015</t>
  </si>
  <si>
    <t>Echeverría, A; Astorga, C; Fernández, C; Salgado, M; Dintrans, PV</t>
  </si>
  <si>
    <t>Echeverria, Antonia; Astorga, Constanza; Fernandez, Carolina; Salgado, Marisol; Villalobos Dintrans, Pablo</t>
  </si>
  <si>
    <t>Functionality and seniors: where are we and where should we be going</t>
  </si>
  <si>
    <t>The process of population aging will lead to an increase in health problems in older people, mainly related to their functionality. Accordingly, the countries of the Region of the Americas must begin to act to meet this challenge. One of the fundamental tasks involves the ability to measure and monitor functionality in the population. The tools used to evaluate functionality focus mainly on the basic activities of daily living, which limits their preventive capacity, since instrumental activities provide a better prognosis. Using the case of Chile, challenges for the Region were identified, mainly related to the advantages of adopting new methodologies that not only evaluate functional capacity, as current strategies do, but also detect its deterioration early and monitor its stages throughout the dependence stage in older people. This will also make it possible to evaluate initiatives for the prevention and management of loss of functionality.</t>
  </si>
  <si>
    <t>Echeverria, Antonia/KQV-9765-2024; Dintrans, Pablo/AAM-6248-2020</t>
  </si>
  <si>
    <t>1680-5348</t>
  </si>
  <si>
    <t>10.26633/RPSP.2022.34</t>
  </si>
  <si>
    <t>WOS:000791041700001</t>
  </si>
  <si>
    <t>Simon, S; Dussi, MC</t>
  </si>
  <si>
    <t>Peredo Parada, S.; Barrera Salas, C.; Burbi, S.</t>
  </si>
  <si>
    <t>Is there a relationship between cultural factors and the establishment of fruit and vegetable agroecological systems with different designs and their impact on soil fauna? Experiences from four Chilean regions</t>
  </si>
  <si>
    <t>XXXI INTERNATIONAL HORTICULTURAL CONGRESS, IHC2022: INTERNATIONAL SYMPOSIUM ON AGROECOLOGY AND SYSTEM APPROACH FOR SUSTAINABLE AND RESILIENT HORTICULTURAL PRODUCTION</t>
  </si>
  <si>
    <t>Acta Horticulturae</t>
  </si>
  <si>
    <t>31st International Horticultural Congress (IHC) - Horticulture for a World in Transition / International Symposium on Agroecology and System Approach for Sustainable and Resilient Horticultural Production</t>
  </si>
  <si>
    <t>AUG 14-20, 2022</t>
  </si>
  <si>
    <t>Angers, FRANCE</t>
  </si>
  <si>
    <t>Int Soc Hort Sci, Commiss Agroecol &amp; Organ Farming Syst,Int Soc Hort Sci, Div Hort Dev,Int Soc Hort Sci, Div Temperate Tree Fruits,Int Soc Hort Sci, Div Temperate Tree Nuts,Int Soc Hort Sci, Div Trop &amp; Subtrop Fruit &amp; Nuts,Int Soc Hort Sci, Div Vegetables, Roots &amp; Tubers,Invivo Retail,Bayer,Terrena,Hortival Diffus,IFO,Pink Lady,Vilmorin Mikado,Voltz Hort,Agreenium,AgroFair,Agropolis Fondat,BlueWhale,CABI,Compagnie Fruitiere,CPVO OCVV,DLF,Fondat Univ DAngers,MDPI, Hort Journal,LAGRE,Objectif Vegetal,Premier Tech,Rijk Zwaan,Sakata,Sival,SNHF,Star Fruits,Technisem,Vitropic</t>
  </si>
  <si>
    <t>Agroecosystems present complex interactions between cultural and biophysical components. Therefore, any change in edaphic communities can be the result of what farmers and peasants implement on their farms. Then, planned above-ground biodiversity can be closely linked to below-ground biodiversity. Four farm designs were evaluated: conventional monoculture (CM), ecological monoculture (EM), associated cultivation (AC), and agroecological polyculture (AP), through a mixed methodological design (qualitative and quantitative) supported by participatory approaches. Soil sampling for lab analysis was combined with interviews and workshops carried out with farmers and peasants for the field evaluation of crops and farm practices. The main mesofaunistic groups were identified in terms of abundance, richness, diversity, and similarity. Cultural and social influences identified were: a) farmers' perception of their environment based on their identity and belonging to the territory, yet influenced by advisors; b) farmers' personal motivations to initiate an agroecological transition, influenced by socio-economic contexts, guided by strong motivation to develop productive processes according to nature's cycles; c) access to relevant agroecological technologies and valuing of farmers' cultural practices; and d) farmers' abilities to complement the commercial value of crops with their ecosystem function to favour the establishment of biodiverse agroecological systems. Associated with the edaphic mesofaunal communities of these agroecosystems, results show a trend with higher values in more biodiverse systems, both for the total abundance of organisms, the richness of taxa, and diversity. Regarding the similarity ( qualitative-Sj and quantitativeSw), there is lower similarity between monoculture and polyculture agroecosystems; and higher similarity between monoculture agroecosystems, conventional or ecological. It is possible to establish a relationship between mesofaunistic soil biodiversity and the biodiversity planned by farmers, which is mediated by cultural aspects that affect the biophysical conditions of an agroecosystem.</t>
  </si>
  <si>
    <t>Barrera Salas, Claudia Paz/0000-0001-7895-3045</t>
  </si>
  <si>
    <t>0567-7572</t>
  </si>
  <si>
    <t>2406-6168</t>
  </si>
  <si>
    <t>978-94-62613-54-6</t>
  </si>
  <si>
    <t>10.17660/ActaHortic.2022.1355.15</t>
  </si>
  <si>
    <t>WOS:001077679200015</t>
  </si>
  <si>
    <t>Carvajal, A</t>
  </si>
  <si>
    <t>Carvajal, Angela</t>
  </si>
  <si>
    <t>[RE] Program obsolescence, dissection and fragments of other architectures</t>
  </si>
  <si>
    <t>RITA-REVISTA INDEXADA DE TEXTOS ACADEMICOS</t>
  </si>
  <si>
    <t>Architecture is implicitly within the productive field of economic systems, obsolescence within this context acquires devaluation as a definition. Obsolescence in the discipline has been a not very recurrent theme since the focus persists more in the act of creation. This text seeks to discuss how the final stages associated with the detriment of a work can be the beginnings of others, haw some references front art and architecture give us glimpses about the project of re-programming obsolescence as a design attribute.</t>
  </si>
  <si>
    <t>2340-9711</t>
  </si>
  <si>
    <t>2386-7027</t>
  </si>
  <si>
    <t>10.24192/2386-7027(2021)(v16)(02)</t>
  </si>
  <si>
    <t>WOS:000729813700003</t>
  </si>
  <si>
    <t>Jara-Rosales, S; Fuentealba-Rivas, N; Jofré-Muñoz, M; Espinosa-Santos, V; Godoy-Guzmán, C</t>
  </si>
  <si>
    <t>Jara-Rosales, Sergio; Fuentealba-Rivas, Nora; Jofre-Munoz, Maria; Espinosa-Santos, Virginia; Godoy-Guzman, Carlos</t>
  </si>
  <si>
    <t>A new interpretation of the human embryo drawings in Icones Embryonum Humanorum by Samuel Thomas Soemmerring</t>
  </si>
  <si>
    <t>ANATOMICAL SCIENCE INTERNATIONAL</t>
  </si>
  <si>
    <t>In 1799, Samuel Thomas Soemmerring published the book Icones Embryonum Humanorum, which was one of the first attempts in history to sort out prenatal human development chronologically. Despite its importance for the anatomical sciences, there is little information about Icones. In this context, our objective was to identify and estimate the developmental age of the seven human embryos present in Icones Embryonum Humanorum by external morphological analysis and morphometry of the drawings using Image-J(R) software. First, the book was translated from Latin. Then, the developmental age was estimated by external morphological analysis and morphometry (greatest length) of the drawings using Image-J(R) software. The book is composed of 20 drawings of human embryos and fetuses from two life-size tables. According to the external features and morphometric analysis, there are seven embryos (drawings I-VII). The embryonic age (pf: post-fertilization age) of drawing I corresponds to day 29-31 pf; drawing II, to day 33-35 pf; drawing III, to day 37-40 pf; drawing IV, to day 42-45 pf; drawing V, to day 45-47 pf; drawing VI, today 47-50 pf; and drawing VII, to day 52-55 pf. There are differences between the development age estimated by Soemmerring and our analysis. These differences are probably due to the methodological and technical limitations of the eighteenth century.</t>
  </si>
  <si>
    <t>Godoy-Guzman, Carlos Ignacio/IUO-1065-2023</t>
  </si>
  <si>
    <t>Godoy-Guzman, Carlos/0000-0001-8451-7047; Jara-Rosales, Sergio/0000-0001-6455-9864</t>
  </si>
  <si>
    <t>1447-6959</t>
  </si>
  <si>
    <t>1447-073X</t>
  </si>
  <si>
    <t>10.1007/s12565-021-00613-y</t>
  </si>
  <si>
    <t>WOS:000626794400001</t>
  </si>
  <si>
    <t>Carvalho-Santos, VL; Corona, RM; Altbir, D; Castillo-Sepúlveda, S</t>
  </si>
  <si>
    <t>Carvalho-Santos, Vagson L.; Corona, R. M.; Altbir, D.; Castillo-Sepulveda, S.</t>
  </si>
  <si>
    <t>Shifts in the skyrmion stabilization due to curvature effects in dome- and antidome-shaped surfaces</t>
  </si>
  <si>
    <t>The study of curvature-induced effects on the properties of nanostructures has become a cornerstone of magnetism. However, several methodologies usually used for studying nanoscale magnetic systems present difficulties for adequately describing curvature. In this work, we present a method that allows studying, under specific conditions, curved dome/antidome surfaces using an equivalent system without curvature. From the described methodology we obtain the phase diagram between easy-normal and skyrmionic magnetization configurations, as a function of spin-orbit coupling, Dzyaloshinskii-Moriya interaction (DMI), and curvature. The effective DMI of the dome structure increases with the curvature. Nevertheless, the effective anisotropy presents the opposite behavior, decreasing with curvature. These results allow us to conclude that an increase in the skyrmion stability is observed in nanostructures having positive curvature. The presented results propose a route that could facilitate the study of curved nanofilms with intrinsic DMI from comparing them with their planar counterparts.</t>
  </si>
  <si>
    <t>Carvalho-Santos, Vagson/E-8806-2013; Altbir, Dora/R-6781-2018</t>
  </si>
  <si>
    <t>Carvalho-Santos, Vagson/0000-0002-2759-2152; Corona, Rosa/0000-0001-6054-5019; Castillo, Sebastian/0000-0001-7730-8773; Altbir, Dora/0000-0002-2945-4909</t>
  </si>
  <si>
    <t>JUL 29</t>
  </si>
  <si>
    <t>10.1103/PhysRevB.102.024444</t>
  </si>
  <si>
    <t>WOS:000553247300004</t>
  </si>
  <si>
    <t>Guevara-Araya, MJ; Vilo, C; Urzúa, A; González-Teuber, M</t>
  </si>
  <si>
    <t>Guevara-Araya, M. J.; Vilo, C.; Urzua, A.; Gonzalez-Teuber, M.</t>
  </si>
  <si>
    <t>Differences in community composition of endophytic fungi between above- and below-ground tissues of Aristolochia chilensis in an arid ecosystem</t>
  </si>
  <si>
    <t>REVISTA CHILENA DE HISTORIA NATURAL</t>
  </si>
  <si>
    <t>Background Endophytic fungi are diverse and ubiquitous in nature, yet studies simultaneously comparing endophyte communities in above- and below-ground plant tissues are relatively scarce. The main goal of our study was to compare the diversity and community composition of endophytic fungi associated with above- and below-ground tissues of the plant Aristolochia chilensis in an arid ecosystem. Endophytic fungi were isolated from healthy leaves and roots of A. chilensis, and the internal transcribed spacer (ITS) region was sequenced for phylogenetic and taxonomic analysis. Results A combined total of 457 fungal isolates were cultured from leaf and root tissues, belonging to 54 operational taxonomic units (OTUs). The genera Fusarium, Penicillium, Phialemonium and Trichoderma were the most representative endophyte taxa identified in A. chilensis tissues; nevertheless, Fusarium was significantly more dominant in the below-ground community, while foliar endophyte community was dominated by Penicillium. Whereas OTU richness and diversity were not different between below-ground and above-ground tissues, endophyte abundance was on average twice as high in below-ground tissue than in above-ground tissue. Fungal endophyte communities in the two tissue types were significantly dissimilar. Conclusions Results from this study indicate that A. chilensis harbors a similar diversity of endophytic fungi in above- and below-ground tissues. Dominant endophytic fungi were found to be dependent on tissue type, which potentially resulted in marked differences in community structure between above- and below-ground tissues. Ecological processes potentially affecting this pattern are discussed.</t>
  </si>
  <si>
    <t>González-Teuber, Marcia/ABH-2318-2021</t>
  </si>
  <si>
    <t>Gonzalez-Teuber, Marcia/0000-0003-0565-9333</t>
  </si>
  <si>
    <t>0716-078X</t>
  </si>
  <si>
    <t>0717-6317</t>
  </si>
  <si>
    <t>MAY 19</t>
  </si>
  <si>
    <t>10.1186/s40693-020-00091-y</t>
  </si>
  <si>
    <t>WOS:000534243100001</t>
  </si>
  <si>
    <t>Malone, MFT; Dammert, L</t>
  </si>
  <si>
    <t>Malone, Mary Fran T.; Dammert, Lucia</t>
  </si>
  <si>
    <t>The police and the public: policing practices and public trust in Latin America</t>
  </si>
  <si>
    <t>POLICING &amp; SOCIETY</t>
  </si>
  <si>
    <t>Over the past two decades, most Latin American countries have struggled to create or reform their police forces while simultaneously confronting sharp increases in violent crime. Reformers have gravitated towards community-oriented policing practices, which aim to rely on preventive tactics and build closer ties between police officers and the public. The implementation of such policing practices can be daunting, particularly for countries with authoritarian histories of policing and/or military repression. When confronting rising crime rates, some new democracies are tempted to revert to authoritarian policing practices and circumvent constitutional safeguards on human rights and civil liberties. Still, some countries have resisted such temptations, and seriously invested in community-oriented policing practices. However, do these community-oriented policing practices lead citizens to trust the police more? Or does public trust depend more heavily on results - particularly in countries undergoing crises in public security? To answer these questions, we analyze public trust in the police in 17 Latin American countries through a series of regression analyses of the Latin American Public Opinion Project's (LAPOP) 2016-2017 survey data. We find that community-oriented policing practices tend to garner more public trust, but that perceptions of police effectiveness are equally important.</t>
  </si>
  <si>
    <t>Dammert, Lucia/U-2327-2019</t>
  </si>
  <si>
    <t>Dammert, Lucia/0000-0003-1239-4425</t>
  </si>
  <si>
    <t>1043-9463</t>
  </si>
  <si>
    <t>1477-2728</t>
  </si>
  <si>
    <t>10.1080/10439463.2020.1744600</t>
  </si>
  <si>
    <t>WOS:000527423800001</t>
  </si>
  <si>
    <t>Viera, M; Riquelme, J; Aliaga, C; Marco, JF; Orellana, W; Zagal, JH; Tasca, F</t>
  </si>
  <si>
    <t>Viera, Marco; Riquelme, Jorge; Aliaga, Carolina; Marco, Jose F.; Orellana, Walter; Zagal, Jose H.; Tasca, Federico</t>
  </si>
  <si>
    <t>Oxygen Reduction Reaction at Penta-Coordinated Co Phthalocyanines</t>
  </si>
  <si>
    <t>FRONTIERS IN CHEMISTRY</t>
  </si>
  <si>
    <t>From the early 60s, Co complexes, especially Co phthalocyanines (CoPc) have been extensively studied as electrocatalysts for the oxygen reduction reaction (ORR). Generally, they promote the 2-electron reduction of O-2 to give peroxide whereas the 4-electron reduction is preferred for fuel cell applications. Still, Co complexes are of interest because depending on the chemical environment of the Co metal centers either promote the 2-electron transfer process or the 4-electron transfer. In this study, we synthetized 3 different Co catalysts where Co is coordinated to 5 N atoms using CoN4 phthalocyanines with a pyridine axial linker anchored to carbon nanotubes. We tested complexes with electro-withdrawing or electro-donating residues on the N4 phthalocyanine ligand. The catalysts were characterized by EPR and XPS spectroscopy. Ab initio calculations, Koutecky-Levich extrapolation and Tafel plots confirm that the pyridine back ligand increases the Co-O-2 binding energy, and therefore promotes the 4-electron reduction of O-2. But the presence of electron withdrawing residues, in the plane of the tetra N atoms coordinating the Co, does not further increase the activity of the compounds because of pull-push electronic effects.</t>
  </si>
  <si>
    <t>Tasca, Federico/J-4134-2015; zagal, jose/L-9648-2014; Orellana, Walter/F-2068-2014; Marco, JF/N-3176-2014</t>
  </si>
  <si>
    <t>Orellana, Walter/0000-0002-6897-3875; Marco, JF/0000-0002-5147-1449</t>
  </si>
  <si>
    <t>2296-2646</t>
  </si>
  <si>
    <t>JAN 29</t>
  </si>
  <si>
    <t>10.3389/fchem.2020.00022</t>
  </si>
  <si>
    <t>WOS:000514394100001</t>
  </si>
  <si>
    <t>Ramírez, AMR; Gacitúa, MA; Ortega, E; Díaz, FR; del Valle, MA</t>
  </si>
  <si>
    <t>Ramirez, A. M. R.; Gacitua, M. A.; Ortega, E.; Diaz, F. R.; del Valle, M. A.</t>
  </si>
  <si>
    <t>Electrochemical in situ synthesis of polypyrrole nanowires</t>
  </si>
  <si>
    <t>ELECTROCHEMISTRY COMMUNICATIONS</t>
  </si>
  <si>
    <t>Modification with polypyrrole nanowires, PPy-nw, is accomplished directly upon the working electrode by electrochemical polymerization methods using mesoporous silica as a template. The silica template is prepared by a potentiostatic method, generating a homogeneous film over a previously deposited thin layer of PPy, so that PPy-nw grows within the nanochannels of the mesoporous silica and adheres firmly to the surface. Subsequently the template is removed to obtain intact Pt vertical bar PPy-nw with stable and reproducible electrochemical properties, and with an enhanced (about 360 times higher charge capacity) response after charge-discharge experiments compared to equivalent electrodes modified with polymer deposits in the bulk (PPy) form. SEM reveals the brush-type conformation of PPy-nw (30 nm in diameter). Thus, a cheap, simple, highly repeatable method is used in situ to prepare electrodes modified with nano-structured polymers, using electrochemical techniques alone. This could have a great impact on a wide range of applications of conducting polymers.</t>
  </si>
  <si>
    <t>Ramírez, Andres/JPL-2918-2023; Gacitua, Manuel/R-8868-2019; Ortega, Eduardo/GXN-2560-2022</t>
  </si>
  <si>
    <t>Gacitua, Manuel/0000-0003-0807-2677; Ramirez Ramirez, Andres/0000-0001-8786-7149</t>
  </si>
  <si>
    <t>1388-2481</t>
  </si>
  <si>
    <t>1873-1902</t>
  </si>
  <si>
    <t>10.1016/j.elecom.2019.04.007</t>
  </si>
  <si>
    <t>WOS:000465448100018</t>
  </si>
  <si>
    <t>Espinoza, M; Cárdenas, R; Díaz, M; Donoso, F; González, EE; Letelier, A; Mora, A</t>
  </si>
  <si>
    <t>Espinoza, Mauricio; Cardenas, Roberto; Diaz, Matias; Donoso, Felipe; Espina Gonzalez, Enrique; Letelier, Arturo; Mora, Andres</t>
  </si>
  <si>
    <t>Effects of a Variable dc-Port Voltage on the Half-Bridge-Based Modular Multilevel Converter for Drive Systems</t>
  </si>
  <si>
    <t>2019 21ST EUROPEAN CONFERENCE ON POWER ELECTRONICS AND APPLICATIONS (EPE '19 ECCE EUROPE)</t>
  </si>
  <si>
    <t>European Conference on Power Electronics and Applications</t>
  </si>
  <si>
    <t>21st European Conference on Power Electronics and Applications (EPE ECCE Europe)</t>
  </si>
  <si>
    <t>SEP 03-05, 2019</t>
  </si>
  <si>
    <t>Genova, ITALY</t>
  </si>
  <si>
    <t>The Modular Multilevel Converter (MMC) is a topology suitable for high-power medium-voltage variable speed drives. However, the behaviour of this converter is highly affected by the power fluctuations of its modules. This paper analyses the influence of the dc-port voltage on these power fluctuations. It is demonstrated that the manipulation of this voltage offers several advantages for the operation of the drive. For example, it is possible to reduce: the voltage fluctuations in the capacitors, the capacitance of each cell or the application of mitigating variables during low machine speeds. Additionally, a reduction in the required common-mode voltage during low-speed operation is also feasible. The effectiveness of the proposed control schemes is demonstrated through simulation studies.</t>
  </si>
  <si>
    <t>Mora, Andres/I-6953-2015; Espinoza, Mauricio/AAH-8647-2019; Espina, Enrique/AGZ-7297-2022; Diaz, Matias/R-7570-2018; Cardenas, Roberto/C-6395-2011</t>
  </si>
  <si>
    <t>Espina, Enrique/0000-0002-2075-2010; Diaz, Matias/0000-0003-4489-9532; Cardenas, Roberto/0000-0003-3853-7703; MORA, ANDRES/0000-0002-5606-2783</t>
  </si>
  <si>
    <t>2325-0313</t>
  </si>
  <si>
    <t>978-9-0758-1531-3</t>
  </si>
  <si>
    <t>10.23919/epe.2019.8915500</t>
  </si>
  <si>
    <t>WOS:000515073403075</t>
  </si>
  <si>
    <t>Rojas, G; Guajardo, V; Martínez, P; Fritsch, R</t>
  </si>
  <si>
    <t>Rojas, Graciela; Guajardo, Viviana; Martinez, Pablo; Fritsch, Rosemarie</t>
  </si>
  <si>
    <t>Screening and barriers for treatment of postpartum depression in Chilean public primary health care centers</t>
  </si>
  <si>
    <t>Background: Postpartum depression (PPD) is a public health issue, and appropriate screening may lead to clinical gains. Aim: To describe the screening for PPD, its relationship with the use of health care services, and treatment access barriers in Chilean public primary health care (PHC) centers. Material and Methods: Puerperal women attending PHC centers for a well-child check-up were assessed for the presence of PPD using the Edinburgh Postnatal Depression Scale and a structured psychiatric interview. PPD cases were assessed by telephone three months later. Also, women with PPD and PHC workers were interviewed to explore treatment barriers. Results: Of the 305 women assessed, 21% met diagnostic criteria for PPD. Sixty five percent of assessed women were previously screened for PPD while attending well-child check-ups. The results of the screening were communicated to 60% of them and 28% received some management indication. After three months of follow up, 70% of PPD cases continued to be depressed, and two thirds of them did not consult a health care provider and most of them rejected psychotherapy or medical treatment. Conclusions: Management of postpartum depression should be substantially improved in public PHC from screening to treatment.</t>
  </si>
  <si>
    <t>Martínez, Pablo/LZF-5853-2025; Fritsch Montero, Rosemarie/C-3519-2009</t>
  </si>
  <si>
    <t>Fritsch Montero, Rosemarie/0000-0001-7694-1470</t>
  </si>
  <si>
    <t>10.4067/s0034-98872018000901001</t>
  </si>
  <si>
    <t>WOS:000451446200006</t>
  </si>
  <si>
    <t>Awad, PS; Undurraga, FV; Chaná-Cuevas, P</t>
  </si>
  <si>
    <t>Saffie Awad, Paula; Vial Undurraga, Felipe; Chana-Cuevas, Pedro</t>
  </si>
  <si>
    <t>Clinical features of 63 patients with ataxia</t>
  </si>
  <si>
    <t>Background: Ataxia can be classified as genetic, sporadic or acquired. Aim: To report the clinical features of a group of patients with ataxia. Material and Methods: Review of medical records of patients consulting in a specialized center in movement disorders. Those records in which the diagnosis of ataxia or ataxic syndrome appeared, were selected for the review. Results: Of 4,282 records surveyed, the diagnosis of ataxia appeared in 95. After eliminating repeated or incomplete records, 63 were reviewed. Results: Ataxia was sporadic, genetic and acquired in 27, 22 and 14 patients, respectively. The mean age at presentation for genetic, acquired and sporadic ataxia was 24, 46 and 53 years respectively. All autosomal dominant ataxias were type 3 spinocerebellar ataxia (SCA). Friedrich's ataxia was the most common recessive form. Most sporadic forms of ataxia were multiple system atrophy with predominant cerebellar ataxia (MSA-C) subtype. Conclusions: Considering the heterogeneity of patients with ataxia, we propose a method to approach them.</t>
  </si>
  <si>
    <t>Chana-Cuevas, Pedro/AAM-8215-2020</t>
  </si>
  <si>
    <t>Saffie, Paula/0000-0002-8056-365X; Vial Undurraga, Felipe/0000-0002-3293-2924</t>
  </si>
  <si>
    <t>WOS:000442535800003</t>
  </si>
  <si>
    <t>Santilli, L; Castro, SA; Figueroa, JA; Guerrero, N; Ray, C; Romero-Mieres, M; Rojas, G; Lavandero, N</t>
  </si>
  <si>
    <t>Santilli, Ludovica; Castro, Sergio A.; Figueroa, Javier A.; Guerrero, Nicole; Ray, Cristian; Romero-Mieres, Mario; Rojas, Gloria; Lavandero, Nicolas</t>
  </si>
  <si>
    <t>Exotic species predominates in the urban woody flora of central Chile</t>
  </si>
  <si>
    <t>GAYANA BOTANICA</t>
  </si>
  <si>
    <t>The expansion of cities promotes the replacement of local biotas with exotic species causing a decrease in global diversity. As urbanization continues to expand, efforts directed towards the conservation within urban landscapes could support regional biodiversity conservation. The biogeographic region of central Chile displays a native flora of global importance because of its high endemism. Up to date, studies analysing the composition of the floras within the cities are scarce. The present study aims at characterizing the compositional and distributional patterns of the ornamental flora of five cities of central Chile (La Serena, Valparaiso, Santiago, Rancagua, and Talca). For this purpose, we sampled several streets and squares recording all woody species. The species were then characterized by their biogeographical origin and incidence. It was recorded 302 species of which approx. 86% were exotic and 14% were native, a consistent pattern found in the five cities studied; these results contrast with the European urban flora, where native species can usually overcome 50% of the plant species. Almost half of the exotic species had their origin in Asia (including Australasia, Temperate, and Tropical Asia), Europe, and North America. Consequently, the representation of the regional flora within the urban context is low for central Chile, with the native species registered, accounting for only 0.81% of the total species described for the country. Urban habitats could support regional biodiversity conservation, so a shift towards sustainable urban planning could promote local biological conservation.</t>
  </si>
  <si>
    <t>Santilli, Ludovica/0000-0001-5429-3441</t>
  </si>
  <si>
    <t>0717-6643</t>
  </si>
  <si>
    <t>10.4067/S0717-66432018000200568</t>
  </si>
  <si>
    <t>WOS:000459218600002</t>
  </si>
  <si>
    <t>Torrent, C; Gil-Durán, C; Rojas-Aedo, JF; Medina, E; Vaca, I; Castro, P; García-Rico, RO; Cotoras, M; Mendoza, L; Levicán, G; Chávez, R</t>
  </si>
  <si>
    <t>Torrent, Claudia; Gil-Duran, Carlos; Rojas-Aedo, Juan F.; Medina, Exequiel; Vaca, Inmaculada; Castro, Paulo; Garcia-Rico, Ramon O.; Cotoras, Milena; Mendoza, Leonora; Levican, Gloria; Chavez, Renato</t>
  </si>
  <si>
    <t>Role of sfk1 Gene in the Filamentous Fungus Penicillium roqueforti</t>
  </si>
  <si>
    <t>The sfk1 (suppressor of four kinase) gene has been mainly studied in Saccharomyces cerevisiae, where it was shown to be involved in growth and thermal stress resistance. This gene is widely conserved within the phylum Ascomycota. Despite this, to date sfk1 has not been studied in any filamentous fungus. Previously, we found that the orthologous of sfk1 was differentially expressed in a strain of Penicillium roqueforti with an altered phenotype. In this work, we have performed a functional characterization of this gene by using RNAi-silencing technology. The silencing of sfk1 in P. roqueforti resulted in decreased apical growth and the promotion of conidial germination, but interesting, it had no effect on conidiation. In addition, the attenuation of the sfk1 expression sensitized the fungus to osmotic stress, but not to thermal stress. RNA-mediated gene-silencing of sfk1 also affected cell wall integrity in the fungus. Finally, the silencing of sfk1 depleted the production of the main secondary metabolites of P. roqueforti, namely roquefortine C, andrastin A, and mycophenolic acid. To the best of our knowledge this is the first study of the sfk1 gene in filamentous fungi.</t>
  </si>
  <si>
    <t>Levican, Gloria/R-5191-2019; Medina, Exequiel/AAA-9367-2022; Garcia-Rico, Ramon/N-4289-2019; Vaca, Inmaculada/I-2758-2013</t>
  </si>
  <si>
    <t>Gil-Duran, Carlos Andres/0000-0001-9638-6902; Garcia-Rico, Ramon Ovidio/0000-0002-2451-7958; Levican, Gloria/0000-0002-1275-7399; Medina, Exequiel/0000-0002-1040-6720; Vaca, Inmaculada/0000-0002-8952-9036; Chavez, Renato/0000-0003-1754-3610</t>
  </si>
  <si>
    <t>DEC 6</t>
  </si>
  <si>
    <t>10.3389/fmicb.2017.02424</t>
  </si>
  <si>
    <t>WOS:000417142700001</t>
  </si>
  <si>
    <t>Hawes, G; Rojas-Serey, AM; Espinoza, M; Oyarzo, S; Castillo-Parra, S; Castillo, M; Romero, L</t>
  </si>
  <si>
    <t>Hawes, Gustavo; Rojas-Serey, Ana Maria; Espinoza, Monica; Oyarzo, Sandra; Castillo-Parra, Silvana; Castillo, Manuel; Romero, Luis</t>
  </si>
  <si>
    <t>Concept frame for curricular innovation in health care schools</t>
  </si>
  <si>
    <t>We herein describe the conceptual dimension of the curricular innovation process carried out in the Faculty of Medicine of the University of Chile. We describe the context of innovation. The theoretical pertinence and relevance of a competence driven curriculum for health care professionals is discussed. The epistemological, ontological and didactic dimensions of the curricular innovation are examined. A main issue is the notion of competence and its significance in professional training. The curriculum is essentially considered as a moral endeavor, especially for health care professionals and their quest to improve the quality of life of the population.</t>
  </si>
  <si>
    <t>Romero, Luis/ABD-4313-2021; Hawes, Gustavo/JVN-5713-2024</t>
  </si>
  <si>
    <t>10.4067/s0034-98872017000901193</t>
  </si>
  <si>
    <t>WOS:000416126800014</t>
  </si>
  <si>
    <t>Ayala, RA; Núñez, ER</t>
  </si>
  <si>
    <t>Ayala, Ricardo A.; Rocio Nunez, E.</t>
  </si>
  <si>
    <t>Dusting off the looking-glass: A historical analysis of the development of a nursing identity in Chile</t>
  </si>
  <si>
    <t>NURSING INQUIRY</t>
  </si>
  <si>
    <t>Histories of nursing that disregard their linkage to broader historical movements often lead to historically detached versions of nursing identity that omit the perspective of their sources and the ideas of their time. Drawing on materials retrieved through a multilayered research strategy comprising internal and external sources, this article examines the development of a nursing identity in Chile during the period starting in the 1950s through the early 2000s. We analysed the sociopolitical contexts in which the nursing profession grew, the changing direction of its role and how the nursing identity transformed itself. Through the use of historical sources and oral testimonies, we aim to give a nuanced account of how the history of public health and that of the country more broadly changed the object of identification of nurses, creating only relatively recently a sense of nursing community. Processes of identification, fragmentation and integration are highlighted, which challenge usual notions of history as a linear process.</t>
  </si>
  <si>
    <t>Ayala, Ricardo A./E-1335-2018; Nunez, Elizabeth/JDV-5308-2023</t>
  </si>
  <si>
    <t>Ayala, Ricardo A./0000-0001-7840-1072; Nunez, Elizabeth/0000-0003-0579-7146</t>
  </si>
  <si>
    <t>1320-7881</t>
  </si>
  <si>
    <t>1440-1800</t>
  </si>
  <si>
    <t>e12185</t>
  </si>
  <si>
    <t>10.1111/nin.12185</t>
  </si>
  <si>
    <t>WOS:000405235600009</t>
  </si>
  <si>
    <t>Barrientos, J; Rodríguez-Carballeira, A; Escartín, J; Longares, L</t>
  </si>
  <si>
    <t>Barrientos, Jaime; Rodriguez-Carballeira, Alvaro; Escartin, Jordi; Longares, Lara</t>
  </si>
  <si>
    <t>INTIMATE SAME-SEX PARTNER VIOLENCE: REVIEW AND OUTLOOK</t>
  </si>
  <si>
    <t>REVISTA ARGENTINA DE CLINICA PSICOLOGICA</t>
  </si>
  <si>
    <t>Currently, health policies and programs from most occidental countries ignore violence in same- sex partners and do not offer any attention to the victims. Thus, data giving evidence of this type of violence is required to discard assumptions regarding the irrelevance of this phenomenon. This paper analyzes the most recent approaches to this phenomenon and reviews studies referring to the prevalence and type of violence exerted. Factors associated with this violence are analyzed in depth, along with its effects on victims' health. In addition, methodological limitations concerning this topic are stated. Finally, this paper highlights future research areas and also key issues for those who work in prevention, treatment and/or intervention.</t>
  </si>
  <si>
    <t>escartin, jordi/F-5630-2016; Longares, Lara/HDM-6980-2022; Rodriguez-Carballeira, Alvaro/AAY-7836-2020; Barrientos, Jaime/GMW-8081-2022</t>
  </si>
  <si>
    <t>Barrientos, Jaime/0000-0001-8497-3552</t>
  </si>
  <si>
    <t>0327-6716</t>
  </si>
  <si>
    <t>WOS:000393123700008</t>
  </si>
  <si>
    <t>Murtaza, F; Yousaf, MH; Velastin, SA</t>
  </si>
  <si>
    <t>Murtaza, Fiza; Yousaf, Muhammad Haroon; Velastin, Sergio A.</t>
  </si>
  <si>
    <t>Multi-view human action recognition using 2D motion templates based on MHIs and their HOG description</t>
  </si>
  <si>
    <t>IET COMPUTER VISION</t>
  </si>
  <si>
    <t>In this study, a new multi-view human action recognition approach is proposed by exploiting low-dimensional motion information of actions. Before feature extraction, pre-processing steps are performed to remove noise from silhouettes, incurred due to imperfect, but realistic segmentation. Two-dimensional motion templates based on motion history image (MHI) are computed for each view/action video. Histograms of oriented gradients (HOGs) are used as an efficient description of the MHIs which are classified using nearest neighbor (NN) classifier. As compared with existing approaches, the proposed method has three advantages: (i) does not require a fixed number of cameras setup during training and testing stages hence missing camera-views can be tolerated, (ii) requires less memory and bandwidth requirements and hence (iii) is computationally efficient which makes it suitable for real-time action recognition. As far as the authors know, this is the first report of results on the MuHAVi-uncut dataset having a large number of action categories and a large set of camera-views with noisy silhouettes which can be used by future workers as a baseline to improve on. Experimentation results on multi-view with this dataset gives a high-accuracy rate of 95.4% using leave-one-sequence-out cross-validation technique and compares well to similar state-of-the-art approaches.</t>
  </si>
  <si>
    <t>Murtaza, Fiza/AAF-1579-2019; Yousaf, Muhammad/D-1227-2011</t>
  </si>
  <si>
    <t>Murtaza, Fiza/0000-0001-8259-7389; VELASTIN, SERGIO ALEJANDRO/0000-0001-6775-7137; Yousaf, Muhammad Haroon/0000-0001-8255-1145</t>
  </si>
  <si>
    <t>1751-9632</t>
  </si>
  <si>
    <t>1751-9640</t>
  </si>
  <si>
    <t>10.1049/iet-cvi.2015.0416</t>
  </si>
  <si>
    <t>WOS:000396098100016</t>
  </si>
  <si>
    <t>Herrera, C; Belmokhtar-Berraf, S; Thomas, A; Parada, V</t>
  </si>
  <si>
    <t>Herrera, Carlos; Belmokhtar-Berraf, Sana; Thomas, Andre; Parada, Victor</t>
  </si>
  <si>
    <t>A reactive decision-making approach to reduce instability in a master production schedule</t>
  </si>
  <si>
    <t>INTERNATIONAL JOURNAL OF PRODUCTION RESEARCH</t>
  </si>
  <si>
    <t>One of the primary factors that impact the master production scheduling performance is demand fluctuation, which leads to frequently updated decisions, thereby causing instability. Consequently, global cost deteriorates, and productivity decreases. A reactive approach based on parametric mixed-integer programming(MIP) is proposed that aims to provide a set of plans such that a compromise between production cost and production stability is ensured. Several stability measures and their corresponding MIP model are proposed. An experimental study is performed to highlight the effectiveness of the reactive approach with regard to the proposed performance measures. It is observed that an improvement in stability does not mean a significant increase in the total production cost. Furthermore, the procedure yields a set of plans that in practice would enable flexible management of production.</t>
  </si>
  <si>
    <t>Herrera, Carlos/AAF-9657-2021; Parada, Victor/M-5840-2014</t>
  </si>
  <si>
    <t>0020-7543</t>
  </si>
  <si>
    <t>1366-588X</t>
  </si>
  <si>
    <t>10.1080/00207543.2015.1078516</t>
  </si>
  <si>
    <t>WOS:000373740300014</t>
  </si>
  <si>
    <t>Eliciting mixed emotions: a meta-analysis comparing models, types, and measures</t>
  </si>
  <si>
    <t>FRONTIERS IN PSYCHOLOGY</t>
  </si>
  <si>
    <t>The idea that people can experience two oppositely valenced emotions has been controversial ever since early attempts to investigate the construct of mixed emotions. This meta-analysis examined the robustness with which mixed emotions have been elicited experimentally. A systematic literature search identified 63 experimental studies that instigated the experience of mixed emotions. Studies were distinguished according to the structure of the underlying affect model dimensional or discrete as well as according to the type of mixed emotions studied (e.g., happy-sad, fearful-happy, positive-negative). The meta-analysis using a random-effects model revealed a moderate to high effect size for the elicitation of mixed emotions (d(IG+) = 0.77), which remained consistent regardless of the structure of the affect model, and across different types of mixed emotions. Several methodological and design moderators were tested. Studies using the minimum index (i.e., the minimum value between a pair of opposite valenced affects) resulted in smaller effect sizes, whereas subjective measures of mixed emotions increased the effect sizes. The presence of more women in the samples was also associated with larger effect sizes. The current study indicates that mixed emotions are a robust, measurable and non-artifactual experience. The results are discussed in terms of the implications for an affect system that has greater versatility and flexibility than previously thought.</t>
  </si>
  <si>
    <t>; Berrios, Raul/G-5167-2019</t>
  </si>
  <si>
    <t>Totterdell, Peter/0000-0002-5335-2611; Berrios, Raul/0000-0003-1826-7822</t>
  </si>
  <si>
    <t>1664-1078</t>
  </si>
  <si>
    <t>10.3389/fpsyg.2015.00428</t>
  </si>
  <si>
    <t>WOS:000352951900001</t>
  </si>
  <si>
    <t>Gil-Durán, C; Rojas-Aedo, JF; Medina, E; Vaca, I; García-Rico, RO; Villagrán, S; Levicán, G; Chávez, R</t>
  </si>
  <si>
    <t>Gil-Duran, Carlos; Rojas-Aedo, Juan F.; Medina, Exequiel; Vaca, Inmaculada; Garcia-Rico, Ramon O.; Villagran, Sebastian; Levican, Gloria; Chavez, Renato</t>
  </si>
  <si>
    <t>The pcz1 Gene, which Encodes a Zn(II)2Cys6 Protein, Is Involved in the Control of Growth, Conidiation, and Conidial Germination in the Filamentous Fungus Penicillium roqueforti</t>
  </si>
  <si>
    <t>Proteins containing Zn(II)(2)Cys(6) domains are exclusively found in fungi and yeasts. Genes encoding this class of proteins are broadly distributed in fungi, but few of them have been functionally characterized. In this work, we have characterized a gene from the filamentous fungus Penicillium roqueforti that encodes a Zn(II)(2)Cys(6) protein, whose function to date remains unknown. We have named this gene pcz1. We showed that the expression of pcz1 is negatively regulated in a P. roqueforti strain containing a dominant active Gai protein, suggesting that pcz1 encodes a downstream effector that is negatively controlled by Gai. More interestingly, the silencing of pcz1 in P. roqueforti using RNAi-silencing technology resulted in decreased apical growth, the promotion of conidial germination (even in the absence of a carbon source), and the strong repression of conidiation, concomitant with the downregulation of the genes of the central conidiation pathway brlA, abaA and wetA. A model for the participation of pcz1 in these physiological processes in P. roqueforti is proposed.</t>
  </si>
  <si>
    <t>Levican, Gloria/R-5191-2019; Garcia-Rico, Ramon/N-4289-2019; Medina, Exequiel/AAA-9367-2022; Vaca, Inmaculada/I-2758-2013</t>
  </si>
  <si>
    <t>Garcia-Rico, Ramon Ovidio/0000-0002-2451-7958; Vaca, Inmaculada/0000-0002-8952-9036; Chavez, Renato/0000-0003-1754-3610; Medina, Exequiel/0000-0002-1040-6720; Gil-Duran, Carlos Andres/0000-0001-9638-6902; Levican, Gloria/0000-0002-1275-7399</t>
  </si>
  <si>
    <t>MAR 26</t>
  </si>
  <si>
    <t>e0120740</t>
  </si>
  <si>
    <t>10.1371/journal.pone.0120740</t>
  </si>
  <si>
    <t>WOS:000356353700059</t>
  </si>
  <si>
    <t>Damiani, A; De Simone, S; Rafanelli, C; Cordero, RR; Laurenza, M</t>
  </si>
  <si>
    <t>Damiani, A.; De Simone, S.; Rafanelli, C.; Cordero, R. R.; Laurenza, M.</t>
  </si>
  <si>
    <t>Three years of ground-based total ozone measurements in the Arctic: Comparison with OMI, GOME and SCIAMACHY satellite data</t>
  </si>
  <si>
    <t>REMOTE SENSING OF ENVIRONMENT</t>
  </si>
  <si>
    <t>Continuous ground-based total ozone measurements were carried out at Ny-Alesund (78.9 degrees N, 11.9 degrees E. Svalbard islands, Norway), by using a Brewer spectrophotometer, for almost three years (2007-2009). Given the scarcity of high-quality ground-based measurements performed at high latitudes, this dataset provides a rare opportunity to check the quality of satellite-based data recorded in Arctic. Considering the unprecedented Artic ozone loss recently derived from satellite observations, assessing the reliability of satellite readings at such high latitudes is a timely effort This study focuses on the comparisons between ground-based Brewer total ozone measurements and satellite ozone readings retrieved from EOS Aura Ozone Measurement Instrument (OM) (by using OMI-TOMS and OMI-DOAS algorithms), retrieved from ERS-2 Global Ozone Monitoring Experiment (GOME) (by using TOGOMI algorithm) and from Envisat SCanning Imaging Absorption spectrometer for Atmospheric CartographY (SCIAMACHY) (by using TOSOMI algorithm). Despite the extreme conditions that affect both ground- and satellite-based measurements, a good agreement was found (r = 0.99 for OMI-TOMS, r = 0.97 for both OMI-DOAS and GOME datasets and r = 0.96 for SCIAMACHY). Nevertheless, space-based total ozone readings were found to underestimate ground-based data, in agreement with prior results. OMI-TOMS data showed the highest negative mean bias (MB = -2.03%) whereas DOAS-based datasets showed a better agreement (MB = -0.47, -0.69 and -0.01% for OMI-DOAS, GOME and SCIAMACHY, respectively) but a greater data scatter. On the other hand, DOAS-based datasets present an important seasonal dependence; an overestimation of the Brewer total ozone up to about 3% is found in April and September with respect to OMI-DOAS and SCIAMACHY while in September with respect to GOME In contrast, differences between OMI-TOMS and Brewer total ozone do not present significant dependence on the season or on geometrical parameters (i.e., satellite solar and viewing zenith angles). Differences in total ozone values between ground-based and satellite measurements are further discussed attending to the algorithm differences in dealing with cloud cover under high surface albedo (i.e., snow) conditions. Extending the study to Sodankyla station (67.3 degrees N, 26.6 degrees E, Finland), similarities and differences between the two stations have been highlighted. The agreement between satellite and Brewer data slightly improved when Sodankyla station is considered. On the continent, the seasonal dependence and data scatter for DOAS-based datasets and the MB for OMI-TOMS are smaller with respect to Ny-Alesund. Moreover, the roughly constant ozone summer offset (about 1%) between OMI-TOMS and OMI-DOAS, well evident for Ny-Alesund, is not present for Sodankyla. Finally, some patterns in the geographic distributions of the satellite-Brewer total ozone differences are evident only for Ny-Alesund, partly because of the peculiar characteristics of the surface albedo (higher than in Sodankyla, with a strong water/land contrast). (c) 2012 Elsevier Inc. All rights reserved.</t>
  </si>
  <si>
    <t>Laurenza, Monica/HMD-8729-2023; Cordero, Raul/M-7979-2017; Damiani, Alessandro/X-4677-2019</t>
  </si>
  <si>
    <t>Damiani, Alessandro/0000-0003-3014-6193; LAURENZA, Monica/0000-0001-5481-4534; Cordero, Raul R./0000-0001-7607-7993</t>
  </si>
  <si>
    <t>0034-4257</t>
  </si>
  <si>
    <t>1879-0704</t>
  </si>
  <si>
    <t>10.1016/j.rse.2012.08.023</t>
  </si>
  <si>
    <t>WOS:000311865600014</t>
  </si>
  <si>
    <t>Zapata-Torres, G; Fierro, A; Miranda-Rojas, S; Guajardo, C; Saez-Briones, P; Salgado, JC; Celis-Barros, C</t>
  </si>
  <si>
    <t>Zapata-Torres, Gerald; Fierro, Angelica; Miranda-Rojas, Sebastian; Guajardo, Carlos; Saez-Briones, Patricio; Cristian Salgado, J.; Celis-Barros, Cristian</t>
  </si>
  <si>
    <t>Influence of Protonation on Substrate and Inhibitor Interactions at the Active Site of Human Monoamine Oxidase-A</t>
  </si>
  <si>
    <t>JOURNAL OF CHEMICAL INFORMATION AND MODELING</t>
  </si>
  <si>
    <t>Although substrate conversion mediated by human monoaminooxidase (hMAO) has been associated with the deprotonated state of their amine moiety, data regarding the influence of protonation on substrate binding at the active site are scarce. Thus, in order to assess protonation influence, steered molecular dynamics (SMD) runs were carried out. These simulations revealed that the protonated form of the substrate serotonin (5-HT) exhibited stronger interactions at the protein surface compared to the neutral form. The latter displayed stronger interactions in the active site cavity. These observations support the possible role of the deprotonated form in substrate conversion. Multigrid docking studies carried out to rationalize the role of 5-HT protonation in other sites besides the active site indicated two energetically favored docking sites for the protonated form of 5-HT on the enzyme surface. These sites seem to be interconnected with the substrate/inhibitor cavity, as revealed by the tunnels observed by means of CAVER program. pK(a) calculations in the surface loci pointed to Glu(327), Asp(328), His(488), and Asp(132) as candidates for a possible in situ deprotonation step. Docking analysis of a group of inhibitors (structurally related to substrates) showed further interactions with the same two docking access sites. Interestingly, the protonated/deprotonated amine moiety of almost all compounds attained different docking poses in the active site, none of them oriented to the flavin moiety, thus producing a more variable and less productive orientations to act as substrates. Our results highlight the role of deprotonation in facilitating substrate conversion and also might reflect the necessity of inhibitor molecules to adopt specific orientations to achieve enzyme inhibition.</t>
  </si>
  <si>
    <t>Celis Barros, Cristian/ABA-2702-2021; Salgado, J. Cristian/N-1275-2013</t>
  </si>
  <si>
    <t>Fierro Huerta, Angelica/0000-0002-6507-4188; Celis-Barros, Cristian/0000-0002-4685-5229; Salgado, J. Cristian/0000-0002-5507-8695</t>
  </si>
  <si>
    <t>1549-9596</t>
  </si>
  <si>
    <t>1549-960X</t>
  </si>
  <si>
    <t>10.1021/ci300081w</t>
  </si>
  <si>
    <t>WOS:000304385700014</t>
  </si>
  <si>
    <t>Zapata, PA; Quijada, R; Lieberwirth, I; Palza, H</t>
  </si>
  <si>
    <t>Zapata, Paula A.; Quijada, Raul; Lieberwirth, Ingo; Palza, Humberto</t>
  </si>
  <si>
    <t>Synthetic layered and tube-like silica nanoparticles as novel supports for metallocene catalysts in ethylene polymerization</t>
  </si>
  <si>
    <t>APPLIED CATALYSIS A-GENERAL</t>
  </si>
  <si>
    <t>Synthetic hybrid layered (HLNP) and tube-like (SNTP) silica nanoparticles were used to support the (nBuCp)(2)ZrCl2 metallocene catalyst for ethylene polymerization. Different amounts of zirconium were directly supported on the nanoparticles either with or without methylaluminoxane (MAO) treatment, allowing the effect of catalyst loading and particle surface on catalytic behaviour and polymer properties to be studied. Our results show that outstanding catalytic activities, comparable to a homogeneous polymerization, can be obtained when the metallocene catalyst is directly supported on the silica nanoparticles. The catalytic activity of the metallocene catalyst supported on MAO-treated nanoparticles increases with the amount of zirconium in the support. The molecular weights of the polyethylenes synthesized using both supported systems were higher than those from homogeneous polymerization. TEM images show that both nanoparticles were well dispersed in the polymer matrix and the HLNPs were exfoliated into the polymer. The presence of these nanoparticles in the resulting polymer improves the thermal stability of the matrix. (C) 2011 Elsevier B.V. All rights reserved.</t>
  </si>
  <si>
    <t>Lieberwirth, Ingo/Q-5862-2017; Palza, Humberto/H-2782-2014</t>
  </si>
  <si>
    <t>QUIJADA, RAUL/0000-0003-0791-6954; Zapata, Paula Andrea/0000-0003-3361-6226; Palza, Humberto/0000-0001-5246-6791</t>
  </si>
  <si>
    <t>0926-860X</t>
  </si>
  <si>
    <t>1873-3875</t>
  </si>
  <si>
    <t>NOV 4</t>
  </si>
  <si>
    <t>10.1016/j.apcata.2011.08.034</t>
  </si>
  <si>
    <t>WOS:000297234400021</t>
  </si>
  <si>
    <t>Rasmussen, SB; Skotte, J; Villarroel, M; Gil-Llambias, FJ; Fehrmann, R; Avila, P</t>
  </si>
  <si>
    <t>Rasmussen, S. B.; Skotte, J.; Villarroel, M.; Gil-Llambias, F. J.; Fehrmann, R.; Avila, P.</t>
  </si>
  <si>
    <t>Multidisciplinary determination of the phase distribution for VOX-ZrO2-SO42--sepiolite catalysts for NH3-SCR</t>
  </si>
  <si>
    <t>22nd Iberoamerican Congress on Catalysis (SICAT)</t>
  </si>
  <si>
    <t>SEP, 2010</t>
  </si>
  <si>
    <t>Vina del Mar, CHILE</t>
  </si>
  <si>
    <t>A series of V2O5-ZrO2-SO42--sepiolite mixtures were extruded, calcined and characterised. NH3-SCR activity was found to be related to the content of the active VOX-ZrO2-SO42- phase (VSZ). The distribution of sepiolite and VSZ at the surface of the mechanical mixtures was studied by the electrophoretic migration technique. The samples were further characterised by nitrogen adsorption, NH3-TPD, XRD and scanning electron micrography techniques. The electrophoretic migration results showed that the addition of sepiolite to VSZ, by kneading in water, had a dramatic effect on the quantity of VOX-ZrO2-SO42- present at the support's surface, both strongly decreasing the molar fraction of zirconia at the surface, and altering the electrophoretic properties of the mixtures. The SEM micrographs, XRD patterns and activity measurements of the water-kneaded samples supported the electrophoretic migration results. Furthermore, it was verified by electrophoretic migration experiments that up until a composition of 75% VOX-ZrO2-SO42-, the sepiolite fibers coats the zirconia particles. This has a slightly negative influence on the overall SCR activity of fresh catalysts. (C) 2011 Elsevier B.V. All rights reserved.</t>
  </si>
  <si>
    <t>Fehrmann, Rasmus/AAW-9800-2021; Avila, Pedro/S-7588-2017; Rasmussen, Søren/G-9996-2011</t>
  </si>
  <si>
    <t>Avila, Pedro/0000-0002-0212-941X</t>
  </si>
  <si>
    <t>AUG 25</t>
  </si>
  <si>
    <t>10.1016/j.cattod.2011.05.002</t>
  </si>
  <si>
    <t>WOS:000294302400013</t>
  </si>
  <si>
    <t>Castro-Rodriguez, JA; Garcia-Marcos, L; Sanchez-Solis, M; Pérez-Fernández, V; Martinez-Torres, A; Mallol, J</t>
  </si>
  <si>
    <t>Castro-Rodriguez, J. A.; Garcia-Marcos, L.; Sanchez-Solis, M.; Perez-Fernandez, V.; Martinez-Torres, A.; Mallol, J.</t>
  </si>
  <si>
    <t>Olive Oil During Pregnancy Is Associated With Reduced Wheezing During The First Year Of Life Of The Offspring</t>
  </si>
  <si>
    <t>AMERICAN JOURNAL OF RESPIRATORY AND CRITICAL CARE MEDICINE</t>
  </si>
  <si>
    <t>Sanchez-Solis, Manuel/AAQ-8717-2020; Castro-Rodriguez, Jose/ABA-2760-2021</t>
  </si>
  <si>
    <t>1073-449X</t>
  </si>
  <si>
    <t>A1865</t>
  </si>
  <si>
    <t>WOS:000208771001073</t>
  </si>
  <si>
    <t>Dardati, PM; Celentano, DJ; Godoy, LA; Chiarella, AA; Schulz, BJ</t>
  </si>
  <si>
    <t>Dardati, P. M.; Celentano, D. J.; Godoy, L. A.; Chiarella, A. A.; Schulz, B. J.</t>
  </si>
  <si>
    <t>Analysis of ductile cast iron solidification: numerical simulation and experimental validation</t>
  </si>
  <si>
    <t>INTERNATIONAL JOURNAL OF CAST METALS RESEARCH</t>
  </si>
  <si>
    <t>This paper presents an experimental and numerical study of the solidification process of ductile cast iron under slightly hypereutectic conditions. The material thermo-microstructural behaviour is measured in tests performed using standardized cups. Cooling curves at the centre of the cup were recorded, and metallographic studies were carried out to investigate the number and size of graphite nodules at the end of the process. Different models were tested: a model based on a uninodular theory and two models which represent the multi-nodular theory. The cooling curves predicted by these models are in good agreement with the experimental measurements. Some scatter is found, however, in the numerical-experimental comparison for the graphite nodule density at different points of the sample.</t>
  </si>
  <si>
    <t>Schulz, Bernd/AAA-2480-2019; Celentano, Diego/JQW-5027-2023</t>
  </si>
  <si>
    <t>Dardati, Patricia/0000-0002-3294-2962</t>
  </si>
  <si>
    <t>1364-0461</t>
  </si>
  <si>
    <t>1743-1336</t>
  </si>
  <si>
    <t>10.1179/174313309X436646</t>
  </si>
  <si>
    <t>WOS:000269520900007</t>
  </si>
  <si>
    <t>Celedón, G; González, G; Pino, J; Lissi, EA</t>
  </si>
  <si>
    <t>Celedon, Gloria; Gonzalez, Gustavo; Pino, Jose; Lissi, Eduardo A.</t>
  </si>
  <si>
    <t>Peroxynitrite oxidizes erythrocyte membrane band 3 protein and diminishes its anion transport capacity</t>
  </si>
  <si>
    <t>We describe an altered membrane band 3 protein-mediated anion transport in erythrocytes exposed to peroxynitrite, and relate the loss of anion transport to cell damage and to band 3 oxidative modifications. We found that peroxynitrite down-regulate anion transport in a dose dependent relation (100-300 mu moles/1). Hemoglobin oxidation was found at all peroxynitrite concentrations studied. A dose-dependent band 3 protein crosslinking and tyrosine nitration were also observed. Band 3 protein modifications were concomitant with a decrease in transport activity. (-)-Epicatechin avoids band 3 protein nitration but barely affects its transport capacity, suggesting that both processes are unrelated. N-acetyl cysteine partially reverted the loss of band 3 transport capacity. It is concluded that peroxynitrite promotes a decrease in anion transport that is partially due to the reversible oxidation of band 3 cysteine residues. Additionally, band 3 tyrosine nitration seems not to be relevant for the loss of its anion transport capacity.</t>
  </si>
  <si>
    <t>Pino, Jose/AAF-4359-2021</t>
  </si>
  <si>
    <t>Pino, Jose/0000-0002-1542-0660</t>
  </si>
  <si>
    <t>10.1080/10715760601090305</t>
  </si>
  <si>
    <t>WOS:000245588800009</t>
  </si>
  <si>
    <t>Bartels, M; Mack, G; Palma, G</t>
  </si>
  <si>
    <t>Analytic calculation of the 1-loop effective action for the O(N+1)-symmetric 2-dimensional nonlinear σ-model</t>
  </si>
  <si>
    <t>Starting from the 2-dimensional nonlinear sigma -model living on a lattice Lambda of lattice spacing a with action S[phi] = -1/2 beta integral (z) phi Delta phi, phi (z) is an element of S-N we compute a manifestly covariant closed form expression for the Wilson effective action S-eff[Phi] on a lattice of lattice spacing (a) over tilde in a 1-loop approximation for a Gaussian choice of blockspin, where C phi (x) equivalent to C phi (x)/\C phi (x)\ fluctuates around phi (x). C is averaging of phi (z) over a block x. The limiting case of a delta -function is also considered. The result extends Polyakov which had furnished those contributions to the effective action which are of order In (a) over tilde /a. The additional terms which remain finite as a --&gt; 0 include corrections other than coupling constant renormalization: a current-current interaction and a contribution from an augmented Jacobian which has a field dependence of a different kind than S has. Particular attention is paid to S-eff's domain of validity in field space. It turns out that Hasenfratz and Niedermayer's choice of a low value of the parameter k which governs the width of the Gaussian is optimal also in this respect. (C) 2001 Elsevier Science B.V. All rights reserved.</t>
  </si>
  <si>
    <t>10.1016/S0550-3213(01)00350-9</t>
  </si>
  <si>
    <t>WOS:000171717300007</t>
  </si>
  <si>
    <t>Paez, MA; Bustos, O; Thompson, GE; Skeldon, P; Shimizu, K; Wood, GC</t>
  </si>
  <si>
    <t>Porous anodic film formation on an Al-3.5 wt % Cu alloy</t>
  </si>
  <si>
    <t>Anodic film growth has been undertaken on an electropolished Al-3.5 wt % Cu alloy to determine the influence of copper in solid solution on the anodizing behavior. At the commencement of anodizing of the electropolished alloy, in the presence of interfacial enrichment of copper, Al3+ and Cu2+ ions egress and O2- ion ingress proceed; film growth occurs at the alloy/film interface though O2- ion ingress, with outwardly mobile Al3+ and Cu2+ ions ejected at the film/electrolyte interface, and field-assisted dissolution proceeding at the bases of pores. Oxidation of copper, in the presence of the enriched layer, is also associated with O-2 gas generation, leading to development of oxygen-filled voids. As a result of significant pressures in the voids, film rupture proceeds, with electrolyte access to the alloy, dissolution of the enriched interfacial layer and re-anodizing. The consequence of such processes is the development of anodic films of increased porosity and reduced efficiency of film formation compared with anodizing of superpure aluminum under similar conditions. (C) 2000 The Electrochemical Society. S0013-4651(99)03-090-6. All rights reserved:</t>
  </si>
  <si>
    <t>Pappas, Georgios/F-7194-2014; Paez, Maritza/M-2010-2014</t>
  </si>
  <si>
    <t>paez, maritza/0000-0001-5881-884X</t>
  </si>
  <si>
    <t>10.1149/1.1393306</t>
  </si>
  <si>
    <t>WOS:000085912700031</t>
  </si>
  <si>
    <t>Tapia, G; Galetovic, A; Lemp, E; Pino, E; Lissi, E</t>
  </si>
  <si>
    <t>Singlet oxygen-mediated photobleaching of the prosthetic group in hemoglobins and c-phycocyanin</t>
  </si>
  <si>
    <t>Proteins bearing colored prosthetic groups, such as the heme group in hemoglobin or the bilin group in c-phycocyanin, quench singlet oxygen by interactions at the apoprotein and the prosthetic group levels. In both proteins, chemical modification of the chromophore constitutes only a minor reaction pathway, While total deactivation of singlet oxygen takes place with rate constants of 4.0 x 10(9) and 4.2 x 10(8) M-1 s(-1) for hemoglobin and phycocyanin, respectively, the bleaching of the chromophore takes place with rate constants of 3.2 x 10(6) and similar to 1 x 10(7) M-1 s(-1). Irradiation of phycocyanin with red light bleaches the chromophore with low yields (similar to 0.8 x 10(-4)). Part of this bleaching is mediated by singlet oxygen produced by the irradiation of the bilin group. The low relevance of the singlet oxygen pathway is compatible with a low quantum yield (similar to 10(-3)) of free singlet oxygen production after irradiation of the protein.</t>
  </si>
  <si>
    <t>10.1562/0031-8655(1999)070&lt;0499:SOMPOT&gt;2.3.CO;2</t>
  </si>
  <si>
    <t>WOS:000083354300007</t>
  </si>
  <si>
    <t>Bravo, LA; Zúñiga, GE; Alberdi, M; Corcuera, LJ</t>
  </si>
  <si>
    <t>The role of ABA in freezing tolerance and cold acclimation in barley</t>
  </si>
  <si>
    <t>PHYSIOLOGIA PLANTARUM</t>
  </si>
  <si>
    <t>The role of ABA in freezing resistance in nonacclimated and cold-acclimated barley (Hordeum vulgare L.) was studied. Eleven nonacclimated cultivars differed in their LT50, ranging from -10.8 to -4.8 degrees C. Sugars, free proline, soluble proteins and ABA were analyzed in nonacclimated cultivars and during cold acclimation of one cultivar. There was an inverse correlation between LT50 and both ABA and sucrose contents. Exogenous ABA caused a decrease in the freezing point of leaf tissue in the cultivar with the lowest level of endogenous ABA, but not in the cultivar with the highest level, suggesting that ABA in the latter may be near the optimum endogenous level to induce freezing tolerance. Plants of cv. Aramir treated with.ABA or allowed to acclimate to cold temperature increased their soluble sugar content to a similar level. The LT50 of leaves of cold-acclimated cv. Aramir decreased from -5.8 to -11.4 degrees C, with biphasic kinetics, accumulating proline and soluble sugars with similar kinetics. The biphasic profile observed during cold acclimation could be a direct consequence of cryoprotectant accumulation kinetics. ABA and soluble protein accumulation showed a single step profile, associated mainly with the second phase of the LT50 decrease. Thus, a significant increase in endogenous ABA is part of the response of barley to low temperature and may be required as a signal for the second phase of cold acclimation. Endogenous ABA contents in the nonacclimated state may determine constitutive freezing tolerance.</t>
  </si>
  <si>
    <t>Corcuera, Luis/G-1714-2014; Zuñiga, Gustavo/P-8306-2015; Bravo, Leon/H-9251-2018</t>
  </si>
  <si>
    <t>Bravo, Leon/0000-0003-4705-4842; Zuniga, Gustavo/0000-0002-8286-9468</t>
  </si>
  <si>
    <t>0031-9317</t>
  </si>
  <si>
    <t>1399-3054</t>
  </si>
  <si>
    <t>10.1034/j.1399-3054.1998.1030103.x</t>
  </si>
  <si>
    <t>WOS:000074696300003</t>
  </si>
  <si>
    <t>Gamboa, J; Schmidt, I; Vergara, L</t>
  </si>
  <si>
    <t>Anomaly and condensate in the light-cone Schwinger model</t>
  </si>
  <si>
    <t>The axial anomaly and fermion condensate in the light cone Schwinger model are studied, following path integral methods. This formalism allows for a simple and direct calculation of these and other vacuum dependent phenomena. (C) 1997 Published by Elsevier Science B.V.</t>
  </si>
  <si>
    <t>Vergara, Lautaro/V-2736-2019; Gamboa, Jorge/R-8744-2019; Schmidt, Ivan/J-5920-2012</t>
  </si>
  <si>
    <t>Schmidt, Ivan/0000-0002-2586-4599</t>
  </si>
  <si>
    <t>10.1016/S0370-2693(97)01066-6</t>
  </si>
  <si>
    <t>WOS:A1997YG53000017</t>
  </si>
  <si>
    <t>Saavedra, E; Tejo, F; Vidal-Silva, N; Escrig, J</t>
  </si>
  <si>
    <t>Saavedra, Eduardo; Tejo, Felipe; Vidal-Silva, Nicolas; Escrig, Juan</t>
  </si>
  <si>
    <t>Symmetry Breaking-Induced Resonance Dynamics in Bloch Point Nanospheres: Unveiling Magnetic Volume Effects and Geometric Parameters for Advanced Applications in Magnetic Sensing and Spintronics</t>
  </si>
  <si>
    <t>ACS APPLIED MATERIALS &amp; INTERFACES</t>
  </si>
  <si>
    <t>This study explores the impact of symmetry breaking on the ferromagnetic resonance of Bloch point (BP) nanospheres. Through standard Fourier analysis, we unveil two distinct oscillation mode groups characterized by low and high frequencies, respectively. Our findings emphasize the pivotal role of magnetic volume in shaping resonance amplitudes, providing new insights into the intricate dynamics of BP states. The investigation of geometric parameters reveals a quasi-monotonic decrease in resonance frequencies as a function of the asymmetry degree attributed to symmetry-breaking induced by geometric modifications. Spatial distribution analysis showcases unique resonance frequencies for the upper and lower BP hemispheres, highlighting the nuanced impact of the geometry on mode excitation. As the radius increases, additional modes emerge, demonstrating a compelling relationship between the magnetic volume and frequency. Phase analysis unveils coherent oscillations within each BP hemisphere, offering valuable insights into the rotational directions of the excitation poles. Beyond fundamental understanding, our study opens avenues for innovative applications, suggesting the potential use of nanospheres in advanced magnetic sensing, data storage, and nanoscale spintronic devices.</t>
  </si>
  <si>
    <t>Tejo, Felipe/IUQ-0578-2023; Vidal Silva, Nicolas/IAN-0226-2023; Saavedra, Eduardo/IQS-4264-2023; Escrig, Juan/N-4304-2015</t>
  </si>
  <si>
    <t>Saavedra Diaz, Eduardo Andres/0000-0002-2842-2526; Escrig, Juan/0000-0002-3958-8185; Tejo Lazo, Felipe Tejo/0000-0001-7457-7281</t>
  </si>
  <si>
    <t>1944-8244</t>
  </si>
  <si>
    <t>1944-8252</t>
  </si>
  <si>
    <t>MAY 16</t>
  </si>
  <si>
    <t>10.1021/acsami.4c01963</t>
  </si>
  <si>
    <t>WOS:001227277400001</t>
  </si>
  <si>
    <t>Broens, MI; Saavedra, E; Pusiol, EF; Bajales, N; Escrig, J</t>
  </si>
  <si>
    <t>Broens, Martin I.; Saavedra, Eduardo; Pusiol, Enzo F.; Bajales, Noelia; Escrig, Juan</t>
  </si>
  <si>
    <t>Tailoring ferromagnetic resonance properties of cobalt nanowires: effects of shape and magnetocrystalline anisotropies</t>
  </si>
  <si>
    <t>JOURNAL OF MATERIALS CHEMISTRY C</t>
  </si>
  <si>
    <t>In this study, we investigate the influence of shape and magnetocrystalline anisotropies on the magnetic dynamic susceptibility of individual cobalt nanowires (Co-NWs) through micromagnetic simulations. The simulations encompassed a range of nanowire diameters from 10 to 150 nm and lengths from 50 nm to 1 mu m, considering three magnetocrystalline anisotropy scenarios: no anisotropy, easy-plane anisotropy, and easy-axis anisotropy. The results reveal that shape anisotropy leads to ground states characterized as flower, twisted flower, or vortex configurations, while the prevalence of flower or vortex states depends on whether easy-axis or easy-plane magnetocrystalline anisotropy is present, respectively. The interplay between shape and magnetocrystalline anisotropies yields diverse effects in the ferromagnetic resonance response, contingent upon the nanowire's ground magnetic state. For Co-NWs with flower and twisted flower states, the edge-mode frequency can be modulated predominantly by varying the nanowire diameter, while the fundamental-mode frequency is influenced by the nanowire's length. In contrast, Co-NWs with a vortex state exhibit azimuthal mode, with their number and frequencies primarily dependent on the nanowire diameter, while gyrotropic modes are affected by the nanowire's length. Furthermore, nanowires featuring uniaxial magnetocrystalline anisotropy (MCA) exhibit higher resonant frequencies compared to those without MCA. The insights gained from this investigation offer valuable guidance for tailoring cobalt nanowires with specific ferromagnetic resonance properties, facilitating their utilization in various applications. Distinct magnetic states arise from shape and magnetocrystalline anisotropies, influencing resonant mode types. Nanowires with flower-type states show edge and fundamental modes, while those with vortex states exhibit azimuthal and gyrotropic modes.</t>
  </si>
  <si>
    <t>Saavedra, Eduardo/IQS-4264-2023; Escrig, Juan/N-4304-2015; Bajales, Noelia/AGE-1802-2022; Broens, Martin/IXD-9708-2023</t>
  </si>
  <si>
    <t>Saavedra Diaz, Eduardo Andres/0000-0002-2842-2526; Broens, Martin Ignacio/0000-0003-2224-5204</t>
  </si>
  <si>
    <t>2050-7526</t>
  </si>
  <si>
    <t>2050-7534</t>
  </si>
  <si>
    <t>10.1039/d4tc00564c</t>
  </si>
  <si>
    <t>WOS:001210825000001</t>
  </si>
  <si>
    <t>Ojeda, A; Cofré, V; Melo, F; Caballero, L; Fuentealba, D; Cornejo, A</t>
  </si>
  <si>
    <t>Ojeda, Ana; Cofre, Valentina; Melo, Francisco; Caballero, Leonardo; Fuentealba, Denis; Cornejo, Alberto</t>
  </si>
  <si>
    <t>α-Synuclein Drives Tau's Cytotoxic Aggregates Formation through Hydrophobic Interactions</t>
  </si>
  <si>
    <t>CHEMPLUSCHEM</t>
  </si>
  <si>
    <t>Tau and alpha-synuclein are proteins involved in pathologies known as tauopathies and synucleinopathies, respectively. Moreover, evidence shows that there is a crosstalk between them as is seen in the brains of individuals with sporadic neurodegenerative disorders. Based on that, we present data showing that the hydrophobic alpha-peptide (71)VTGVTAVAQKTV(82) induces the aggregation of the full-length tau fragment in the absence of heparin assessed by ThT. Moreover, AFM images reveal the presence of straight filaments and amorphous aggregates of full-length tau in the presence of the alpha-peptide. Additionally, ITC experiments showed the interaction of the alpha-peptide with tau full-length (441 amino acids),4R (amino acids from 244 to 369), and both hexapeptides (275)VQIINK(280) and (306)VQIVYK(311) through hydrophobic interactions. The Raman spectroscopy spectra showed conformational changes in the Amide region in the aggregates formed with full-length tau and alpha-syn peptide. Furthermore, the incubation of extracellular aggregates with N2a cells showed morphological differences in the cellular body and the nucleus suggesting cell death. Moreover,, the incubation of different types of aggregates in cell culture provokes the release of Lactate dehydrogenase (LDH). Altogether, we found that alpha-synuclein peptide can drive the aggregation of full-length tau-provoking morphological and structural changes evoking cytotoxic effects.</t>
  </si>
  <si>
    <t>Melo, Francisco/M-3923-2014; Cornejo, Alberto/AAE-7978-2022; Fuentealba, Denis/R-9880-2016</t>
  </si>
  <si>
    <t>Fuentealba, Denis/0000-0003-4798-7204</t>
  </si>
  <si>
    <t>2192-6506</t>
  </si>
  <si>
    <t>10.1002/cplu.202300257</t>
  </si>
  <si>
    <t>WOS:001079981200001</t>
  </si>
  <si>
    <t>Espinosa, C; Heraldo, Y; Vieito, JP</t>
  </si>
  <si>
    <t>Espinosa, Chirstian; Heraldo, Yadin; Vieito, Joao paulo</t>
  </si>
  <si>
    <t>Behavioural finance in emerging markets: A bibliometric analysis</t>
  </si>
  <si>
    <t>ACTA OECONOMICA</t>
  </si>
  <si>
    <t>This investigation analyses the academic research development over the last 30 years on behavioural finance in the emerging markets. We use Web of Science database to collect the bibliographic material and a VOS Viewer software to identify similarities by using bibliometric techniques. The results show a significant growth of research in this area, especially after the subprime crisis and highlights the emergence of sub areas of interest to researchers which have arisen in a natural fashion and without a previously defined orientation. There is still no consensus in the literature regarding the causes of this phenomenon and new questions emerge to expand research on herd behaviour in the emerging markets.</t>
  </si>
  <si>
    <t>Vieito, João/AAE-1207-2020; Vieito, Joao Paulo/J-5191-2012</t>
  </si>
  <si>
    <t>Vieito, Joao Paulo/0000-0002-0899-4930</t>
  </si>
  <si>
    <t>0001-6373</t>
  </si>
  <si>
    <t>1588-2659</t>
  </si>
  <si>
    <t>10.1556/032.2023.00025</t>
  </si>
  <si>
    <t>WOS:001084794700006</t>
  </si>
  <si>
    <t>Ugarte, G; Piña, R; Contreras, D; Godoy, F; Rubio, D; Rozas, C; Zeise, M; Vidal, R; Escobar, J; Morales, B</t>
  </si>
  <si>
    <t>Ugarte, Gonzalo; Pina, Ricardo; Contreras, Darwin; Godoy, Felipe; Rubio, David; Rozas, Carlos; Zeise, Marc; Vidal, Rodrigo; Escobar, Jorge; Morales, Bernardo</t>
  </si>
  <si>
    <t>Attention Deficit-Hyperactivity Disorder (ADHD): From Abnormal Behavior to Impairment in Synaptic Plasticity</t>
  </si>
  <si>
    <t>BIOLOGY-BASEL</t>
  </si>
  <si>
    <t>Simple Summary Attention deficit-hyperactivity disorder (ADHD) is a neurodevelopmental disorder with high incidence in children and adolescents characterized by hyperactivity, impulsivity, and inattention. Neuroanatomical anomalies such as the volume reduction in the neocortex and hippocampus and the abnormal dendritic spine pruning during postnatal development are shared by several neuropsychiatric diseases such as schizophrenia, autism spectrum disorder and ADHD. This review presents recent evidence focused on the molecular mechanisms involved in dendritic spine remodeling in the context of synaptic plasticity and learning. The impairment in synaptic plasticity, working memory and spine phenotype in a murine model of ADHD are also discussed.Abstract Attention deficit-hyperactivity disorder (ADHD) is a neurodevelopmental disorder with high incidence in children and adolescents characterized by motor hyperactivity, impulsivity, and inattention. Magnetic resonance imaging (MRI) has revealed that neuroanatomical abnormalities such as the volume reduction in the neocortex and hippocampus are shared by several neuropsychiatric diseases such as schizophrenia, autism spectrum disorder and ADHD. Furthermore, the abnormal development and postnatal pruning of dendritic spines of neocortical neurons in schizophrenia, autism spectrum disorder and intellectual disability are well documented. Dendritic spines are dynamic structures exhibiting Hebbian and homeostatic plasticity that triggers intracellular cascades involving glutamate receptors, calcium influx and remodeling of the F-actin network. The long-term potentiation (LTP)-induced insertion of postsynaptic glutamate receptors is associated with the enlargement of spine heads and long-term depression (LTD) with spine shrinkage. Using a murine model of ADHD, a delay in dendritic spines' maturation in CA1 hippocampal neurons correlated with impaired working memory and hippocampal LTP has recently reported. The aim of this review is to summarize recent evidence that has emerged from studies focused on the neuroanatomical and genetic features found in ADHD patients as well as reports from animal models describing the molecular structure and remodeling of dendritic spines.</t>
  </si>
  <si>
    <t>Morales Castañeda, Bernardo/GPP-1642-2022; Piña, ricardo/AAU-1694-2020</t>
  </si>
  <si>
    <t>Godoy, Felipe/0000-0001-9302-1166; Zeise, Marc/0000-0001-7683-4878; Rozas, Carlos/0000-0002-6422-9600; Morales, Bernardo/0000-0003-2879-7480; Contreras Pacheco, Darwin/0000-0003-4220-5699; VIDAL, RODRIGO/0000-0003-4266-959X</t>
  </si>
  <si>
    <t>2079-7737</t>
  </si>
  <si>
    <t>10.3390/biology12091241</t>
  </si>
  <si>
    <t>WOS:001073536200001</t>
  </si>
  <si>
    <t>Solís-Añez, E; Salles, PA; Rojas, N; Benavides, O; Chaná-Cuevas, P</t>
  </si>
  <si>
    <t>Solis-Anez, Ernesto; Salles, Philippe A.; Rojas, Natalia; Benavides, Olga; Chana-Cuevas, Pedro</t>
  </si>
  <si>
    <t>Huntington's Disease in Chile: Epidemiological and Genetic Aspects</t>
  </si>
  <si>
    <t>NEUROEPIDEMIOLOGY</t>
  </si>
  <si>
    <t>Introduction: Huntington's disease (HD) is a neurodegenerative, autosomal dominant disabling condition due to an expansion of the CAG trinucleotide in the HTT gene. Motor, psychiatric, and cognitive disorders characterize it. Chilean reports on HD in the era of molecular diagnosis were wanted. Methods: This is a retrospective analysis of a prospective cohort of patients with HD seen at the Center for Movement Disorders (CETRAM) in Chile between 2013 and 2019. Sociodemographic, genotype, and neuropsychiatric features were investigated. Results: One hundred three probands with HD were identified. The majority (63.1%) were born in the metropolitan region, followed by the VIII and V regions with 8.73% and 7.76%, respectively. When pedigrees were analyzed, ninety unrelated families encompassing 1,007 individuals were identified; among relatives, other 35 manifested HD, and 106 died of HD. Besides, five hundred seventy-nine individuals were at genetic risk. The minimum estimated prevalence of HD in Chile in 2019 was 0.72 x 100,000 inhabitants. The mean CAG repeats (CAGR) of 47.2 +/- 10.74 for the expanded allele and 17.93 +/- 2.05 for the normal allele. The mean age of onset was 41.39 +/- 13.47 years. Juvenile cases represented 7.8% of this cohort, and 4.9% had a late onset. There was a negative correlation between the age of onset and the CAGR of the expanded allele (r =-0.84 p &lt; 0.0001). Besides, 79.6% had a family history of HD. Conclusions: This is the first report characterizing genetics, motor, and neuropsychiatric features in patients with HD in Chile. The mean length of CAGR expansion of the abnormal allele was similar to previous reports in North America (i.e., Mexico and Canada) and higher than that reported in the neighboring country of Argentina. According to previous estimations, the minimal prevalence of HD in Chile may be lower than expected.</t>
  </si>
  <si>
    <t>Solis, Ernesto/KHE-1234-2024; Chana-Cuevas, Pedro/AAM-8215-2020</t>
  </si>
  <si>
    <t>Solis-Anez, Ernesto/0000-0002-9825-7765; Chana-Cuevas, Pedro/0000-0001-9946-3299</t>
  </si>
  <si>
    <t>0251-5350</t>
  </si>
  <si>
    <t>1423-0208</t>
  </si>
  <si>
    <t>2023 APR 28</t>
  </si>
  <si>
    <t>10.1159/000528961</t>
  </si>
  <si>
    <t>APR 2023</t>
  </si>
  <si>
    <t>WOS:001008101200001</t>
  </si>
  <si>
    <t>Boulett, A; Marambio, O; Martin-Trasanco, R; Sánchez, J; Alavia, W; Oyarzún, DP; Pizarro, G</t>
  </si>
  <si>
    <t>Boulett, Andres; Marambio, Oscar; Martin-Trasanco, Rudy; Sanchez, Julio; Alavia, Wilson; Oyarzun, Diego P.; Pizarro, Guadalupe</t>
  </si>
  <si>
    <t>Preparation of functional coating films using breath figure (BF) method and the study of morphological, optical and wettability behavior with varying experimental conditions</t>
  </si>
  <si>
    <t>INTERNATIONAL JOURNAL OF POLYMER ANALYSIS AND CHARACTERIZATION</t>
  </si>
  <si>
    <t>In this work, photoactive polymer film coatings were prepared using the breath figure (BF) method, starting from a poly(tert-butyl acrylate-styrene block), PtBA-block-PS and a photochromic agent, 1-(2-hydroxyethyl)-3,3-dimethylindoline-6-nitrobenzopyran (SP) grafted onto the poly(tert-butyl acrylate) block. The effects upon the composite film behavior in response to the solvent concentration, type of solvent and relative humidity were studied. Films containing homogeneously dispersed micrometre-sized pores were obtained. The optical and morphological behavior were investigated using optical microscopy and scanning electron microscopy. The films obtained have various potential applications as surface coating materials with color changing properties, such as whiteboards, device displays or advertising surfaces.</t>
  </si>
  <si>
    <t>PIZARRO, GUADALUPE/V-3353-2017; Martin-Trasancos, Rudy/L-2791-2017; Oyarzun, Diego/MTF-4062-2025; Sanchez, Julio/AEO-4360-2022; Alavia, Wilson/AGY-3117-2022</t>
  </si>
  <si>
    <t>Alavia, Wilson/0000-0001-5674-8489; PIZARRO, GUADALUPE/0000-0003-2063-1072</t>
  </si>
  <si>
    <t>1023-666X</t>
  </si>
  <si>
    <t>1563-5341</t>
  </si>
  <si>
    <t>APR 3</t>
  </si>
  <si>
    <t>10.1080/1023666X.2023.2175167</t>
  </si>
  <si>
    <t>WOS:000931767300001</t>
  </si>
  <si>
    <t>Kumar, S; Cardenas-Lopez, FA; Hegade, NN; Albarran-Arriagada, F; Solano, E; Barrios, GA</t>
  </si>
  <si>
    <t>Kumar, S.; Cardenas-Lopez, F. A.; Hegade, N. N.; Albarran-Arriagada, F.; Solano, E.; Barrios, G. Alvarado</t>
  </si>
  <si>
    <t>Tripartite Entanglement in Quantum Memristors</t>
  </si>
  <si>
    <t>PHYSICAL REVIEW APPLIED</t>
  </si>
  <si>
    <t>We study the entanglement and memristive properties of three coupled quantum memristors. We consider quantum memristors based on conductance-asymmetric superconducting quantum interference device architectures that are coupled via inductors. The three quantum memristors are arranged in two different geometries: linear and triangular coupling configurations. We obtain a variety of correlation mea-sures, including bipartite entanglement and tripartite negativity. For identical quantum memristors, we find that entanglement and memristivity follow the same behavior for the triangular case and the opposite one in the linear case. Finally, we study the multipartite correlations with the tripartite negativity and entan-glement monogamy relations, showing that our system has genuine tripartite entanglement. Our results show that quantum correlations in multipartite memristive systems have a nontrivial role and can be used to design quantum memristor arrays for quantum neural networks and neuromorphic quantum computing architectures.</t>
  </si>
  <si>
    <t>Solano, Enrique/C-2895-2017; Cárdenas López, Francisco/IXN-4622-2023; Alvarado, Gabriel/GLS-6513-2022; Hegade, Narendra N./O-9229-2018</t>
  </si>
  <si>
    <t>SOLANO VILLANUEVA, ENRIQUE LEONIDAS/0000-0002-8602-1181; Hegade, Narendra N./0000-0002-9673-2833; Albarran-Arriagada, Francisco/0000-0001-8899-3673; Cardenas, Francisco/0000-0002-2916-2826; Kumar, Shubham/0000-0003-2891-1669; /0000-0002-8684-4209</t>
  </si>
  <si>
    <t>2331-7019</t>
  </si>
  <si>
    <t>10.1103/PhysRevApplied.18.034004</t>
  </si>
  <si>
    <t>WOS:000850937000004</t>
  </si>
  <si>
    <t>Anfossi, CM; Fredes, CT; Rojas, FP; Cid, FC; Urzúa, CS; Ross, J; Head, J; Britton, A</t>
  </si>
  <si>
    <t>Moretti Anfossi, Christian; Tobar Fredes, Christian; Perez Rojas, Felipe; Cisterna Cid, Francisca; Siques Urzua, Christian; Ross, Jamie; Head, Jenny; Britton, Annie</t>
  </si>
  <si>
    <t>Workplace interventions for cardiovascular diseases: protocol of a systematic review and meta-analysis</t>
  </si>
  <si>
    <t>BMJ OPEN</t>
  </si>
  <si>
    <t>Introduction Cardiovascular diseases (CVDs) are the number one cause of death globally, impacting on public and private sectors. Current traditional interventions to prevent CVDs are mainly provided in healthcare centres and even when they are effective, they are not enough to reduce the rising prevalence; therefore, additional strategies are needed. Evidence suggests that health interventions in the workplace supply numerous benefits improving cardiovascular risk factor profiles in individuals. Hence, the aim of this systematic review and meta-analysis is to collate the evidence from randomised controlled trials, cluster randomised trials and quasi-experimental studies of workplace interventions to determine their effectiveness in terms of improving cardiovascular risk factors and preventing CVDs. Methods and analysis EMBASE, PsycINFO, PubMed, the Cochrane Central Register of Controlled Trials, LILACS, Scopus, Web of Science, WHO International Clinical Trials Registry Platform, ClinicalTrials.gov and ProQuest Dissertations &amp; Theses Global will be searched to include articles on workplace interventions in adults for CVDs events, cardiometabolic risk factors or behavioural risk factors. The study selection, data extraction, risk of bias and the assessment of the quality of the body of evidence will be conducted by two reviewers working in parallel and disagreements will be resolved by consensus or consultations with a third reviewer. Data synthesis will be done by meta-analysis using random-effects models when possible, otherwise the vote counting method will be applied. Statistical heterogeneity will be assessed by a chi(2) test and I-2 statistics. The quality of the body of evidence for each outcome will be assessed by applying the Grading of Recommendations, Assessment, Development and Evaluation approach. Ethics and dissemination Ethical approval is not required for this systematic review protocol. The results of the systematic review will be published in a peer-reviewed journal and will be publicly available. PROSPERO registration number CRD42021276161.</t>
  </si>
  <si>
    <t>Head, Jenny/GYA-2625-2022</t>
  </si>
  <si>
    <t>Head, Jennifer/0000-0002-6054-0872; Siques Urzua, Cristian/0000-0003-2046-9116; Cisterna Cid, Francisca/0000-0002-1688-7457; Britton, Annie/0000-0002-6412-5430; Ross, Jamie Anne Dolan/0000-0001-8720-5911; Moretti Anfossi, Christian/0000-0001-6366-6561</t>
  </si>
  <si>
    <t>2044-6055</t>
  </si>
  <si>
    <t>e061586</t>
  </si>
  <si>
    <t>10.1136/bmjopen-2022-061586</t>
  </si>
  <si>
    <t>WOS:000840807900003</t>
  </si>
  <si>
    <t>Veas-Castillo, L; Ovando-Leon, G; Astudillo, G; Gil-Costa, V; Marin, M</t>
  </si>
  <si>
    <t>Veas-Castillo, Luis; Ovando-Leon, Gabriel; Astudillo, Gabriel; Gil-Costa, Veronica; Marin, Mauricio</t>
  </si>
  <si>
    <t>Experimental Framework to Simulate Rescue Operations after a Natural Disaster</t>
  </si>
  <si>
    <t>JOURNAL OF COMPUTER SCIENCE &amp; TECHNOLOGY</t>
  </si>
  <si>
    <t>Computational simulation is a powerful tool for performance evaluation of computational systems. It is useful to make capacity planning of data center clusters, to obtain profiling reports of software applications and to detect bottlenecks. It has been used in different research areas like large scale Web search engines, natural disaster evacuations, computational biology, human behavior and tendency, among many others. However, properly tuning the parameters of the simulators, defining the scenarios to be simulated and collecting the data traces is not an easy task. It is an incremental process which requires constantly comparing the estimated metrics and the flow of simulated actions against real data. In this work, we present an experimental framework designed for the development of large scale simulations of two applications used upon the occurrence of a natural disaster strikes. The first one is a social application aimed to register volunteers and manage emergency campaigns and tasks. The second one is a benchmark application a data repository named MongoDB. The applications are deployed in a distributed platform which combines different technologies like a Proxy, a Containers Orchestrator, Containers and a NoSQL Database. We simulate both applications and the architecture platform. We validate our simulators using real traces collected during simulacrums of emergency situations.</t>
  </si>
  <si>
    <t>Marin, Mauricio/GLR-7700-2022; Astudillo, Gabriel/GWV-6606-2022; Gil-Costa, Veronica/GPT-4785-2022</t>
  </si>
  <si>
    <t>Astudillo Munoz, Gabriel/0000-0002-2169-0253; Veas-Castillo, Luis/0000-0003-3490-9995</t>
  </si>
  <si>
    <t>1666-6046</t>
  </si>
  <si>
    <t>1666-6038</t>
  </si>
  <si>
    <t>10.24215/16666038.20.e07</t>
  </si>
  <si>
    <t>WOS:000591848200001</t>
  </si>
  <si>
    <t>Tovar, CDG; Castro, JI; Valencia, CH; Zapata, PA; Solano, MA; López, EF; Chaur, MN; Zapata, MEV; Hernandez, JHM</t>
  </si>
  <si>
    <t>Grande Tovar, Carlos David; Ivan Castro, Jorge; Humberto Valencia, Carlos; Zapata, Paula A.; Solano, Moises A.; Florez Lopez, Edwin; Chaur, Manuel N.; Valencia Zapata, Mayra Eliana; Mina Hernandez, Jose Herminsul</t>
  </si>
  <si>
    <t>Synthesis of Chitosan Beads Incorporating Graphene Oxide/Titanium Dioxide Nanoparticles for In Vivo Studies</t>
  </si>
  <si>
    <t>Scaffold development for cell regeneration has increased in recent years due to the high demand for more efficient and biocompatible materials. Nanomaterials have become a critical alternative for mechanical, thermal, and antimicrobial property reinforcement in several biopolymers. In this work, four different chitosan (CS) bead formulations crosslinked with glutaraldehyde (GLA), including titanium dioxide nanoparticles (TiO2), and graphene oxide (GO) nanosheets, were prepared with potential biomedical applications in mind. The characterization of by FTIR spectroscopy, X-ray photoelectron spectroscopy (XRD), thermogravimetric analysis (TGA), energy-dispersive spectroscopy (EDS) and scanning electron microscopy (SEM), demonstrated an efficient preparation of nanocomposites, with nanoparticles well-dispersed in the polymer matrix. In vivo, subdermal implantation of the beads in Wistar rat ' s tissue for 90 days showed a proper and complete healing process without any allergenic response to any of the formulations. Masson ' s trichrome staining of the histological implanted tissues demonstrated the presence of a group of macrophage/histiocyte compatible cells, which indicates a high degree of biocompatibility of the beads. The materials were very stable under body conditions as the morphometry studies showed, but with low resorption percentages. These high stability beads could be used as biocompatible, resistant materials for long-term applications. The results presented in this study show the enormous potential of these chitosan nanocomposites in cell regeneration and biomedical applications.</t>
  </si>
  <si>
    <t>Tovar, Carlos/J-9638-2019; Zapata, Mayra/AAO-9600-2020; Valencia Llano, Carlos Humberto/KZU-6023-2024; Chaur Valencia, Manuel Noe/LDF-9448-2024; Mina Hernandez, Jose Herminsul/HKV-3137-2023</t>
  </si>
  <si>
    <t>Valencia Llano, Carlos Humberto/0000-0003-4892-9786; Valencia Zapata, Mayra Eliana/0000-0001-9001-2045; castro castro, jorge ivan/0000-0003-1930-6598; Grande Tovar, Carlos David/0000-0002-6243-4571; Chaur Valencia, Manuel Noe/0000-0002-9845-9252; Mina Hernandez, Jose Herminsul/0000-0003-3767-4431; Zapata, Paula Andrea/0000-0003-3361-6226</t>
  </si>
  <si>
    <t>10.3390/molecules25102308</t>
  </si>
  <si>
    <t>WOS:000539293400041</t>
  </si>
  <si>
    <t>Rubio, JCC; Rezende, BA; Vieira, LMG; Romero, HM; Brenes, LAR</t>
  </si>
  <si>
    <t>Campos Rubio, Juan Carlos; Rezende, Bruna Aparecida; Gomes Vieira, Luciano Machado; Munoz Romero, Hector; Rapso Brenes, Luis Arturo</t>
  </si>
  <si>
    <t>Comparative study on lubricating and cooling conditions in the drilling process of electrolytic copper</t>
  </si>
  <si>
    <t>INTERNATIONAL JOURNAL OF ADVANCED MANUFACTURING TECHNOLOGY</t>
  </si>
  <si>
    <t>The cutting fluids contributed for removing chips, cooling, and lubricating, on the other hand, are harmful to the environment. The minimum quantity lubrication technique (MQL) in machining operations proved to be suitable in addition to minimizing the environmental impact. The present work is focused on the drilling of electrolytic copper using biodegradable oil as cutting fluids applied by the MQL technique. The specific cutting pressure, burr height, and maximum diameter were measured varying the cutting parameters, cutting speed, feed, and lubrication condition (dry, flooded, and MQL). A statistical analysis was utilized to determine the influence of cutting parameters in the variables measured. The results indicated that the second-order interactions have a significant influence on the specific cutting pressure and in burr height. The lowest burr height was obtained using flood and MQL. The MQL system demonstrated the lowest specific cutting pressure, while the flood exhibited the best performance for diameter analysis. In addition to this, it can be confirmed that the MQL technique may replace the flooding drilling (abundant flow), minimizing the environmental impact.</t>
  </si>
  <si>
    <t>Rubio-Bellido, Carlos/K-1861-2014; Vieira, Luciano/J-2824-2013</t>
  </si>
  <si>
    <t>Campos Rubio, Juan C./0000-0001-6187-6442; Vieira, Luciano/0000-0002-5987-6301</t>
  </si>
  <si>
    <t>0268-3768</t>
  </si>
  <si>
    <t>1433-3015</t>
  </si>
  <si>
    <t>9-12</t>
  </si>
  <si>
    <t>10.1007/s00170-018-3139-7</t>
  </si>
  <si>
    <t>WOS:000463669500034</t>
  </si>
  <si>
    <t>Escobar, A; Rodas, PI; Acuña-Castillo, C</t>
  </si>
  <si>
    <t>Escobar, Alejandro; Rodas, Paula I.; Acuna-Castillo, Claudio</t>
  </si>
  <si>
    <t>Macrophage-Neisseria gonorrhoeae Interactions: A Better Understanding of Pathogen Mechanisms of Immunomodulation</t>
  </si>
  <si>
    <t>Neisseria gonorrhoeae is a significant health problem worldwide due to multi-drug resistance issues and absence of an effective vaccine. Patients infected with N. gonorrhoeae have not shown a better immune response in successive infections. This might be explained by the fact that N. gonorrhoeae possesses several mechanisms to evade the innate and adaptative immune responses at different levels. Macrophages are a key cellular component in the innate immune response against microorganisms. The current information suggests that gonococcus can hijack the host response by mechanisms that involve the control ofmacrophages activity. In thismini review, we intend to condense the recent knowledge on themacrophage-N. gonorrhoeae interactions with a focus on strategies developed by gonococcus to evade or to exploit immune response to establish a successful infection. Finally, we discuss the opportunities and challenges of therapeutics for controlling immune manipulation by N. gonorrhoeae.</t>
  </si>
  <si>
    <t>Escobar, Alejandro/I-2775-2013; Acuña-Castillo, Claudio/AAI-7090-2021; Rodas, Paula I./I-3631-2013</t>
  </si>
  <si>
    <t>Rodas, Paula I./0000-0002-8071-1229; Acuna-Castillo, Claudio/0000-0003-3607-6077</t>
  </si>
  <si>
    <t>DEC 21</t>
  </si>
  <si>
    <t>10.3389/fimmu.2018.03044</t>
  </si>
  <si>
    <t>WOS:000454091400002</t>
  </si>
  <si>
    <t>Falomir, H; Gamboa, J; Gondolo, R; Méndez, F</t>
  </si>
  <si>
    <t>Falomir, H.; Gamboa, J.; Gondolo, R.; Mendez, F.</t>
  </si>
  <si>
    <t>Magnetic seed and cosmology as quantum hall effect</t>
  </si>
  <si>
    <t>In the framework of a bimetric model, we discuss a relation between the (modified) Friedmann equations and a mechanical system similar to the quantum Hall effect problem. Firstly, we show how these modified Friedmann equations are mapped to an anisotropic two-dimensional charged harmonic oscillator in the presence of a constant magnetic field, with the frequencies of the oscillator playing the role of the cosmological constants. This problem has two energy scales leading to the identification of two different regimes, namely, one dominated by the cosmological constants, with exponential expansions for the scale factors, and the other dominated by a magnetic seed, which would be responsible for both a component of dark energy and a primordial magnetic field. The latter regime would be described by a (nonperturbative) mapping between the cosmological evolution and the quantum Hall effect. (C) 2018 Published by Elsevier B.V. This is an open access article under the CC BY license</t>
  </si>
  <si>
    <t>Gondolo, Paolo/ABC-2265-2021; Gamboa, Jorge/R-8744-2019</t>
  </si>
  <si>
    <t>Mendez, Fernando/0000-0002-9257-9552; Gondolo, Paolo/0000-0002-8071-8535; Falomir, Horacio/0000-0001-8188-1062; Gamboa, Jorge/0000-0001-7992-7199</t>
  </si>
  <si>
    <t>OCT 10</t>
  </si>
  <si>
    <t>10.1016/j.physletb.2018.08.055</t>
  </si>
  <si>
    <t>WOS:000447424000058</t>
  </si>
  <si>
    <t>Gramsch, E; Papapostolou, V; Reyes, F; Vásquez, Y; Castillo, M; Oyola, P; López, G; Cádiz, A; Ferguson, S; Wolfson, M; Lawrence, J; Koutrakis, P</t>
  </si>
  <si>
    <t>Gramsch, E.; Papapostolou, V.; Reyes, F.; Vasquez, Y.; Castillo, M.; Oyola, P.; Lopez, G.; Cadiz, A.; Ferguson, S.; Wolfson, M.; Lawrence, J.; Koutrakis, P.</t>
  </si>
  <si>
    <t>Variability in the primary emissions and secondary gas and particle formation from vehicles using bioethanol mixtures</t>
  </si>
  <si>
    <t>JOURNAL OF THE AIR &amp; WASTE MANAGEMENT ASSOCIATION</t>
  </si>
  <si>
    <t>Bioethanol for use in vehicles is becoming a substantial part of global energy infrastructure because it is renewable and some emissions are reduced. Carbon monoxide (CO) emissions and total hydrocarbons (THC) are reduced, but there is still controversy regarding emissions of nitrogen oxides (NOx), aldehydes, and ethanol; this may be a concern because all these compounds are precursors of ozone and secondary organic aerosol (SOA). The amount of emissions depends on the ethanol content, but it also may depend on the engine quality and ethanol origin. Thus, a photochemical chamber was used to study secondary gas and aerosol formation from two flex-fueled vehicles using different ethanol blends in gasoline. One vehicle and the fuel used were made in the United States, and the others were made in Brazil. Primary emissions of THC, CO, carbon dioxide (CO2), and nonmethane hydrocarbons (NMHC) from both vehicles decreased as the amount of ethanol in gasoline increased. NOx emissions in the U.S. and Brazilian cars decreased with ethanol content. However, emissions of THC, CO, and NOx from the Brazilian car were markedly higher than those from the U.S. car, showing high variability between vehicle technologies. In the Brazilian car, formation of secondary nitrogen dioxide (NO2) and ozone (O-3) was lower for higher ethanol content in the fuel. In the U.S. car, NO2 and O-3 had a small increase. Secondary particle (particulate matter [PM]) formation in the chamber decreased for both vehicles as the fraction of ethanol in fuel increased, consistent with previous studies. Secondary to primary PM ratios for pure gasoline is 11, also consistent with previous studies. In addition, the time required to form secondary PM is longer for higher ethanol blends. These results indicate that using higher ethanol blends may have a positive impact on air quality.Implications: The use of bioethanol can significantly reduce petroleum use and greenhouse gas emissions worldwide. Given the extent of its use, it is important to understand its effect on urban pollution. There is a controversy on whether there is a reduction or increase in PM emission when using ethanol blends. Primary emissions of THC, CO, CO2, NOx, and NMHC for both cars decreased as the fraction of ethanol in gasoline increased. Using a photochemical chamber, the authors have found a decrease in the formation of secondary particles and the time required to form secondary PM is longer when using higher ethanol blends.</t>
  </si>
  <si>
    <t>Gramsch, Ernesto/M-5507-2017</t>
  </si>
  <si>
    <t>Gramsch, Ernesto/0000-0002-6787-7355</t>
  </si>
  <si>
    <t>1096-2247</t>
  </si>
  <si>
    <t>2162-2906</t>
  </si>
  <si>
    <t>10.1080/10962247.2017.1386600</t>
  </si>
  <si>
    <t>WOS:000430486700004</t>
  </si>
  <si>
    <t>Parada-Bustamante, A; Oróstica, ML; Reuquen, P; Zuñiga, LM; Cardenas, H; Orihuela, PA</t>
  </si>
  <si>
    <t>Parada-Bustamante, Alexis; Orostica, Maria L.; Reuquen, Patricia; Zuniga, Lidia M.; Cardenas, Hugo; Orihuela, Pedro A.</t>
  </si>
  <si>
    <t>The role of mating in oviduct biology</t>
  </si>
  <si>
    <t>MOLECULAR REPRODUCTION AND DEVELOPMENT</t>
  </si>
  <si>
    <t>The oviduct connects the ovary to the uterus, and is subject to changes that influence gamete transport, fertilization, and early embryo development. The ovarian steroids estradiol and progesterone are largely responsible for regulating oviduct function, although mating signals also affect the female reproductive tract, both indirectly, through sensory stimulation, and directly, through contact with seminal plasma or spermatozoa. The resulting alterations in gene and protein expression help establish a microenvironment that is appropriate for sperm storage and selection, embryo development, and gamete transport. Mating may also induce the switch from a non-genomic to a genomic pathway of estradiol-accelerated oviduct egg transport, reflecting a novel example of the functional plasticity in well-differentiated cells. This review highlights the physiological relevance of various aspects of mating to oviduct biology and reproductive success. Expanding our knowledge of the mating-associated molecular and cellular events in oviduct cells would undoubtedly facilitate new therapeutic strategies to treat infertility attributable to oviduct pathologies. Mol. Reprod. Dev. 83: 875-883, 2016 (c) 2016 Wiley Periodicals, Inc.</t>
  </si>
  <si>
    <t>Parada-Bustamante, Alexis/I-1127-2013</t>
  </si>
  <si>
    <t>Parada Bustamante, Alexis/0000-0002-3240-4961; Zuniga Condor, Lidia M/0000-0001-8655-1994</t>
  </si>
  <si>
    <t>1040-452X</t>
  </si>
  <si>
    <t>1098-2795</t>
  </si>
  <si>
    <t>10.1002/mrd.22674</t>
  </si>
  <si>
    <t>WOS:000387015400006</t>
  </si>
  <si>
    <t>Singh, RK; Kumar, R; Singh, DP</t>
  </si>
  <si>
    <t>Singh, Rajesh Kumar; Kumar, Rajesh; Singh, Dinesh Pratap</t>
  </si>
  <si>
    <t>Graphene oxide: strategies for synthesis, reduction and frontier applications</t>
  </si>
  <si>
    <t>Till now, several innovative methods have been developed for the synthesis of graphene materials including mechanical exfoliation, epitaxial growth by chemical vapor deposition, chemical reduction of graphite oxide, liquid-phase exfoliation, arc discharge of graphite, in situ electron beam irradiation, epitaxial growth on SiC, thermal fusion, laser reduction of polymers sheets and unzipping of carbon nanotubes etc. Generally large scale graphene nanosheets are reliably synthesized utilizing other forms of graphene-based novel materials, including graphene oxide (GO), exfoliated graphite oxide (by thermal and microwave), and reduced graphene oxide. The degree of GO reduction and number of graphene layers are minimized mainly by applying two approaches via chemical or thermal treatments. The promising and excellent properties together with the ease of processability and chemical functionalization makes graphene based materials especially GO, ideal candidates for incorporation into a variety of advanced functional materials. Chemical functionalization of graphene can be easily achieved, by the introduction of various functional groups. These functional groups help to control and manipulate the graphene surfaces and help to tune the properties of the resulting hybrid materials. Importantly, graphene and its derivatives GO, have been explored in a wide range of applications, such as energy generation/storage, optical devices, electronic and photonic devices, drug delivery, clean energy, and chemical/bio sensors. In this review article, we have incorporated a general introduction of GO, its synthesis, reduction and some selected frontier applications.</t>
  </si>
  <si>
    <t>Kumar, Dr. Rajesh/H-6510-2011; Singh, Rajesh kumar/B-2721-2008; SINGH, DINESH/A-2509-2011</t>
  </si>
  <si>
    <t>Singh, Rajesh kumar/0000-0001-8884-8775; SINGH, DINESH/0000-0002-2893-7749; Kumar, Rajesh/0000-0001-7065-3259</t>
  </si>
  <si>
    <t>10.1039/c6ra07626b</t>
  </si>
  <si>
    <t>WOS:000379442400093</t>
  </si>
  <si>
    <t>Gulppi, M; Pavez, J; Zagal, JH; Sancy, M; Azocar, M; Scholz, F; Páez, MA</t>
  </si>
  <si>
    <t>Gulppi, Miguel; Pavez, Jorge; Zagal, Jose H.; Sancy, Mamie; Azocar, Manuel; Scholz, Fritz; Paez, Maritza A.</t>
  </si>
  <si>
    <t>Stripping voltammetry microprobe (SPV): Substantial improvements of the protocol</t>
  </si>
  <si>
    <t>The recently introduced new electroanalytical protocol of stripping voltammetry microprobe (SPV) has been considerably improved with respect to analytical performance. The determination of the silver ions is shown to be possible by the precipitation of a solution of silver drops on an electrode surface, which is previously moistened with a solution of NaCl. The electrode thus modified, i.e., with the silver chloride precipitate on the surface, is introduced into a chloride electrolyte and is negatively polarized to reduce the silver salt to metallic silver. Whereas this reduction process produces only a broad signal, the following electrochemical oxidation of the silver metal back to AgCl provides a highly sensitive and narrow signal, which lends itself for analysis. The linear range for determination of silver ions following this protocol is 1.4 x 10(-7) to 7.4 x 10(-4) mol L-1 and the detection limit is 4.6 x 10(-8) mol L-1. (C) 2015 Elsevier B.V. All rights reserved.</t>
  </si>
  <si>
    <t>Paez, Maritza/M-2010-2014; Azocar, Manuel/I-1226-2013; Gulppi, Miguel/KTA-6210-2024; zagal, jose/L-9648-2014; PAVEZ, JORGE/K-6904-2014; Sancy, Mamie/L-6270-2014</t>
  </si>
  <si>
    <t>Azocar Guzman, Manuel/0000-0003-1098-4659; PAVEZ, JORGE/0000-0002-5100-6707; paez, maritza/0000-0001-5881-884X; Gulppi, Miguel/0000-0001-6099-4463; Sancy, Mamie/0000-0001-9523-2629</t>
  </si>
  <si>
    <t>10.1016/j.jelechem.2015.03.008</t>
  </si>
  <si>
    <t>WOS:000353860500009</t>
  </si>
  <si>
    <t>Inostrosa-Psijas, A; Gil-Costa, V; Solar, R; Marín, M</t>
  </si>
  <si>
    <t>Daneshtalab, M; Aldinucci, M; Leppanen, V; Lilius, J; Brorsson, M</t>
  </si>
  <si>
    <t>Inostrosa-Psijas, Alonso; Gil-Costa, Veronica; Solar, Roberto; Marin, Mauricio</t>
  </si>
  <si>
    <t>Load Balance Strategies for DEVS Approximated Parallel and Distributed Discrete-Event Simulations</t>
  </si>
  <si>
    <t>23RD EUROMICRO INTERNATIONAL CONFERENCE ON PARALLEL, DISTRIBUTED, AND NETWORK-BASED PROCESSING (PDP 2015)</t>
  </si>
  <si>
    <t>23rd Euromicro International Conference on Parallel, Distributed, and Network-Based Processing (PDP)</t>
  </si>
  <si>
    <t>MAR 04-06, 2015</t>
  </si>
  <si>
    <t>Turku, FINLAND</t>
  </si>
  <si>
    <t>CPS</t>
  </si>
  <si>
    <t>DEVS is a formalism for modeling and analysis of discrete event systems. PDEVS is an extension of DEVS for supporting Parallel and Discrete Event Simulation (PDES). PCD++ is a simulation platform that supports parallel simulations of DEVS models, where the model component allocation in processors is not an automatic process. This can be a time consuming task requiring knowledge of communication patterns among model components. In this paper, we propose and evaluate different allocation strategies devised to improve load balance of parallel DEVS simulations. The experimentation is made on a Web search engine application whose workload is featured by dynamic and unpredictable user query bursts, and high message traffic among processors.</t>
  </si>
  <si>
    <t>Gil-Costa, Veronica/GPT-4785-2022; Marin, Mauricio/GLR-7700-2022; Inostrosa-Psijas, Alonso/AAC-7718-2019; Inostrosa-Psijas, Alonso/A-5827-2018</t>
  </si>
  <si>
    <t>Inostrosa-Psijas, Alonso/0000-0002-2922-0870; Gil-Costa, Veronica/0000-0003-4637-9725; Marin, Mauricio/0000-0003-0662-7149</t>
  </si>
  <si>
    <t>978-1-4799-8490-9</t>
  </si>
  <si>
    <t>10.1109/PDP.2015.13</t>
  </si>
  <si>
    <t>WOS:000380471500050</t>
  </si>
  <si>
    <t>Curilem, M; Vergara, J; San Martin, C; Fuentealba, G; Cardona, C; Huenupan, F; Chacón, M; Khan, MS; Hussein, W; Yoma, NB</t>
  </si>
  <si>
    <t>Curilem, Millaray; Vergara, Jorge; San Martin, Cesar; Fuentealba, Gustavo; Cardona, Carlos; Huenupan, Fernando; Chacon, Max; Salman Khan, M.; Hussein, Walid; Becerra Yoma, Nestor</t>
  </si>
  <si>
    <t>Pattern recognition applied to seismic signals of the Llaima volcano (Chile): An analysis of the events' features</t>
  </si>
  <si>
    <t>JOURNAL OF VOLCANOLOGY AND GEOTHERMAL RESEARCH</t>
  </si>
  <si>
    <t>This paper proposes a computer-based classifier to automatically identify four seismic event classes of the Llaima volcano, one of the most active volcanoes in the Southern Andes, situated in the Araucania Region of Chile. A combination of features that provided good recognition performance in our previous papers concerning the Llaima and Villarica (located 100 km south of Llaima) volcanoes is utilized in order to train the classifiers. These features are extracted from the amplitude, frequency and phase of the seismic signals. Unlike the previous works where fixed length windows were used to obtain the seismic signals, this paper employs signals of variable lengths that span the entire seismic event. The classifiers are implemented using support vector machines. A confidence analysis is also included to improve reliability of the classification. Results indicate that the features used for recognition of the events of Villarica volcano also provide good recognition results for the Llaima volcano, yielding classification exactitude of over 80%. (C) 2014 Elsevier B.V. All rights reserved.</t>
  </si>
  <si>
    <t>Yoma, Nestor/I-8230-2015; san martin, cesar/AAB-2987-2020; Vergara, Jorge/AAU-9466-2020; Hussein, Walid/M-6035-2016; Khan, Muhammad Salman/HLQ-7467-2023</t>
  </si>
  <si>
    <t>Hussein, Walid/0000-0001-5928-6240; Curilem, Millaray/0000-0001-8685-221X; Khan, Muhammad Salman/0000-0001-9709-8179; Vergara, Jorge R./0000-0001-6699-4181; cardona, carlos/0000-0002-6698-647X; Huenupan, Fernando/0000-0002-8145-0251</t>
  </si>
  <si>
    <t>0377-0273</t>
  </si>
  <si>
    <t>1872-6097</t>
  </si>
  <si>
    <t>10.1016/j.jvolgeores.2014.06.004</t>
  </si>
  <si>
    <t>WOS:000340309400011</t>
  </si>
  <si>
    <t>Guerrero, L; Vasquez, M; Barahona, A; Montalvo, S; Borja, R</t>
  </si>
  <si>
    <t>Guerrero, L.; Vasquez, M.; Barahona, A.; Montalvo, S.; Borja, R.</t>
  </si>
  <si>
    <t>Denitrification via Nitrite in a Modified UASB reactor using Chilean zeolite as Microbial Support</t>
  </si>
  <si>
    <t>INTERNATIONAL JOURNAL OF ENVIRONMENTAL RESEARCH</t>
  </si>
  <si>
    <t>The general objective of this study was to develop a highly efficient, economical and integrated technology for the removal of nitrogen compounds through denitrification via nitrite. To achieve this, a modified UASB reactor was designed, set-up and operated using Chilean zeolite as microbial support. The results were compared to a conventional UASB reactor used as control. The volume of each reactor was 2 L. The reactors operated with synthetic wastewater under the same operating conditions (with superficial velocities, v(s), of up to 1 m/h) in the first part of the experiment. Later, during the second part of the experiment, only the modified UASB was used, with v(s) of up to 5.5 m/h. In the first part of the experiment, a higher velocity of denitrification in the reactor with zeolite was obtained. Nitrogen removal at the end of this experimental set for both reactors, with a v(s) lower than 1 m/h, was 87%. In the second stage, the modified UASB reactor operated at v(s) of between 1.5 and 5.5 m/h. Here, it was observed that the removal of nitrite increased significantly. Specifically, at v(s) values of 2.5, 4.0 and 5.5 m/h, a value of the nitrogen loading rate (NLR) of 1.22 kg N-NO2-/m(3)/d was kept constant, achieving nitrogen removal efficiencies of 50%, 65% and 95.5% respectively. This last value proves how highly effective the modified UASB reactor is when operating with v(s) as high as 5.5 m/h.</t>
  </si>
  <si>
    <t>Borja, Rafael/P-5314-2016</t>
  </si>
  <si>
    <t>Borja, Rafael/0000-0002-3699-7223</t>
  </si>
  <si>
    <t>1735-6865</t>
  </si>
  <si>
    <t>2008-2304</t>
  </si>
  <si>
    <t>WIN</t>
  </si>
  <si>
    <t>WOS:000313133700003</t>
  </si>
  <si>
    <t>Monsalve, A; Artigas, A; Castro, F; Colás, R; Houbaert, Y</t>
  </si>
  <si>
    <t>Monsalve G, A.; Artigas A, A.; Castro C, F.; Colas, R.; Houbaert, Y.</t>
  </si>
  <si>
    <t>Characterization of dual-phase steels obtained by hot-rolling</t>
  </si>
  <si>
    <t>REVISTA DE METALURGIA</t>
  </si>
  <si>
    <t>Samples were obtained from C-Mn-Si steel available in the market. Through a hot rolling and coiling process, it was possible to obtain Dual-Phase steel with microstructural and mechanical properties in the theoretical range typical of this material. The thermomechanical process consisted of a strong reduction by multiples pass of hot rolling at temperatures above A(r3), controlled-cooling the sheets during 5 s (at a rate of 20 degrees C/s in the equilibrium range alpha+gamma. Temperature A(r3) measured by differential scanning calorimetry was 890 degrees C. Quenching was then carried out in the coiling temperatures range (500-675 degrees C), cooling the samples in accordance to an established curve that corresponds to the actual cooling curve of a coil. The microstructural characterization of the samples obtained was carried out by optical microscopy, scanning electron microscopy and atomic force microscopy. Additionally, texture measurements were carried out by X-ray diffraction in order to study the resulting orientations due to the finishing rolling temperature and coiling temperature, determining the influence on these parameters of the different texture components. The microstructural results were complemented with the normal and planar anisotropy indexes measured in according to the ASTM E-517 standard. The intensities of the different texture components were correlated with the values of anisotropy indexes, finding that it is possible to obtain only a slightly enhancement in the normal anisotropy index through an appropriate combination of finish rolling and coiling temperatures.</t>
  </si>
  <si>
    <t>Colas, Rafael/0000-0001-6017-7244</t>
  </si>
  <si>
    <t>0034-8570</t>
  </si>
  <si>
    <t>1988-4222</t>
  </si>
  <si>
    <t>10.3989/revmetalmadrid.0914</t>
  </si>
  <si>
    <t>WOS:000290647100001</t>
  </si>
  <si>
    <t>Flores, O; Núñez, H; Pérez, H; Morgan, C; Soto-Moyano, R; Valladares, L; Burgos, H; Olivares, R; Hernández, A</t>
  </si>
  <si>
    <t>Flores, Osvaldo; Nunez, Hector; Perez, Hernan; Morgan, Carlos; Soto-Moyano, Ruben; Valladares, Luis; Burgos, Hector; Olivares, Ricardo; Hernandez, Alejandro</t>
  </si>
  <si>
    <t>β-Adrenoceptor blockade depresses molecular and functional plasticities in the rat neocortex</t>
  </si>
  <si>
    <t>BRAIN RESEARCH BULLETIN</t>
  </si>
  <si>
    <t>beta-Adrenergic receptor stimulation can significantly facilitate synaptic potentiation in the hippocampus and enhance memory processes, but its effect on neocortical plastic mechanisms is less conclusive. In the present study we determined the effect of propranolol, a beta-adrenoceptor antagonist, on long-term potentiation (LTP) induced in vivo in rat occipital cortex by tetanizing stimulation of corpus callosum and observed a dose-dependent inhibition of LTP. We further administered propranolol through mini-osmotic pumps during 3 days, and observed the performance of rats in a complex operant conditioning learning paradigm and assessed the expression of brain-derived neurotrophic factor (BDNF) in the occipital cortex. Propranolol exposure depressed both the number of reinforced responses in the operant conditioning task and BDNF expression in occipital cortex. Taken together, our results suggest that propranolol impairs memory formation by inhibiting cortical LTP induction and associated BDNF expression. (C) 2010 Elsevier Inc. All rights reserved.</t>
  </si>
  <si>
    <t>Hernandez, Alejandro/M-4796-2019; Núñez, Héctor/AEL-0196-2022; BURGOS, HECTOR/ABA-6821-2020</t>
  </si>
  <si>
    <t>Hernandez, Alejandro/0000-0001-9222-6522; Nunez Alarcon, Hector/0009-0006-9234-9446; BURGOS, HECTOR/0000-0001-7705-4347</t>
  </si>
  <si>
    <t>0361-9230</t>
  </si>
  <si>
    <t>JUL 30</t>
  </si>
  <si>
    <t>10.1016/j.brainresbull.2010.05.010</t>
  </si>
  <si>
    <t>WOS:000281329500009</t>
  </si>
  <si>
    <t>Aspée, A; Orrego, A; Alarcón, E; López-Alarcón, C; Poblete, H; González-Nilo, D</t>
  </si>
  <si>
    <t>Aspee, Alexis; Orrego, Alejandra; Alarcon, Emilio; Lopez-Alarcon, Camilo; Poblete, Horacio; Gonzalez-Nilo, Danilo</t>
  </si>
  <si>
    <t>Antioxidant reactivity toward nitroxide probes anchored into human serum albumin. A new model for studying antioxidant repairing capacity of protein radicals</t>
  </si>
  <si>
    <t>BIOORGANIC &amp; MEDICINAL CHEMISTRY LETTERS</t>
  </si>
  <si>
    <t>A new strategy to evaluate accessibility of antioxidants to radical proteins has been developed using nitroxide prefluorescent probes anchored into human serum albumin (HSA). Binding association constants for the nitroxide probes C343T and QT with HSA were 5 x 10(4) and 9 x 10(4) M-1, respectively. Rate constants for the nitroxide reduction by antioxidants in HSA were determined finding k(HSA)/k(buffer) ratio of 0.8, 1.9, and 0.075 for ascorbic acid, Trolox, and caffeic acid, respectively, for the nitroxide C343T reduction. (C) 2009 Elsevier Ltd. All rights reserved.</t>
  </si>
  <si>
    <t>Poblete, Horacio/J-9781-2012; Lopez, Camilo/J-5770-2013; Alarcon, Emilio/A-7285-2011; Poblete, Horacio/E-4974-2012; Gonzalez Nilo, Fernando Danilo/M-5671-2016</t>
  </si>
  <si>
    <t>Poblete, Horacio/0000-0003-2650-3565; Gonzalez Nilo, Fernando Danilo/0000-0001-6857-3575; Lopez, Camilo/0000-0002-0174-8972</t>
  </si>
  <si>
    <t>0960-894X</t>
  </si>
  <si>
    <t>1464-3405</t>
  </si>
  <si>
    <t>NOV 15</t>
  </si>
  <si>
    <t>10.1016/j.bmcl.2009.09.070</t>
  </si>
  <si>
    <t>WOS:000271029600028</t>
  </si>
  <si>
    <t>Silva, L; Plaza, A; Romero, J; Sanchez, J; Rios, GM</t>
  </si>
  <si>
    <t>Silva, L.; Plaza, A.; Romero, J.; Sanchez, J.; Rios, G. M.</t>
  </si>
  <si>
    <t>Characterization of MFI zeolite membranes by means of permeability determination of near critical and supercritical CO2</t>
  </si>
  <si>
    <t>Zeolites are inorganic materials with intrinsic microporous properties. Basically they are aluminasilicates constituted from a three dimensional network of SiO4 and AlO4 tetrahedra. This type of materials may have very interesting applications like adsorbents or molecular sieves. In this study, mass transfer proper-ties of supported MFI zeolite membranes at high pressure are established using a new experimental methodology. The aim of this study was the analysis of the mass transfer of a compressed carbon dioxide through microporous zeolite membranes in order to characterize its structural parameters, identifying mass transfer mechanisms under high pressure conditions. This type of materials can be used like molecular sieves, since they present a crystalline structure with interstitial micropores of a mean pore diameter of 0.55 nm. For this purpose, we studied the mass transfer of high pressure CO2 through microporous MFI zeolite membranes using a new experimental methodology in order to determine the permeance of carbon dioxide using an original apparatus operating in transient state. Carbon dioxide is used in experiments taking into account several applications reported in the literature coupling recovery or separation of this compound from gaseous solutions with inorganic molecular sieves. Values of flux (mol m(-2) s(-1)) and permeance (mol m(-2) s(-1) Pa-1) have been obtained experimentally. This new experimental device allows estimating permeance values between 3.59.10(-9) and 7.51.10(-7) mol m(-2) s(-1) Pa-1) when the values of feed pressure are ranged between 3 and 14 MPa and the temperature varies between 25 and 100 degrees C. These values are coherent with the microscopic nature of pores, showing that the zeolite layer deposed on the macroporous support was synthesized without macroporous defaults. An activated diffusion through the micropores might be identified in the gas phase, but under supercritical conditions (P &gt; P-c, T &gt; T-c) an irreversible modification of transport properties was observed. This behavior was explained by a limited mechanical resistance of the membrane at high pressure conditions. In supercritical conditions. mass transfer could be controlled by a combination of diffusion through mesoscopic and microscopic porosity.</t>
  </si>
  <si>
    <t>Romero, Julio/I-6705-2013; Sanchez-Marcano, Jose/E-1445-2012</t>
  </si>
  <si>
    <t>Sanchez-Marcano, Jose/0000-0003-1783-2092; Romero, Julio/0000-0002-1229-1592; Plaza, Andrea/0000-0001-9475-007X</t>
  </si>
  <si>
    <t>WOS:000254056500017</t>
  </si>
  <si>
    <t>Muñoz, O; Bastias, JM; Araya, M; Morales, A; Orellana, C; Rebolledo, R; Velez, D</t>
  </si>
  <si>
    <t>Estimation of the dietary intake of cadmium, lead, mercury, and arsenic by the population of Santiago (Chile) using a Total Diet Study</t>
  </si>
  <si>
    <t>FOOD AND CHEMICAL TOXICOLOGY</t>
  </si>
  <si>
    <t>Dietary intake of arsenic (As), cadmium (Cd), mercury (Hg), and lead (Pb) by the population of Santiago (Chile) was determined using a Total Diet Study in the market basket modality. After conducting a survey of the foods consumed in the last 24 h, the most consumed food products were included in the basket. Subsequently, they were cooked or prepared according to typical Chilean procedures and grouped into 17 food categories according to their chemical characteristics. The fish and shellfish group had the highest contents of As (13 51 ng/g wet weight, ww), Cd (277 ng/g ww), and Hg (48 ng/g ww), while the sugar group had the highest content of Pb (251 ng/g ww). For a person with a body weight of 68 kg, the dietary intakes of As (77 mu g/day), Cd (20 mu g/day), Hg (5 mu g/day), and Pb (206 mu g/day) are lower than the provisional tolerable weekly intake values established by the FAO/WHO. Consequently, the total intakes of As, Cd, Hg, and Ph in Santiago (Chile) are within the limits estimated as safe. (c) 2005 Elsevier Ltd. All rights reserved.</t>
  </si>
  <si>
    <t>Velez, Dinoraz/H-4255-2012; Munoz, Ociel/K-2951-2016</t>
  </si>
  <si>
    <t>Velez Pacios, Dinoraz/0000-0001-8679-5622; Munoz, Ociel/0000-0002-2445-4336</t>
  </si>
  <si>
    <t>0278-6915</t>
  </si>
  <si>
    <t>1873-6351</t>
  </si>
  <si>
    <t>10.1016/j.fct.2005.05.006</t>
  </si>
  <si>
    <t>WOS:000232388300007</t>
  </si>
  <si>
    <t>Bridi, R; Latini, A; Braum, CA; Zorzi, GK; Wajner, M; Lissi, E; Dutra, CS</t>
  </si>
  <si>
    <t>Evaluation of the mechanisms involved in leucine-induced oxidative damage in cerebral cortex of young rats</t>
  </si>
  <si>
    <t>Maple syrup urine disease (MSUD) is a metabolic disorder caused by the deficiency of the activity of the mitochondrial enzyme complex branched-chain L-2-keto acid dehydrogenase. The metabolic block results in tissues and body fluid accumulation of the branched-chain amino acids leucine (Leu), isoleucine and valine, as well as of their respective alpha-keto acids. Neurological sequelae are usually present in MSUD, but the pathophysiologic mechanisms of neurotoxicity are still poorly known. It was previously demonstrated that Leu elicits oxidative stress in rat brain. In the present study we investigated the possible mechanisms involved in Leu-induced oxidative damage. We observed a significant attenuation of Leu-elicited increase of thiobarbituric acid-reactive substances (TBA-RS) measurement when cortical homogenates were incubated in the presence of the free radical scavengers ascorbic acid plus trolox, dithiothreitol, glutathione, and superoxide dismutase, suggesting a probable involvement of superoxide and hydroxyl radicals in this effect. In contrast, the use of N-omega-nitro-L-arginine methyl ester or catalase (CAT) did not affect TBA-RS values. We also demonstrated an inhibitory effect of Leu on the activities of the antioxidant enzymes CAT and gluthathione peroxidase, as well as a significant reduction in the membrane-protein thiol content from mitochondrial enriched preparations. Furthermore, dichlorofluorescein levels were increased although not significantly by Leu. Taken together, our present data indicate that an unbalance between free radical formation and inhibition of critical enzyme activities may explain the mechanisms involved in the Leu-induced oxidative damage.</t>
  </si>
  <si>
    <t>Latini, Alexandra/P-2637-2019; Bridi, Raquel/JCN-9916-2023; Latini, Alexandra/J-8706-2014; Wajner, Moacir/K-8763-2015; Dutra-Filho, Carlos/G-7979-2015; bridi, raquel/F-1572-2015</t>
  </si>
  <si>
    <t>Latini, Alexandra/0000-0003-4255-3589; Wajner, Moacir/0000-0001-6372-1807; Dutra-Filho, Carlos/0000-0002-6129-8758; bridi, raquel/0000-0002-3891-5770</t>
  </si>
  <si>
    <t>10.1080/10715760400022350</t>
  </si>
  <si>
    <t>WOS:000227280500009</t>
  </si>
  <si>
    <t>Vargas, P; Valdes, JE; Arista, NR</t>
  </si>
  <si>
    <t>Energy loss of slow protons channeled in Au</t>
  </si>
  <si>
    <t>The electronic energy loss for low-velocity protons channeled in the [100] direction of single-crystal Au is calculated. The spatial distribution of valence electronic density in Au is calculated by using the tight-binding linear muffin-tin method [O. K. Andersen and O. Jepsen, Phys. Rev. Lett. 53, 2571 (1984); O. K. Anderson, Z. Pawlowska, and O. Jepsen, Phys. Rev. B 34, 5253 (1986)]. The proton trajectories are determined by numerical integration of the classical equation of motion, and the energy loss is evaluated by using a quantum-mechanical transport cross-section approach with a self-consistent model based on Friedel's sum rule. The results allow us to describe the nonlinear behavior of energy loss with ion velocity observed experimentally.</t>
  </si>
  <si>
    <t>Vargas, Patricio/AAL-2633-2020; Valdes, Jorge/IYJ-2578-2023</t>
  </si>
  <si>
    <t>vargas, patricio/0000-0001-9235-9747; Valdes Leyton, Jorge Eduardo/0000-0001-5465-7567</t>
  </si>
  <si>
    <t>10.1103/PhysRevA.53.1638</t>
  </si>
  <si>
    <t>WOS:A1996TY08700053</t>
  </si>
  <si>
    <t>LUNDIN, CD; LEE, CH; MENON, R; OSORIO, V</t>
  </si>
  <si>
    <t>WELDABILITY EVALUATIONS OF MODIFIED 316 AND 347 AUSTENITIC STAINLESS-STEELS .1. PRELIMINARY-RESULTS</t>
  </si>
  <si>
    <t>WELDING JOURNAL</t>
  </si>
  <si>
    <t>0043-2296</t>
  </si>
  <si>
    <t>S35</t>
  </si>
  <si>
    <t>S46</t>
  </si>
  <si>
    <t>WOS:A1988L956500011</t>
  </si>
  <si>
    <t>INFANTE, CE; CARRASCO, B</t>
  </si>
  <si>
    <t>STOICHIOMETRY AND OXYGEN STRUCTURE OF FE SILLENITE</t>
  </si>
  <si>
    <t>10.1016/0167-577X(86)90095-9</t>
  </si>
  <si>
    <t>WOS:A1986D279300004</t>
  </si>
  <si>
    <t>Carrizo, GT; Quintana, CDG; Atenas, R; Rocuant, E; Quijada, C; Villalobos, M</t>
  </si>
  <si>
    <t>Carrizo, G. Tobar; Quintana, C. D. Gonzalez; Atenas, R.; Rocuant, E.; Quijada, C.; Villalobos, M.</t>
  </si>
  <si>
    <t>Chilean Network of Rheumatic Patients</t>
  </si>
  <si>
    <t>RESULTS OF THE FIRST ONLINE SURVEY OFTHE CHILEAN NETWORK OF RHEUMATIC PATIENTS</t>
  </si>
  <si>
    <t>ANNALS OF THE RHEUMATIC DISEASES</t>
  </si>
  <si>
    <t>European Congress of Rheumatology</t>
  </si>
  <si>
    <t>JUN 12-15, 2024</t>
  </si>
  <si>
    <t>Vienna, AUSTRIA</t>
  </si>
  <si>
    <t>Villalobos-Cid, Manuel/AFK-0866-2022</t>
  </si>
  <si>
    <t>0003-4967</t>
  </si>
  <si>
    <t>1468-2060</t>
  </si>
  <si>
    <t>POS1452-PA</t>
  </si>
  <si>
    <t>10.1136/annrheumdis-2024-eular.4034</t>
  </si>
  <si>
    <t>WOS:001434501700016</t>
  </si>
  <si>
    <t>Armijo, M; Silva, C; Barrias, P; Gunther, G; Sandoval-Altamirano, C</t>
  </si>
  <si>
    <t>Armijo, Maryan; Silva, Christian; Barrias, Pablo; Gunther, German; Sandoval-Altamirano, Catalina</t>
  </si>
  <si>
    <t>A new Rose Bengal glycopolymer: Photosensitization in two stages</t>
  </si>
  <si>
    <t>Antimicrobial photodynamic therapy is a promising alternative to deal with antimicrobial resistance. However, both the low specificity and low local oxygen molecular concentrations decrease the antimicrobial efficiency limiting its use. An interesting approach to the problem is the use of molecules that can react reversibly with singlet oxygen by the formation of reversible endoperoxides, such as naphthalene, anthracene and pyridone derivatives. Particularly, the use of these molecules with mannosyl derivatives allow the interaction with adhesins presented on pili and fimbriae improving the localization near to bacteria. In this work, we synthesized polymeric nanoparticles able to generate singlet oxygen (under both irradiation and dark conditions) in the vicinity of a center capable of recognizing mannose and oxidize nearby biomolecules. Rose Bengal was used as photosensitizer due to its attractive photophysical properties (vis absorption, high singlet oxygen generation) and biocompatibility. The polymeric nanoparticles were obtained by radical polymerization using polyvinyl alcohol as a template, showing sizes around 300 nm with negative zeta potential by dynamic light scattering. The singlet oxygen generation was monitored following DPBF consumption and showed to be dependent on the amount of pyridone in the feed of polymers. In addition, the release of singlet oxygen was also dependent on pyridone concentration showing a slower rate constant at 40 % pyridone, while for contents of 10 % and 60 % higher rate constants were observed. The specific interaction of glycopolymers with Concanavalin A was demonstrated by successful agglutination assays, but also a low participation of unspecific interactions for polymers without</t>
  </si>
  <si>
    <t>Barrias, Pablo/V-7218-2018; Gunther, German/I-1028-2013</t>
  </si>
  <si>
    <t>Barrias, Pablo/0000-0003-4072-4436; Gunther, German/0000-0002-4733-8426; Sandoval-Altamirano, Catalina/0000-0002-8550-3218</t>
  </si>
  <si>
    <t>10.1016/j.saa.2024.125391</t>
  </si>
  <si>
    <t>WOS:001355968500001</t>
  </si>
  <si>
    <t>Boulett, A; Roa, K; Pizarro, G; Sánchez, J</t>
  </si>
  <si>
    <t>Boulett, Andres; Roa, Karina; Pizarro, Guadalupe; Sanchez, Julio</t>
  </si>
  <si>
    <t>Nano-composites based on ligno-sulfonate and titanium oxide to study methylene blue removal and photo-degradation</t>
  </si>
  <si>
    <t>The dyes in minimum concentrations are toxic, cause visual and photosynthetic contamination in natural waters. For this reason, in this study, methylene blue (MB) adsorbent nano-composites were prepared based on variable percentages of sodium ligno-sulfonate (LS) (0.00-30.0 wt%) and titanium oxide nanoparticles (Np TiO2) (0.00-10.0 wt%) in sodium poly (4-styrene sulfonate) (P(SSNa)). Chemical, morphological, and thermal techniques corroborated the presence of the main functional groups of the nano-composites, with surfaces formed by macro-pores, and that of Np TiO2 showed an increase in the thermal stability of the material. On the other hand, from studies of hydration of the nano-composites, percentages higher than 4000% were obtained with low dependence on pH effects, which could benefit the diffusion of the pollutant to the adsorbent in its adsorption. In relation to this, the MB retention capacity was evaluated by experimental parameters, such as % LS, % Np TiO2, pH, presence of ionic strength, contact time, MB concentration and amount of nano-composites. A maximum MB adsorption efficiency of 94.8 % and a capacity of 2886 mg g- 1 were obtained using the P(SSNa)-based system with 20% LS and 10% Np TiO2. The obtained results were fitted to the pseudo-second order kinetic model and Langmuir and Redlich-Peterson isotherm models. In addition, through the synergistic effect of adsorption and photo-degradation, 97.5% of the MB was removed within 1 h of irradiation.</t>
  </si>
  <si>
    <t>PIZARRO, GUADALUPE/V-3353-2017; Sanchez, Julio/AEO-4360-2022</t>
  </si>
  <si>
    <t>PIZARRO, GUADALUPE/0000-0003-2063-1072; Sanchez, Julio/0000-0003-4245-0096</t>
  </si>
  <si>
    <t>DEC 5</t>
  </si>
  <si>
    <t>10.1016/j.colsurfa.2024.135055</t>
  </si>
  <si>
    <t>WOS:001296848700001</t>
  </si>
  <si>
    <t>Hernani-Morales, C; Alvarado, G; Albarrán-Arriagada, F; Vives-Gilabert, Y; Solano, E; Martín-Guerrero, JD</t>
  </si>
  <si>
    <t>Hernani-Morales, Carlos; Alvarado, Gabriel; Albarran-Arriagada, Francisco; Vives-Gilabert, Yolanda; Solano, Enrique; Martin-Guerrero, Jose D.</t>
  </si>
  <si>
    <t>Machine Learning for Maximizing the Memristivity of Single and Coupled Quantum Memristors</t>
  </si>
  <si>
    <t>ADVANCED QUANTUM TECHNOLOGIES</t>
  </si>
  <si>
    <t>Machine learning (ML) methods are proposed to characterize the memristive properties of single and coupled quantum memristors. It is shown that maximizing the memristivity leads to large values in the degree of entanglement of two quantum memristors, unveiling the close relationship between quantum correlations and memory. The results strengthen the possibility of using quantum memristors as key components of neuromorphic quantum computing. Machine learning (ML) methods are proposed to characterize the memristive properties of single and coupled quantum memristors. It is shown that maximizing the memristivity leads to large values in the degree of entanglement of two quantum memristors, unveiling the close relationship between quantum correlations and memory. The results strengthen the possibility of using quantum memristors as key components of neuromorphic quantum computing. image</t>
  </si>
  <si>
    <t>Vives-Gilabert, Yolanda/ABB-7461-2021; Martín-Guerrero, José D./L-8146-2014</t>
  </si>
  <si>
    <t>Vives-Gilabert, Yolanda/0000-0002-3744-5893</t>
  </si>
  <si>
    <t>2511-9044</t>
  </si>
  <si>
    <t>2024 APR 14</t>
  </si>
  <si>
    <t>10.1002/qute.202300294</t>
  </si>
  <si>
    <t>WOS:001201622500001</t>
  </si>
  <si>
    <t>Aguilera, S; Flores, E; Segura, R; Barrientos, H; Márquez, P; García, C; Matamala-Troncoso, F; Pizarro, J; Aguirre, M</t>
  </si>
  <si>
    <t>Aguilera, Scarlett; Flores, Erick; Segura, Rodrigo; Barrientos, Herna; Marquez, Paulina; Garcia, Camilo; Matamala-Troncoso, Felipe; Pizarro, Jaime; Aguirre, Maria</t>
  </si>
  <si>
    <t>A simple electroanalytical methodology for determination of zaleplon by adsorptive stripping voltammetry in oral fluids</t>
  </si>
  <si>
    <t>A glassy carbon electrode (GCE), modified with reduced graphene oxide (ErGO) (ErGO/GCE) was prepared for the determination of zaleplon, a common hypnotic pharmaceutical in synthetics and oral fluids. The modified electrode was evaluated using cyclic voltammetry, Raman spectroscopy, and scanning electrochemical microscopy (SECM). The electroanalytical studies were developed by square wave adsorptive stripping voltammetry (SW-AdSV) and parameters such as pH, accumulation potential, deposition time, and current response were optimized to determine zaleplon in Britton Robinson buffer. The validation was made using saliva-certified reference materials (Fusayama/Meyer Artificial Saliva and Artificial Saliva for Pharmaceutical Research showing good accuracy and reproducibility. The ErGO/GCE system showed a linear response between 10 and 130 mu g/L at pH 10.0. The limit of detection was 5.30 mu g L-1. The methodology was applied in the determination of zaleplon in saliva samples, obtaining excellent results (RSD &lt; 10%), allowing the sensitive detection of zaleplon.</t>
  </si>
  <si>
    <t>Segura, Rodrigo/J-6696-2016; Aguirre, Maria/A-3935-2013; Flores, Erick/GPK-2155-2022</t>
  </si>
  <si>
    <t>Aguirre, Maria/0000-0003-1134-4469; Matamala, Felipe/0000-0002-6584-017X; Segura, Rodrigo/0000-0001-5747-2357; Flores, Dr. Erick/0000-0002-2573-6650</t>
  </si>
  <si>
    <t>10.1016/j.microc.2023.109256</t>
  </si>
  <si>
    <t>WOS:001070676800001</t>
  </si>
  <si>
    <t>Yoon, PH; López, RA; Zaheer, S</t>
  </si>
  <si>
    <t>Yoon, P. H.; Lopez, R. A.; Zaheer, S.</t>
  </si>
  <si>
    <t>Bi-Kappa Proton Mirror and Cyclotron Instabilities in the Solar Wind</t>
  </si>
  <si>
    <t>ASTROPHYSICAL JOURNAL</t>
  </si>
  <si>
    <t>The charged particles in the solar wind are often observed to possess a nonthermal tail in the velocity distribution function, a feature that can be fitted with the Kappa model. The anisotropic, or bi-Kappa, model of protons, electrons, and other charged particles is thus adopted in the literature for interpreting the data as well as in the context of the analysis of wave-particle interactions. The present paper develops an approximate but efficient theory of the mirror and cyclotron instabilities excited by the bi-Kappa protons in the solar wind. A velocity moment-based quasi-linear theory of these instabilities is also formulated in order to investigate the saturation behavior. Applications of the formalism are made for instabilities close to the marginally unstable state, which is typical of the solar wind near 1 au.</t>
  </si>
  <si>
    <t>Yoon, Peter/E-2395-2013; Lopez, Rodrigo/H-7576-2013</t>
  </si>
  <si>
    <t>Lopez, Rodrigo/0000-0003-3223-1498; zaheer, sadia/0000-0001-7401-6193</t>
  </si>
  <si>
    <t>0004-637X</t>
  </si>
  <si>
    <t>1538-4357</t>
  </si>
  <si>
    <t>10.3847/1538-4357/accff9</t>
  </si>
  <si>
    <t>WOS:001009065500001</t>
  </si>
  <si>
    <t>Rubio, C; Alfaro, M; Mejia-Giraldo, A; Fuertes, G; Mosquera, R; Vargas, M</t>
  </si>
  <si>
    <t>Rubio, Carlos; Alfaro, Miguel; Mejia-Giraldo, Armando; Fuertes, Guillermo; Mosquera, Rodolfo; Vargas, Manuel</t>
  </si>
  <si>
    <t>Multivariate analysis in data science for the geospatial distribution of the breast cancer mortality rate in Colombia</t>
  </si>
  <si>
    <t>FRONTIERS IN ONCOLOGY</t>
  </si>
  <si>
    <t>This research is framed in the area of biomathematics and contributes to the epidemiological surveillance entities in Colombia to clarify how breast cancer mortality rate (BCM) is spatially distributed in relation to the forest area index (FA) and circulating vehicle index (CV). In this regard, the World Health Organization has highlighted the scarce generation of knowledge that relates mortality from tumor diseases to environmental factors. Quantitative methods based on geospatial data science are used with cross-sectional information from the 2018 census; it's found that the BCM in Colombia is not spatially randomly distributed, but follows cluster aggregation patterns. Under multivariate modeling methods, the research provides sufficient statistical evidence in terms of not rejecting the hypothesis that if a spatial unit has high FA and low CV, then it has significant advantages in terms of lower BCM.</t>
  </si>
  <si>
    <t>Fuertes, Guillermo/Q-2341-2016; MOSQUERA NAVARRO, RODOLFO/AFU-0077-2022</t>
  </si>
  <si>
    <t>MOSQUERA NAVARRO, RODOLFO/0000-0003-3671-8797</t>
  </si>
  <si>
    <t>2234-943X</t>
  </si>
  <si>
    <t>JAN 6</t>
  </si>
  <si>
    <t>10.3389/fonc.2022.1055655</t>
  </si>
  <si>
    <t>WOS:000916461000001</t>
  </si>
  <si>
    <t>Rojas, V; Cáceres, G; López, S; Henríquez, R; Grez, P; Navarrete, E; Herrera, F; Caballero, A; Gómez-Cámer, JL; Munoz, E</t>
  </si>
  <si>
    <t>Rojas, Victor; Caceres, Gustavo; Lopez, Silvana; Henriquez, Rodrigo; Grez, Paula; Navarrete, Emilio; Herrera, Francisco; Caballero, Alvaro; Luis Gomez-Camer, Juan; Munoz, Eduardo</t>
  </si>
  <si>
    <t>Novel Rechargeable Lithium-Ion Battery Based on a Cathode of Potassium-Cobalt(II) Octacyanomolybdate</t>
  </si>
  <si>
    <t>In this work, the influence of the synthesis parameters (concentration, temperature, and reaction time) on the electrochemical performance of potassium-cobalt(II) octacyanomolybdate (KCoOCM) as a cathode material for its application in lithium-ion batteries was studied. The compound was synthesized hydrothermally using a chemometric approach and characterized by different techniques. The KCoOCM showed a change in its morphology from prismatic structures to nanorods according to the synthesis conditions. Additionally, there was an influence on the specific capacity as a function of the synthesis parameters, i.e., precursor's concentrations, temperature, and reaction time. The capacity values reached by the material was 50 mAh g(-1), which is close to the theoretical value of the KCoOCM (60 mAh g(-1)). The statistical method employed would allow finding a condition where it is possible to maximize the capacity value of the material, which has been scarcely studied in this area. Finally, the performance of a lithium-ion battery based on a cathode of KCoOCM is reported for the first time in literature.</t>
  </si>
  <si>
    <t>Caballero, Alvaro/L-2713-2017; Gómez-Cámer, Juan/O-5194-2019; Henríquez, Rodrigo/E-2155-2014</t>
  </si>
  <si>
    <t>Rojas, Victor/0000-0002-5009-0046; Munoz, Eduardo/0000-0002-9844-961X; Gomez-Camer, Juan Luis/0000-0001-8127-5046; Caceres Inzunza, Gustavo Alejandro/0000-0002-4483-2672</t>
  </si>
  <si>
    <t>10.1149/1945-7111/ac3113</t>
  </si>
  <si>
    <t>WOS:000712598500001</t>
  </si>
  <si>
    <t>Molinet, J; Salinas, F; Guillamón, JM; Martinez, C</t>
  </si>
  <si>
    <t>Molinet, Jennifer; Salinas, Francisco; Guillamon, Jose Manuel; Martinez, Claudio</t>
  </si>
  <si>
    <t>GTR1 Affects Nitrogen Consumption and TORC1 Activity in Saccharomyces cerevisiae Under Fermentation Conditions</t>
  </si>
  <si>
    <t>The TORC1 pathway coordinates cell growth in response to nitrogen availability present in the medium, regulating genes related to nitrogen transport and metabolism. Therefore, the adaptation of Saccharomyces cerevisiae to changes in nitrogen availability implies variations in the activity of this signaling pathway. In this sense, variations in nitrogen detection and signaling pathway are one of the main causes of differences in nitrogen assimilation during alcoholic fermentation. Previously, we demonstrated that allelic variants in the GTR1 gene underlying differences in ammonium and amino acids consumption between Wine/European (WE) and West African (WA) strains impact the expression of nitrogen transporters. The GTR1 gene encodes a GTPase that participates in the EGO complex responsible for TORC1 activation in response to amino acids availability. In this work, we assessed the role of the GTR1 gene on nitrogen consumption under fermentation conditions, using a high sugar concentration medium with nitrogen limitation and in the context of the WE and WA genetic backgrounds. The gtr11 mutant presented a reduced TORC1 activity and increased expression levels of nitrogen transporters, which in turn favored ammonium consumption, but decreased amino acid assimilation. Furthermore, to identify the SNPs responsible for differences in nitrogen consumption during alcoholic fermentation, we studied the polymorphisms present in the GTR1 gene. We carried out swapping experiments for the promoter and coding regions of GTR1 between the WE and WA strains. We observed that polymorphisms in the coding region of the WA GTR1 gene are relevant for TORC1 activity. Altogether, our results highlight the role of the GTR1 gene on nitrogen consumption in S. cerevisiae under fermentation conditions.</t>
  </si>
  <si>
    <t>Molinet, Jennifer/AAI-3636-2020; Salinas, Francisco/AAP-9439-2020; Martinez, Claudio/MGS-9961-2025; Guillamon, Jose/AAB-4251-2019; Guillamon, Jose/I-2040-2015; Salinas, Francisco/W-3269-2017</t>
  </si>
  <si>
    <t>Guillamon, Jose/0000-0001-5414-0787; Molinet, Jennifer/0000-0001-9716-4455; Salinas, Francisco/0000-0002-8391-8145</t>
  </si>
  <si>
    <t>10.3389/fgene.2020.00519</t>
  </si>
  <si>
    <t>WOS:000540599800001</t>
  </si>
  <si>
    <t>Espinosa-Mendez, C; Gorigoitia, J; Vieito, J</t>
  </si>
  <si>
    <t>Espinosa-Mendez, Christian; Gorigoitia, Juan; Vieito, Joao</t>
  </si>
  <si>
    <t>Stock exchange mergers: a dynamic correlation analysis on Euronext</t>
  </si>
  <si>
    <t>PORTUGUESE ECONOMIC JOURNAL</t>
  </si>
  <si>
    <t>This article investigates the role of Stock Exchange Mergers on stock market return co-movements. Using a dynamic conditional correlation model proposed by Engle (J Bus Econ Stat 20:339-350, 2002), the Euronext Stock Exchange was analyzed, and findings point to an increase in correlation levels of stock return among Euronext unitholders. In short, Euronext stock exchange mergers increased interdependency among these markets, which means that the possibility of diversifying investment risk in these markets is reduced.</t>
  </si>
  <si>
    <t>Espinosa-Méndez, Christian/G-5177-2019; Vieito, Joao Paulo/J-5191-2012</t>
  </si>
  <si>
    <t>Vieito, Joao Paulo/0000-0002-0899-4930; Espinosa-Mendez, Christian/0000-0001-6499-2414</t>
  </si>
  <si>
    <t>1617-982X</t>
  </si>
  <si>
    <t>1617-9838</t>
  </si>
  <si>
    <t>10.1007/s10258-019-00160-5</t>
  </si>
  <si>
    <t>WOS:000525757800001</t>
  </si>
  <si>
    <t>Valenzuela, A; Arellano, C; Tapia, JE</t>
  </si>
  <si>
    <t>Valenzuela, Andres; Arellano, Claudia; Tapia, Juan E.</t>
  </si>
  <si>
    <t>Towards an Efficient Segmentation Algorithm for Near-Infrared Eyes Images</t>
  </si>
  <si>
    <t>IEEE ACCESS</t>
  </si>
  <si>
    <t>Semantic segmentation has been widely used for several applications, including the detection of eye structures. This is used in tasks such as eye-tracking and gaze estimation, which are useful techniques for human-computer interfaces, salience detection, and Virtual reality (VR), amongst others. Most of the state of the art techniques achieve high accuracy but with a considerable number of parameters. This article explores alternatives to improve the efficiency of the state of the art method, namely DenseNet Tiramisu, when applied to NIR image segmentation. This task is not trivial; the reduction of block and layers also affects the number of feature maps. The growth rate (k) of the feature maps regulates how much new information each layer contributes to the global state, therefore the trade-off amongst grown rate (k), IOU, and the number of layers needs to be carefully studied. The main goal is to achieve a light-weight and efficient network with fewer parameters than traditional architectures in order to be used for mobile device applications. As a result, a DenseNet with only three blocks and ten layers is proposed (DenseNet10). Experiments show that this network achieved higher IOU rates when comparing with Encoder-Decoder, DensetNet56-67-103, MaskRCNN, and DeeplabV3+ models in the Facebook database. Furthermore, this method reached 8th place in The Facebook semantic segmentation challenge with 0.94293 mean IOU and 202.084 parameters with a final score of 0.97147. This score is only 0,001 lower than the first place in the competition. The sclera was identified as the more challenging structure to be segmented.</t>
  </si>
  <si>
    <t>Tapia, Juan/KVZ-0330-2024; Valenzuela, Ali/AAU-2245-2021; Arellano, Claudia/JVN-6305-2024</t>
  </si>
  <si>
    <t>Valenzuela, Andres/0000-0002-8172-1541; arellano, claudia/0000-0002-3565-0308; Tapia, Juan/0000-0001-9159-4075</t>
  </si>
  <si>
    <t>2169-3536</t>
  </si>
  <si>
    <t>10.1109/ACCESS.2020.3025195</t>
  </si>
  <si>
    <t>WOS:000575926200001</t>
  </si>
  <si>
    <t>Morelo, G; Giménez, B; Márquez-Ruiz, G; Holgado, F; Romero-Hasler, P; Soto-Bustamante, E; Robert, P</t>
  </si>
  <si>
    <t>Morelo, Guibeth; Gimenez, Begona; Marquez-Ruiz, Gloria; Holgado, Francisca; Romero-Hasler, Patricio; Soto-Bustamante, Eduardo; Robert, Paz</t>
  </si>
  <si>
    <t>Influence of the Physical State of Spray-Dried Flavonoid-Inulin Microparticles on Oxidative Stability of Lipid Matrices</t>
  </si>
  <si>
    <t>ANTIOXIDANTS</t>
  </si>
  <si>
    <t>The effect of the physical state of flavonoid-inulin microparticles (semi-crystalline/amorphous) on the oxidative stability of lipid matrices was studied. Epicatechin (E) and quercetin (Q) microparticles with inulin were formulated at two infeed temperatures (15 degrees C and 90 degrees C) by spray drying. X-ray diffraction analyses showed that flavonoid-inulin microparticles obtained at feed temperature of 15 degrees C were semi-crystalline (E-In-15, 61.2% and Q-In-15, 60%), whereas those at 90 degrees C were amorphous (Q-In-90, 1.73 and Q-In-90 2.30%). Semi-crystalline state of flavonoid-inulin microparticles enhanced the EE (68.8 and 67.8% for E and Q, respectively) compared to amorphous state (41.6 and 51.1% for E and Q, respectively). However, amorphous Q-microparticles showed the highest antioxidant activity both in methyl linoleate and sunflower oil, increasing the induction period and decreasing the polar compounds and polymer triglyceride formation during long-term oxidation study. Therefore, the physical state of spray-dried flavonoid-inulin microparticles may determine their antioxidant activity in lipid matrices.</t>
  </si>
  <si>
    <t>Holgado, Francisca/AAC-1822-2020; Romero-Hasler, Patricio/T-7993-2019; Robert, Paz/G-8198-2014; Romero-Hasler, Patricio/P-6631-2018; Marquez-Ruiz, Gloria/B-6925-2013</t>
  </si>
  <si>
    <t>Romero-Hasler, Patricio/0000-0002-9211-2514; Soto-Bustamante, Eduardo/0000-0002-0735-5715; Morelo Hernandez, Guibeth Liliana/0000-0003-0814-6162; HOLGADO, FRANCISCA/0000-0003-4950-5950; Marquez-Ruiz, Gloria/0000-0002-8548-837X</t>
  </si>
  <si>
    <t>2076-3921</t>
  </si>
  <si>
    <t>10.3390/antiox8110520</t>
  </si>
  <si>
    <t>WOS:000502268400016</t>
  </si>
  <si>
    <t>Gao, M; Liu, X; Vanin, LP; Sun, TP; Cheng, X; Gordillo, L</t>
  </si>
  <si>
    <t>Gao, Ming; Liu, Xiao; Vanin, Luana Pasetti; Sun, Ting-Pi; Cheng, Xiang; Gordillo, Leonardo</t>
  </si>
  <si>
    <t>Dynamics and Scaling of Explosion Cratering in Granular Media</t>
  </si>
  <si>
    <t>AICHE JOURNAL</t>
  </si>
  <si>
    <t>Granular cratering is a ubiquitous phenomenon occurring in various natural and industrial contexts. Although impact-induced granular cratering has been extensively studied, fewer experiments have been conducted on granular cratering via low-energy explosions. here, we study the dynamics and scaling of explosion granular cratering by injecting short pulses of pressurized air in quasi-two-dimensional granular media. Through an analysis of the dynamics of explosion processes at different explosion pressures, explosion durations, and burial depths, we identify two regimes, the bubbling and the eruption regimes, in explosion granular cratering. Our experiments explore the distinctive dynamics and crater morphologies of these regimes and show the energy scaling of the size of explosion craters. We compare high-energy and low-energy explosion cratering as well as explosion and impact cratering in terms of their energy scalings. Our work illustrates complex granular flows in explosion cratering and provides new insights into the general scaling of granular cratering processes. (C) 2018 American Institute of Chemical Engineers</t>
  </si>
  <si>
    <t>Gao, Ming/HJB-1248-2022; Cheng, Xiang/G-5704-2017; GORDILLO, Leonardo/I-8215-2014</t>
  </si>
  <si>
    <t>GORDILLO, Leonardo/0000-0002-9516-1346; Cheng, Xiang/0000-0002-2759-764X</t>
  </si>
  <si>
    <t>0001-1541</t>
  </si>
  <si>
    <t>1547-5905</t>
  </si>
  <si>
    <t>10.1002/aic.16063</t>
  </si>
  <si>
    <t>WOS:000441215000006</t>
  </si>
  <si>
    <t>González-Ruíz, K; García-Hermoso, A; Tordecilla-Sanders, A; Correa-Bautista, JE; Quino-Avila, AC; Sandoval-Cuellar, C; Ojeda-Pardo, ML; Quintero, AD; Ramírez-Vélez, R</t>
  </si>
  <si>
    <t>Gonzalez-Ruiz, Katherine; Garcia-Hermoso, Antonio; Tordecilla-Sanders, Alejandra; Correa-Bautista, Jorge E.; Cristina Quino-Avila, Aura; Sandoval-Cuellar, Carolina; Liliana Ojeda-Pardo, Monica; del Pilar Quintero, Andrea; Ramirez-Velez, Robinson</t>
  </si>
  <si>
    <t>Normalized Grip Strength Thresholds for the Detection of Metabolic Syndrome in Colombian Collegiate Students</t>
  </si>
  <si>
    <t>MEDICINE AND SCIENCE IN SPORTS AND EXERCISE</t>
  </si>
  <si>
    <t>Annual Meeting of the American-College-of-Sports-Medicine (ACSM)</t>
  </si>
  <si>
    <t>MAY 29-JUN 02, 2018</t>
  </si>
  <si>
    <t>Minneapolis, MN</t>
  </si>
  <si>
    <t>Amer Coll Sports Med</t>
  </si>
  <si>
    <t>Sandoval-Cuellar, Carolina/AAP-8957-2021; González-Ruíz, Katherine/CAA-4624-2022; García-Hermoso, Antonio/ADU-2591-2022; Correa-Bautista, Jorge/N-2741-2015; Ramírez-Vélez, Robinson/D-5311-2016; Tordecilla-Sanders, Alejandra/O-6276-2017; Garcia-Hermoso, Antonio/P-1857-2017</t>
  </si>
  <si>
    <t>Tordecilla-Sanders, Alejandra/0000-0002-7461-8124; Garcia-Hermoso, Antonio/0000-0002-1397-7182</t>
  </si>
  <si>
    <t>0195-9131</t>
  </si>
  <si>
    <t>1530-0315</t>
  </si>
  <si>
    <t>WOS:000456870500670</t>
  </si>
  <si>
    <t>Lahoz-García, N; García-Hermoso, A; Milla-Tobarra, M; Díez-Fernández, A; Soriano-Cano, A; Martínez-Vizcaíno, V</t>
  </si>
  <si>
    <t>Lahoz-Garcia, Noelia; Garcia-Hermoso, Antonio; Milla-Tobarra, Marta; Diez-Fernandez, Ana; Soriano-Cano, Alba; Martinez-Vizcaino, Vicente</t>
  </si>
  <si>
    <t>Cardiorespiratory Fitness as a Mediator of the Influence of Diet on Obesity in Children</t>
  </si>
  <si>
    <t>NUTRIENTS</t>
  </si>
  <si>
    <t>The association between diet and obesity has been widely studied and it continues to be controversial; however, the extent to which cardiorespiratory fitness (CRF) acts as a confounder or mediator in this relation has not been analyzed. The aim of this study is to examine if the relation between diet and obesity is mediated by CRF. In this cross-sectional study, fat mass (by electronic bioimpedance) was measured in 320 schoolchildren, aged 9-11 years. Diet was measured through two computerised 24-h dietary recalls and CRF was assessed by the 20-m shuttle run test. Simple mediation analyses were fitted. CRF acts as a partial mediator in the negative relationship between dietary factors (energy intake/weight, carbohydrate intake/weight, protein intake/weight, and fat intake/weight) and fat mass. The percentage of mediation ranged from 24.3 to 33.2%. Thus, Spanish schoolchildren with higher levels of energy and macronutrients intake had lower adiposity levels, especially when they had good levels of CRF.</t>
  </si>
  <si>
    <t>García-Hermoso, Antonio/ADU-2591-2022; Diez-Fernandez, Ana/Z-3348-2019; MARTINEZ VIZCAINO, VICENTE/R-4336-2017; Garcia-Hermoso, Antonio/P-1857-2017</t>
  </si>
  <si>
    <t>Diez Fernandez, Ana/0000-0002-7673-986X; MARTINEZ VIZCAINO, VICENTE/0000-0001-6121-7893; Garcia-Hermoso, Antonio/0000-0002-1397-7182</t>
  </si>
  <si>
    <t>2072-6643</t>
  </si>
  <si>
    <t>10.3390/nu10030358</t>
  </si>
  <si>
    <t>WOS:000428405300099</t>
  </si>
  <si>
    <t>Pizarro, C; Escudey, M; Gacitua, M; Fabris, JD</t>
  </si>
  <si>
    <t>Pizarro, Carmen; Escudey, Mauricio; Gacitua, Manuel; Fabris, Jose Domingos</t>
  </si>
  <si>
    <t>Iron-bearing minerals from soils developing on volcanic materials from southern Chile. Mineralogical characterization supported by Mossbauer spectroscopy</t>
  </si>
  <si>
    <t>JOURNAL OF SOIL SCIENCE AND PLANT NUTRITION</t>
  </si>
  <si>
    <t>On this work, the iron oxide mineralogy of Chilean volcanic ashes derived soils have been reviewed, emphasizing on new finding linked to the application of Mossbauer spectroscopy. It has been established that free iron oxide layer contributes with positive variable surface charge to the clay-size soil particle, at soil pH. However, the importance of such contribution seems to depend on the evolutionary stage of the different volcanic soil orders, which defines the crystalline degree of their iron oxide contents. Mossbauer spectroscopy complemented with different physical, chemical and instrumental techniques revealed key aspects of iron oxide mineralogy on these Chilean volcanic soils. For instance, results for Ultisol revealed that the evolution of the soil particle could be followed just analysing the main component of their iron oxide mineralogy; thus, the iron oxide mineralogy change when passing from the volcanic ashes (magnetite), to sand-size magnetic separates (partially-oxidized magnetite), to silt-size (strongly-oxidized magnetite), and finally to clay-size (maghemite) soil samples. Therefore, it would seem that physical weathering of the Ultisol produces smaller and more oxidized particles. On the other hand, the Andisol samples, a young volcanic soil compared to Ultisol, seems to have a constant iron oxide mineralogy among all its different particle size fractions: paramagnetic Fe2+ and Fe3+ species with low crystalline degree, the last one possibly assignable to a ferrihydrite-like mineral. Therefore, on the case of Andisols, it seems that the high contents of organic matter somehow prevent mineral evolution towards higher oxidation and more crystalline levels, in agreement with past studies.</t>
  </si>
  <si>
    <t>Gacitua, Manuel/R-8868-2019; Fabris, José/H-4121-2012</t>
  </si>
  <si>
    <t>Pizarro, Carmen/0000-0003-4927-5681; Gacitua, Manuel/0000-0003-0807-2677</t>
  </si>
  <si>
    <t>0718-9508</t>
  </si>
  <si>
    <t>0718-9516</t>
  </si>
  <si>
    <t>WOS:000408926400007</t>
  </si>
  <si>
    <t>Paulino, M; Alvareda, E; Iribarne, F; Miranda, P; Espinosa, V; Aguilera, S; Pardo, H</t>
  </si>
  <si>
    <t>Paulino, Margot; Alvareda, Elena; Iribarne, Federico; Miranda, Pablo; Espinosa, Victoria; Aguilera, Sara; Pardo, Helena</t>
  </si>
  <si>
    <t>Toward the understanding of the molecular basis for the inhibition of COX-1 and COX-2 by phenolic compounds present in Uruguayan propolis and grape pomace</t>
  </si>
  <si>
    <t>JOURNAL OF BIOMOLECULAR STRUCTURE &amp; DYNAMICS</t>
  </si>
  <si>
    <t>Propolis and grape pomace have significant amounts of phenols which can take part in anti-inflammatory mechanisms. As the cyclooxygenases 1 and 2 (COX-1 and COX-2) are involved in said mechanisms, the possibility for a selective inhibition of COX-2 was analyzed in vitro and in silico. Propolis and grape pomace from Uruguayan species were collected, extracted in hydroalcoholic mixture and analyzed. Based on phenols previously identified, and taking as reference the crystallographic structures of COX-1 and COX-2 in complex with the commercial drug Celecoxib, a molecular docking procedure was devised to adjust 123 phenolic molecular models at the enzyme-binding sites. The most important results of this work are that the extracts have an overall inhibition activity very similar in COX-1 and COX-2, i.e. they do not possess selective inhibition activity for COX-2. Nevertheless, 10 compounds of the phenolic database turned out to be more selective and 94 phenols resulted with similar selectivity than Celecoxib, an outcome that accounts for the overall experimental inhibition measures. Binding site environment observations showed increased polarity in COX-2 as compared with COX-1, suggesting that polarity is the key for selectivity. Accordingly, the screening of molecular contacts pointed to the residues: Arg106, Gln178, Leu338, Ser339, Tyr341, Tyr371, Arg499, Ala502, Val509, and Ser516, which would explain, at the atomic level, the anti-inflammatory effect of the phenolic compounds. Among them, Gln178 and Arg499 appear to be essential for the selective inhibition of COX-2.</t>
  </si>
  <si>
    <t>Pardo, Helena/AFS-1441-2022; Alvareda, Elena/ABC-8152-2020; Miranda, Pablo/KIH-3542-2024</t>
  </si>
  <si>
    <t>Pardo, Helena/0000-0002-0986-4580</t>
  </si>
  <si>
    <t>0739-1102</t>
  </si>
  <si>
    <t>1538-0254</t>
  </si>
  <si>
    <t>10.1080/07391102.2015.1124808</t>
  </si>
  <si>
    <t>WOS:000386207100007</t>
  </si>
  <si>
    <t>Escobar, RA; Castillo-Sepúlveda, S; Allende, S; Altbir, D; Bahiana, M; Castro, JDE</t>
  </si>
  <si>
    <t>Escobar, R. A.; Castillo-Sepulveda, S.; Allende, S.; Altbir, D.; Bahiana, M.; d' Albuquerque e Castro, J.</t>
  </si>
  <si>
    <t>Multi-stability in low-symmetry magnetic nanoparticles</t>
  </si>
  <si>
    <t>The occurrence of equilibrium magnetic configurations in ferromagnetic low-symmetry nanoparticles has been investigated. T-shaped nanoparticles, which present strong configurational anisotropy, have been considered. It has been found that such particles exhibit four equilibrium magnetic states, whose stability at room temperature was estimated. The presence of structural imperfections, such as surface roughness, in those systems was also considered, resulting in no significant effects on the magnetic behavior of the particles. The present results are expected to be of relevance to magnetic storage. (C) 2015 AIP Publishing LLC.</t>
  </si>
  <si>
    <t>Castro, João/AAR-4444-2021; Altbir, Dora/R-6781-2018</t>
  </si>
  <si>
    <t>Altbir, Dora/0000-0002-2945-4909</t>
  </si>
  <si>
    <t>JUN 14</t>
  </si>
  <si>
    <t>10.1063/1.4922284</t>
  </si>
  <si>
    <t>WOS:000356176100011</t>
  </si>
  <si>
    <t>Acevedo, CA; Díaz-Calderón, P; López, D; Enrione, J</t>
  </si>
  <si>
    <t>Acevedo, Cristian A.; Diaz-Calderon, Paulo; Lopez, Daniel; Enrione, Javier</t>
  </si>
  <si>
    <t>Assessment of gelatin-chitosan interactions in films by a chemometrics approach</t>
  </si>
  <si>
    <t>CYTA-JOURNAL OF FOOD</t>
  </si>
  <si>
    <t>Information looking at the interaction mechanism of chitosan-gelatin is scarce. The objective of this work was to analyze the interactions between chitosan and bovine (BG) and salmon gelatins using a chemometrics approach based on the multivariate statistical analysis, partial least square regression (PLSR), with data collected from amino acid profiling and differential scanning calorimetry.Gelatins showed differences in imino acid profile (higher amount of proline and hydroxyproline in BG). Chitosan modified the microstructure of films as indicated by variations in glass transition temperature (T-g), heat capacity (Cp), melting temperature (T-m), and enthalpy (H), in partially crystalline and amorphous films due to the effect of chitosan on gelatin chain renaturation and moisture content. PLSR showed that thermal properties of gelatin-chitosan films were affected by presence of amino acids Cysteine, Tyrosine, Valine, Arginine, Hydroxyproline, and Glycine, which would modify the orientation of side chains of polymer, while charged amino acids would encourage gelatin renaturation rather than gelatin-chitosan interaction.</t>
  </si>
  <si>
    <t>Enrione, Javier/I-9225-2014; Acevedo, Cristian/D-5133-2011; López, Daniel/C-9803-2016</t>
  </si>
  <si>
    <t>Diaz-Calderon, Paulo/0000-0002-8375-2210; Enrione, Javier/0000-0002-3916-6775; Lopez Angulo, Daniel/0000-0001-5287-1391</t>
  </si>
  <si>
    <t>1947-6337</t>
  </si>
  <si>
    <t>1947-6345</t>
  </si>
  <si>
    <t>10.1080/19476337.2014.944570</t>
  </si>
  <si>
    <t>WOS:000349004500010</t>
  </si>
  <si>
    <t>Enrione, J; Sáez, C; López, D; Skurtys, O; Acevedo, C</t>
  </si>
  <si>
    <t>GutierrezLopez, GF; AlamillaBeltran, L; DelPilarBuera, M; WeltiChanes, J; ParadaArias, E; BarbosaCanovas, GV</t>
  </si>
  <si>
    <t>Enrione, J.; Saez, C.; Lopez, D.; Skurtys, O.; Acevedo, C.</t>
  </si>
  <si>
    <t>Structural Relaxation of Salmon Gelatin Films in the Glassy State</t>
  </si>
  <si>
    <t>Water Stress in Biological, Chemical, Pharmaceutical and Food Systems</t>
  </si>
  <si>
    <t>Food Engineering Series</t>
  </si>
  <si>
    <t>11th Symposium on the Properties of Water (ISOPOW)</t>
  </si>
  <si>
    <t>SEP 05-09, 2010</t>
  </si>
  <si>
    <t>MEXICO</t>
  </si>
  <si>
    <t>IPN,ENCB-IPN,ITESM,IUFoST,CICATA-IPN,UAQ-Mexico,Kasetsart Univ,Government Queretero Anton Paar-Mexico,Coca-Cola Mexico,Asociac Asociac Embotelladoras Mexicanas Coca-Cola,Yakult,Decagon Devices</t>
  </si>
  <si>
    <t>skurtys, olivier/HNS-4835-2023; Enrione, Javier/I-9225-2014</t>
  </si>
  <si>
    <t>skurtys, olivier/0000-0003-1432-7242</t>
  </si>
  <si>
    <t>978-1-4939-2578-0; 978-1-4939-2577-3</t>
  </si>
  <si>
    <t>10.1007/978-1-4939-2578-0_58</t>
  </si>
  <si>
    <t>WOS:000380529900058</t>
  </si>
  <si>
    <t>Vasco, DA; Zambra, C; Moraga, NO</t>
  </si>
  <si>
    <t>Vasco, Diego A.; Zambra, Carlos; Moraga, Nelson O.</t>
  </si>
  <si>
    <t>Numerical simulation of conjugate forced turbulent heat convection with induced natural laminar convection in a 2D inner cavity</t>
  </si>
  <si>
    <t>INTERNATIONAL JOURNAL OF THERMAL SCIENCES</t>
  </si>
  <si>
    <t>Unsteady natural convection process of a fluid inside an inner walled vessel caused by an external forced turbulent convective flow of air in a rectangular duct has been analyzed numerically for Re = 5000; Re = 22,000. Fluid mechanics and conjugate convective heat transfer, for both inner fluid (water) and outer fluid (air), described in terms of continuity, linear momentum, k-epsilon turbulence model and energy equations were predicted by using the finite-volume method (FVM). Results for the streamlines, isotherms, local Nusselt numbers along the cavity walls and the average friction factor are presented. A comparison between obtained results for both Reynolds number is made. In general, it was found that the cooling process is improved up to 79% when Re number is increased from 5000 to 22,000; and the fluid mechanics characteristics inside the vessel is not considerable affected by the velocity inlet of the cooling air. (C) 2014 Elsevier Masson SAS. All rights reserved.</t>
  </si>
  <si>
    <t>Vasco, Diego/Y-2934-2019</t>
  </si>
  <si>
    <t>Vasco, Diego Andres/0000-0001-7456-4683</t>
  </si>
  <si>
    <t>1290-0729</t>
  </si>
  <si>
    <t>1778-4166</t>
  </si>
  <si>
    <t>10.1016/j.ijthermalsci.2014.08.008</t>
  </si>
  <si>
    <t>WOS:000344427600010</t>
  </si>
  <si>
    <t>Ramírez-Castrillón, M; Mendes, SDC; Inostroza-Ponta, M; Valente, P</t>
  </si>
  <si>
    <t>Ramirez-Castrillon, Mauricio; Camargo Mendes, Sandra Denise; Inostroza-Ponta, Mario; Valente, Patricia</t>
  </si>
  <si>
    <t>(GTG)5 MSP-PCR Fingerprinting as a Technique for Discrimination of Wine Associated Yeasts?</t>
  </si>
  <si>
    <t>In microbiology, identification of all isolates by sequencing is still unfeasible in small research laboratories. Therefore, many yeast diversity studies follow a screening procedure consisting of clustering the yeast isolates using MSP-PCR fingerprinting, followed by identification of one or a few selected representatives of each cluster by sequencing. Although this procedure has been widely applied in the literature, it has not been properly validated. We evaluated a standardized protocol using MSP-PCR fingerprinting with the primers (GTG)(5) and M13 for the discrimination of wine associated yeasts in South Brazil. Two datasets were used: yeasts isolated from bottled wines and vineyard environments. We compared the discriminatory power of both primers in a subset of 16 strains, choosing the primer (GTG)(5) for further evaluation. Afterwards, we applied this technique to 245 strains, and compared the results with the identification obtained by partial sequencing of the LSU rRNA gene, considered as the gold standard. An array matrix was constructed for each dataset and used as input for clustering with two methods (hierarchical dendrograms and QAPGrid layout). For both yeast datasets, unrelated species were clustered in the same group. The sensitivity score of (GTG)(5) MSP-PCR fingerprinting was high, but specificity was low. As a conclusion, the yeast diversity inferred in several previous studies may have been underestimated and some isolates were probably misidentified due to the compliance to this screening procedure.</t>
  </si>
  <si>
    <t>Inostroza-Ponta, Mario/G-7548-2012; Camargo Mendes, Sandra/KBC-3874-2024; Valente, Patricia/H-4773-2018; Ramirez-Castrillon, Mauricio/G-6516-2012; , sandra/M-4900-2017</t>
  </si>
  <si>
    <t>Inostroza-Ponta, Mario/0000-0003-1295-8972; Valente, Patricia/0000-0001-5374-0991; Ramirez-Castrillon, Mauricio/0000-0001-8525-5341; , sandra/0000-0001-6812-0349</t>
  </si>
  <si>
    <t>AUG 29</t>
  </si>
  <si>
    <t>e105870</t>
  </si>
  <si>
    <t>10.1371/journal.pone.0105870</t>
  </si>
  <si>
    <t>WOS:000341127500077</t>
  </si>
  <si>
    <t>Dougnac, VN; Peoples, BC; Rabagliati, FM; Galland, GB; Quijada, R</t>
  </si>
  <si>
    <t>Dougnac, V. N.; Peoples, B. C.; Rabagliati, F. M.; Galland, G. B.; Quijada, R.</t>
  </si>
  <si>
    <t>Study on the copolymerization of propylene with norbornene using metallocene catalysts</t>
  </si>
  <si>
    <t>The copolymerization of propylene with norbornene, using the metallocene catalysts Me2Si(2-Me-Ind)(2)ZrCl2 and Ph2C(Flu)(Cp)ZrCl2 was evaluated. The presence of norbornene decreases the polymerization activity in both systems. In the Me2Si(2-Me-Ind)(2)ZrCl2 system, the decrease is ca. 80 % using 0.5 mL of norbornene while the addition of 2 mL reduces the activity by 97 %. The molecular weight of the materials decreases between 27,000 and 37,000 g/mol in the presence of norbornene. The Ph2C(Flu)(Cp)ZrCl2/MAO system has the same tendency, but the norbornene has a lesser effect on the activity, with 2 mL of comonomer reducing the activity ca. 80 %. The molecular weight decreased significantly with this system as well. The elongation at break of some of the materials was 80 times higher than the homopolymer and the Young's modulus slightly superior to the homopolymer. This indicates that it is possible to generate materials that keep the properties of a syndiotactic polypropylene but with good elastomeric properties.</t>
  </si>
  <si>
    <t>Galland, Griselda/A-6521-2009</t>
  </si>
  <si>
    <t>Galland, Griselda/0000-0003-3678-9106; QUIJADA, RAUL/0000-0003-0791-6954</t>
  </si>
  <si>
    <t>10.1007/s00289-012-0771-5</t>
  </si>
  <si>
    <t>WOS:000309661900004</t>
  </si>
  <si>
    <t>Díaz, O; Tapia, Y; Muñoz, O; Montoro, R; Velez, D; Almela, C</t>
  </si>
  <si>
    <t>Diaz, Oscar; Tapia, Yasna; Munoz, Ociel; Montoro, Rosa; Velez, Dinoraz; Almela, Concepcion</t>
  </si>
  <si>
    <t>Total and inorganic arsenic concentrations in different species of economically important algae harvested from coastal zones of Chile</t>
  </si>
  <si>
    <t>Chile is one of the major producers of phytocolloids extracted from seaweed. Multicellular algae are considered to be primary accumulators of arsenic. We analyzed 14 species of algae belonging to the groups Rhodophyceae (10), Phaeophyceae (3) and Chlorophyceae (1) from different coastal zones of Chile in 2003-2004. Dry ashing mineralization (for total As) and acid digestion (for inorganic As) together with quantification by flow injection hydride generation atomic absorption spectrometry (FI-HG-AAS) were employed. In general, total arsenic concentrations varied between 3.0 and 68 mg kg(-1), whereas inorganic arsenic concentrations ranged between 0.15 and 1.06 mg kg(-1). The algal species Durvillaea antarctica and Porphyra columbina, used for direct human consumption, did not have inorganic arsenic levels that represent a health risk to consumers. Among species used for phytocolloids production, such as Macrocystis piryfera, Gracilaria chilensis and Gigartina skottsbergii, observed levels of inorganic arsenic were greater than 1 mg kg(-1), the limit value established by the regulations of some countries. Among the 14 species of algae tested, inorganic arsenic levels were between 0.8% and 13% of the total arsenic concentrations; that is, arsenic present in these algae was found primarily as organic arsenic. (c) 2011 Elsevier Ltd. All rights reserved.</t>
  </si>
  <si>
    <t>Velez, Dinoraz/H-4255-2012; Diaz, Oscar/D-2822-2011; Munoz, Ociel/K-2951-2016; Tapia Fernandez, Yasna/K-4650-2017</t>
  </si>
  <si>
    <t>Munoz, Ociel/0000-0002-2445-4336; Velez Pacios, Dinoraz/0000-0001-8679-5622; Tapia Fernandez, Yasna/0000-0003-4197-4410</t>
  </si>
  <si>
    <t>10.1016/j.fct.2011.11.024</t>
  </si>
  <si>
    <t>WOS:000303284600045</t>
  </si>
  <si>
    <t>Dinamarca, MA; Ibacache-Quiroga, C; Baeza, P; Galvez, S; Villarroel, M; Olivero, P; Ojeda, J</t>
  </si>
  <si>
    <t>Alejandro Dinamarca, M.; Ibacache-Quiroga, C.; Baeza, P.; Galvez, S.; Villarroel, M.; Olivero, P.; Ojeda, J.</t>
  </si>
  <si>
    <t>Biodesulfurization of gas oil using inorganic supports biomodified with metabolically active cells immobilized by adsorption</t>
  </si>
  <si>
    <t>BIORESOURCE TECHNOLOGY</t>
  </si>
  <si>
    <t>The immobilization of Pseudomonas stutzeri using adsorption on different inorganic supports was studied in relation to the number of adsorbed cells, metabolic activity and biodesulfurization (BDS). The electrophoretic migration (EM) measurements and Tetrazolioum (TTC) method were used to evaluate adsorption and metabolic activity. Results indicate that maximal immobilization was obtained with an initial load of 14 x 10(8) cells mL(-1) for Al and Sep, whereas Ti requires 20 x 10(8) cells mL(-1). The highest interaction was observed in the P. stutzeri/Si and P. stutzeri/Sep biocatalysts. The IEP values and metabolic activities indicate that P. stutzeri change the surface of supports and maintains metabolic activity. A direct relation between BDS activity and the adsorption capacity of the bacterial cells was observed at the adsorption/desorption equilibrium level. The biomodification of inorganic supports by the adsorption process increases the bioavailability of sulphur substrates for bacterial cells, improving BDS activity. (C) 2009 Elsevier Ltd. All rights reserved.</t>
  </si>
  <si>
    <t>Olivero, Pablo/AAS-5076-2021; Ibacache, Claudia/HZI-1219-2023</t>
  </si>
  <si>
    <t>Olivero, Pablo/0000-0001-8886-7706; Baeza Chandia, Patricio/0000-0003-1613-2860; Ojeda, Juan/0000-0002-9484-5017; Ibacache, Claudia/0000-0002-1978-6109; Dinamarca, Alejandro/0000-0002-5228-7686</t>
  </si>
  <si>
    <t>0960-8524</t>
  </si>
  <si>
    <t>1873-2976</t>
  </si>
  <si>
    <t>10.1016/j.biortech.2009.11.086</t>
  </si>
  <si>
    <t>WOS:000274609900043</t>
  </si>
  <si>
    <t>Olivares, J; Vera-Villarroel, P; Rosa-Alcázar, AI; Kuhne, W; Montesinos, L; López-Pina, JA</t>
  </si>
  <si>
    <t>Olivares, Jose; Vera-Villarroel, Pablo; Rosa-Alcazar, Ana I.; Kuhne, Walter; Montesinos, Luis; Antonio Lopez-Pina, Jose</t>
  </si>
  <si>
    <t>The Social Phobia and Anxiety Inventory: First Results of the Reliability and Structural Validity in Chilean Adolescents</t>
  </si>
  <si>
    <t>In this report we examined the reliability and structural validity of the Chilean version of the Social Phobia and Anxiety Inventory, SPAI, (Turner, Beidel, Dancu &amp; Stanley, 1989), using a sample of 1040 non clinical Chilean adolescents (range of age between 13 and 18 years). The structural validity analysis indicated the existence of two, clearly differentiated, subscales (Social Phobia and Agoraphobia) that explained 43.4% of the variance. The alpha reliability coefficients were very high in each one of the subscales. In spite of finding significant differences, for sex in both scales, the effect size was small. On the other hand, the age variable was significant in the social phobia scale but not in the agoraphobia one, but again the effect size was small. In general the results offer empirical evidence in support of the reliability and validity of the Chilean version of the Social Phobia and Anxiety Inventory.</t>
  </si>
  <si>
    <t>Lopez-Pina, Jose-Antonio/A-2677-2008; Olivares Rodríguez, José/F-5059-2016; Vera-Villarroel, Pablo/A-1134-2011; ROSA-ALCAZAR, ANA ISABEL/G-3446-2011</t>
  </si>
  <si>
    <t>Vera-Villarroel, Pablo/0000-0001-9187-8414; ROSA-ALCAZAR, ANA ISABEL/0000-0002-2572-7535; Olivares Rodriguez, Jose/0000-0002-8833-4448</t>
  </si>
  <si>
    <t>10.11144/Javeriana.upsy9-1.spai</t>
  </si>
  <si>
    <t>WOS:000275162200013</t>
  </si>
  <si>
    <t>Lanio, ME; Alvarez, C; Ochoa, C; Ros, U; Pazos, F; Martínez, D; Tejuca, M; Eugenio, LM; Casallanovo, F; Dyszy, FH; Schreier, S; Lissi, E</t>
  </si>
  <si>
    <t>Lanio, Maria E.; Alvarez, Carlos; Ochoa, Camila; Ros, Uris; Pazos, Fabiola; Martinez, Diana; Tejuca, Mayra; Eugenio, Luiz M.; Casallanovo, Fabio; Dyszy, Fabio H.; Schreier, Shirley; Lissi, Eduardo</t>
  </si>
  <si>
    <t>Sticholysins I and II interaction with cationic micelles promotes toxins' conformational changes and enhanced hemolytic activity</t>
  </si>
  <si>
    <t>The effect of three cationic surfactants bearing the same polar head group and different chain length (cetyltrimethyl ammonium bromide (CTAB); tetradecyltrimethylammonium bromide (TTAB); dodecyltrimethylammonium bromide (DTAB)) on the conformation and function of the sea anemone pore-forming toxins sticholysins I and 11 (St I and St II) was studied by fluorescence and circular dichroism spectroscopy and evaluation of hemolytic activity (HA). Preincubation of the toxins with the longer chain surfactants CTAB and TTAB at concentrations slightly above their critical micelle concentration (CMC) leads to an enhancement of their HA. Significant increases in the fluorescence intensity with a slightly red shift lambda(max) were observed at concentrations close to the surfactants' CMC, suggesting changes in the environment of the tryptophan residues. The changes in the fluorescence intensity are more noticeable and take place at lower surfactant concentrations for St I, irrespective of the surfactant alkyl chain length, although the differences between St I and St II increase as the surfactant alkyl chain length increases. This is evinced not only by the higher fluorescence intensity values and the lower surfactant concentrations required to reach them, but also by the higher acrylamide-quenching constant values (Ksv) for St I. However, the surfactant's effects on the toxins' HA were not found to be directly related to the observed changes in fluorescence intensity, as well as near- and far-UV-CD spectra. In particular, the latter spectra indicate that changes in HA and in fluorescence behavior take place without noticeable modifications in St I and St 11 secondary and tertiary structures. The results suggest that the interaction with the surfactants induces only subtle conformational changes in the toxins that favor the formation of lytic competent structures. (c) 2007 Elsevier Ltd. All rights reserved.</t>
  </si>
  <si>
    <t>Dyszy, Fábio/F-6782-2012; Casallanovo, Fabio/AHE-5422-2022; Schreier, Shirley/F-7001-2014</t>
  </si>
  <si>
    <t>Ros, Uris/0000-0002-8889-0145; Fabiola, Isabel/0000-0002-9502-2186</t>
  </si>
  <si>
    <t>10.1016/j.toxicon.2007.06.007</t>
  </si>
  <si>
    <t>WOS:000250495100001</t>
  </si>
  <si>
    <t>Sepulveda, W; Be, C; Schnapp, C; Roy, M; Wimalasundera, R</t>
  </si>
  <si>
    <t>Second-trimester sonographic findings in trisomy 22 - Report of 3 cases and review of the literature</t>
  </si>
  <si>
    <t>JOURNAL OF ULTRASOUND IN MEDICINE</t>
  </si>
  <si>
    <t>Objective. To describe cases of trisomy 22 detected prenatally on second-trimester sonography and to review the literature on similar cases, with special emphasis on the prenatal findings and pregnancy outcome. Methods. We performed follow-up second-trimester sonography and fetal karyotyping on 3 pregnant women who were referred because of abnormal findings on initial second-trimester scans. We also conducted a literature search for other reports of sonographic findings in trisomy 22. Results. Fetal abnormalities shown on sonography included nuchal thickening, mild generalized skin edema, an atrioventricular septal defect, an interventricular septal defect, edema of the scalp, face, and neck, severe left pleural effusion with a marked mediastinal shift, ascites, agenesis of the diaphragm, ambiguous genitalia, a single umbilical artery bradycardia, a multicystic left kidney, and an absent right kidney. All 3 fetuses had karyotypes indicating trisomy 22. One pregnancy was terminated at the parents' request, and 2 ended in fetal death at 23 and 26 weeks. Our literature search revealed only 1 previous report of second-trimester sonographic diagnosis of trisomy 22. We found 3 other reports describing prenatal diagnosis in the third trimester, but only limited information on the sonographic findings was available. Conclusions. Second-trimester sonography provides valuable clues for the prenatal diagnosis of several chromosomal disorders, including trisomy 22. Prenatal karyotyping is warranted if fetal growth restriction is detected in the second trimester, especially if associated with congenital defects.</t>
  </si>
  <si>
    <t>0278-4297</t>
  </si>
  <si>
    <t>10.7863/jum.2003.22.11.1271</t>
  </si>
  <si>
    <t>WOS:000186284000016</t>
  </si>
  <si>
    <t>Marín, J; Lisboa, J; Rojas, P; Rojas, R; Parada, P; Reyes, J; García, D</t>
  </si>
  <si>
    <t>Solid state reactions in the Al-MoO3 system for the synthesis of Al2O3-Mo aluminide composites</t>
  </si>
  <si>
    <t>Ceramic matrix composites reinforced with metallic particles exhibit good mechanical properties. One research line has involved the fabrication of 3A (alumina-aluminide alloys) composites via in situ consolidation of aluminum reactive powders mixed with a metallic oxide. In this paper the solid state reactions for the Al-MoO3 system and the effect of the precursor compositions for obtaining Al2O3 composites and intermetallic aluminides are studied. The reactions in vacuum for the 25 degreesC to 750 degreesC temperature range, and the microstructural evolution up to 1200 degreesC were studied. DTA-TG and DSC were used to determine that a heating rate of 1 degreesC/min at the critical range of 500-600 degreesC, resulted in controlled aluminothermic reactions. XRD and SEM showed that in the sintered composites a microstructure composed of an Al2O3 matrix and a Mo aluminide/metallic Mo dispersed phase was present. The precursor composition affects the dispersed phase in the composite (Mo alummides and/or metallic Mo), the relative Al2O3/second phase quantities, and the hardness of the composite sintered at 1450 degreesC.</t>
  </si>
  <si>
    <t>10.3989/revmetalm.2002.v38.i1.379</t>
  </si>
  <si>
    <t>WOS:000174693200003</t>
  </si>
  <si>
    <t>Fuentes, NA; Flores, JC; Egger, JE; Vicencio, FA; Aguilar, V; Yanez, SJ</t>
  </si>
  <si>
    <t>Fuentes, Nicolas A.; Flores, Jorge C.; Egger, Jorge E.; Vicencio, Felipe A.; Aguilar, Victor; Yanez, Sergio J.</t>
  </si>
  <si>
    <t>Multivariate joint probability distributions for seismic design parameters across multiple building codes</t>
  </si>
  <si>
    <t>BULLETIN OF EARTHQUAKE ENGINEERING</t>
  </si>
  <si>
    <t>In order to contribute to the lack of statistical anomaly detection and sensitivity visualization of the response parameters from international seismic codes, this study presents a comparative analysis between multiple Chilean codes for the seismic design of reinforced concrete buildings. The seismic response and its similar implications to the US codes are studied from a model of a reinforced concrete building in the city of Vina del Mar, Chile. The first study case is the NCh433 Of.96 Mod.2009, the second case is the NCh433 Of.96 Mod.2009 + D.S. 117 and 118, and the third case is the NCh433 Of.96 Mod.2009 + D.S. 60 and 61. The results show that the seismic response does not present great differences, but they show noticeable dependencies between multiple parameters within the three study cases. The third case presents the most oversized values of the response parameters, which require a design against a higher base shear. An analysis of the bio-seismic profile is included, which is a procedure commonly used for buildings in Chile, and its indexes are analyzed with statistical models that provide an easy overview of the data structure. Additionally, a pier wall with an opening, and a pier with a T-shaped wall are selected, which present an increase in the amount of reinforcing steel from the first code case to the third, and then to the second code case.</t>
  </si>
  <si>
    <t>Vicencio, Felipe/AAH-6860-2021; Yanez, Sergio/G-5230-2019</t>
  </si>
  <si>
    <t>Egger Roa, Jorge/0000-0002-4554-7515; Aguilar, Victor/0000-0001-7509-9103; Vicencio, Felipe/0000-0001-6692-8192; Fuentes, Nicolas A./0000-0003-2450-4564; Yanez, Sergio/0000-0002-8856-0955</t>
  </si>
  <si>
    <t>1570-761X</t>
  </si>
  <si>
    <t>1573-1456</t>
  </si>
  <si>
    <t>10.1007/s10518-023-01747-2</t>
  </si>
  <si>
    <t>WOS:001066757900001</t>
  </si>
  <si>
    <t>Duque, JDL; Egea, AJS; Rojas, HAG; Chaná-Cuevas, P; Ferreira, JJ; Costa, J</t>
  </si>
  <si>
    <t>Duque, Julian D. Loaiza; Egea, Antonio J. Sanchez; Rojas, Hernan A. Gonzalez; Chana-Cuevas, Pedro; Ferreira, Joaquim J.; Costa, Joao</t>
  </si>
  <si>
    <t>TremorSoft: An decision support application for differential diagnosis between Parkinson's disease and essential tremor</t>
  </si>
  <si>
    <t>SOFTWAREX</t>
  </si>
  <si>
    <t>A cost-effective, non-invasive, and easy-to-use tool is presented that uses the 6-axis inertial sensor of the smartphone or a specific wearable sensor, boosted by machine learning, to support early differential diagnosis of Parkinson's disease and Essential Tremor. A dedicated web server helps extract the kinematic indexes from the recorded signals, implement the machine learning models and return the resulting classification to the App. Thus, clinicians can use this App as a support tool in the clinic, contributing to performing motor evaluations in the uncertain and undecided stages of the diseases and promoting appropriate, fast, and timely therapeutic responses.(c) 2023 The Authors. Published by Elsevier B.V. This is an open access article under the CC BY-NC-ND license (http://creativecommons.org/licenses/by-nc-nd/4.0/).</t>
  </si>
  <si>
    <t>Ferreira, Joaquim/AAA-1837-2020; Chana-Cuevas, Pedro/AAM-8215-2020; Sanchez Egea, Antonio J./S-4790-2016</t>
  </si>
  <si>
    <t>Costa, Joao/0000-0002-5831-4921; Sanchez Egea, Antonio J./0000-0001-8085-6869; Ferreira, Joaquim J/0000-0003-3950-5113; Loaiza Duque, Julian David/0000-0003-2413-6140</t>
  </si>
  <si>
    <t>2352-7110</t>
  </si>
  <si>
    <t>10.1016/j.softx.2023.101393</t>
  </si>
  <si>
    <t>WOS:001001876400001</t>
  </si>
  <si>
    <t>Suárez-Reyes, M; Fernández-Verdejo, R; Salazar, G</t>
  </si>
  <si>
    <t>Suarez-Reyes, Monica; Fernandez-Verdejo, Rodrigo; Salazar, Gabriela</t>
  </si>
  <si>
    <t>Elevated Risk of Overweight/Obesity-Related Markers and Low Muscular Fitness in Children Attending Public Schools in Chile</t>
  </si>
  <si>
    <t>INTERNATIONAL JOURNAL OF ENVIRONMENTAL RESEARCH AND PUBLIC HEALTH</t>
  </si>
  <si>
    <t>In Chile, children of low socioeconomic status usually attend public schools and have few opportunities to engage in healthy behaviors. This may increase their risk of overweight/obesity and low muscular fitness. Therefore, we aimed to determine the association between the school type attended with overweight/obesity-related markers and the muscular fitness of children in Chile. We included 1410 children (6-13 years old) attending public, subsidized, or private schools. Overweight/obesity-related markers included BMI Z-scores, waist circumference, and body fat percentage. Muscular fitness assessment included handgrip strength and standing long jump. The odds ratios [95% CI] of overweight/obesity, elevated waist circumference, elevated body fat, low handgrip strength, and low standing long jump were compared between school types. Compared with boys attending public schools, those attending subsidized or private schools had lower odds ratios of low handgrip strength (0.63 [0.42-0.94] and 0.44 [0.25-0.78], respectively). Girls attending subsidized schools, compared with those in public schools, had lower odds of overweight/obesity (0.63 [0.44-0.90]) and of having low handgrip strength (0.51 [0.34-0.78]). Compared with girls in public schools, those attending private schools had lower odds (vs. public schools) of overweight/obesity (0.45 [0.28-0.74]), of having elevated body fat (0.53 [0.29-0.96]), and of having low standing long jump (0.41 [0.21-0.77]). The elevated risk of overweight/obesity-related markers and lower muscular fitness in children, particularly girls, attending public schools increase their current and future disease risk. This suggests that childhood socioeconomic status plays a central role in determining disease risk. Health-promoting interventions specifically focused on children from disadvantaged contexts are required.</t>
  </si>
  <si>
    <t>Fernández-Verdejo, Rodrigo/ITV-7233-2023; Suarez-Reyes, Monica/JQV-9348-2023</t>
  </si>
  <si>
    <t>Fernandez-Verdejo, Rodrigo/0000-0002-5948-2281; Suarez-Reyes, Monica/0000-0002-5663-4673</t>
  </si>
  <si>
    <t>1660-4601</t>
  </si>
  <si>
    <t>10.3390/ijerph192114213</t>
  </si>
  <si>
    <t>WOS:000881257600001</t>
  </si>
  <si>
    <t>Cheng, X; Sun, TP; Gordillo, L</t>
  </si>
  <si>
    <t>Cheng, Xiang; Sun, Ting-Pi; Gordillo, Leonardo</t>
  </si>
  <si>
    <t>Drop Impact Dynamics: Impact Force and Stress Distributions</t>
  </si>
  <si>
    <t>ANNUAL REVIEW OF FLUID MECHANICS</t>
  </si>
  <si>
    <t>Dynamic variables of drop impact such as force, drag, pressure, and stress distributions are key to understanding a wide range of natural and industrial processes. While the study of drop impact kinematics has been in constant progress for decades thanks to high-speed photography and computational fluid dynamics, research on drop impact dynamics has only peaked in the last 10 years. Here, we review how recent coordinated efforts of experiments, simulations, and theories have led to new insights on drop impact dynamics. Particularly, we consider the temporal evolution of the impact force in the early- and late-impact regimes, as well as spatiotemporal features of the pressure and shear-stress distributions on solid surfaces. We also discuss other factors, including the presence of water layers, air cushioning, and nonspherical drop geometry, and briefly review granular impact cratering by liquid drops as an example demonstrating the distinct consequences of the stress distributions of drop impact.</t>
  </si>
  <si>
    <t>Cheng, Xiang/G-5704-2017; GORDILLO, Leonardo/I-8215-2014</t>
  </si>
  <si>
    <t>Cheng, Xiang/0000-0002-2759-764X; GORDILLO, Leonardo/0000-0002-9516-1346</t>
  </si>
  <si>
    <t>0066-4189</t>
  </si>
  <si>
    <t>1545-4479</t>
  </si>
  <si>
    <t>10.1146/annurev-fluid-030321-103941</t>
  </si>
  <si>
    <t>WOS:000794152800003</t>
  </si>
  <si>
    <t>Serpa, JD; Matias, GAB; Fechine, PBA; da Costa, VM; Freire, RM; Denardin, JC; Gonçalves, LRB; de Macedo, AC; Rocha, MVP</t>
  </si>
  <si>
    <t>Serpa, Juliana de Franca; Matias, Gabriel A. B.; Fechine, Pierre B. A.; da Costa, Victor M.; Freire, Rafael M.; Denardin, Juliano C.; Goncalves, Luciana R. B.; de Macedo, Andre C.; Rocha, Maria V. P.</t>
  </si>
  <si>
    <t>New nanocomposite made of cashew apple bagasse lignin and Fe3O4 for immobilizing of lipase B from Candida antarctica aiming at esterification</t>
  </si>
  <si>
    <t>BACKGROUND Novel magnetite-lignin hybrid materials were synthesized using lignin from cashew apple bagasse (CAB) and iron oxide nanoparticles (magnetite, Fe3O4). The new material, termed MNs/Lig (magnetite conjugated with lignin), was used as a support for the immobilization of lipase B from Candida antarctica (CALB), aiming to obtain an active and stable biocatalyst that is easily recoverable from the reactional medium. RESULTS The magnetite/lignin composite showed a higher thermal stability than pure lignin, and it presented good magnetic properties, both before and after the immobilization procedure. The immobilization yield was higher using the unaltered MN/Lig as a support than when using the glutaraldehyde-activated MNs/Lig (MNs/Lig_GA), with yields of 66.6% and 40.0%, respectively. The presence of Triton X-100 did not influence the immobilization yield or the thermal stability of the biocatalyst when employing the unaltered MNs/Lig. However, it influenced the thermal stability of the lipase immobilized on MNs/Lig_GA, lowering the biocatalyst stability, which showed a half-life 11-fold lower than that of MNs/Lig_GA_CALB. The biocatalysts were tested with regards to the synthesis of ethyl oleate using oleic acid and ethanol as substrates, and 2-ethylhexyl oleate (a biolubricant) using oleic acid and 2-ethyl-hexanol as substrate. The conversions obtained by MNs/Lig_Tri_CALB were 88.2% and 76.7% for ethyl oleate and 2-ethylhexyl oleate, respectively. CONCLUSION The novel strategy presented in this work for obtaining a biocatalyst using synthesized hybrids (MNs/Lig) may be a promising route for lipase immobilization because it can be considered environmentally benign and it shows a strong potential use in several reactions of industrial interest. (c) 2021 Society of Chemical Industry (SCI).</t>
  </si>
  <si>
    <t>Rocha, Maria Valderez/MEK-8474-2025; Denardin, Juliano/S-6407-2019; Fechine, Pierre/B-7937-2013; Barros Goncalves, Luciana Rocha/G-4865-2012</t>
  </si>
  <si>
    <t>Rocha, Maria Valderez Ponte/0000-0001-6238-7552; Melo Freire, Rafael/0000-0002-0914-4962; Fechine, Pierre/0000-0002-7822-2354; Denardin, Juliano/0000-0002-1373-6207; Barros Goncalves, Luciana Rocha/0000-0003-0012-8971</t>
  </si>
  <si>
    <t>10.1002/jctb.6770</t>
  </si>
  <si>
    <t>WOS:000658053600001</t>
  </si>
  <si>
    <t>Boutaous, M; Liu, X; Siginer, DA; Xin, SH</t>
  </si>
  <si>
    <t>Boutaous, M'hamed; Liu, Xin; Siginer, Dennis A.; Xin, Shihe</t>
  </si>
  <si>
    <t>Balling phenomenon in metallic laser based 3D printing process</t>
  </si>
  <si>
    <t>A comprehensive model is developed coupling major physical phenomena inherent to the Selective Laser Melting process together with a 3D numerical model based on the discrete element method to study the effect of the process parameters on the generation of balling droplets in the laser melting process. Effects of several process parameters as well as material properties on the balling phenomenon are investigated. Simulation results compare well to the experimental findings in the literature.</t>
  </si>
  <si>
    <t>Boutaous, M'hamed/0000-0002-3633-0736</t>
  </si>
  <si>
    <t>10.1016/j.ijthermalsci.2021.107011</t>
  </si>
  <si>
    <t>WOS:000656893800004</t>
  </si>
  <si>
    <t>Retamal-Morales, G; Senges, CHR; Stapf, M; Olguín, A; Modak, B; Bandow, JE; Tischler, D; Schlömann, M; Levicán, G</t>
  </si>
  <si>
    <t>Retamal-Morales, Gerardo; Senges, Christoph Helmut Rudi; Stapf, Manuel; Olguin, Angel; Modak, Brenda; Bandow, Julia Elisabeth; Tischler, Dirk; Schloemann, Michael; Levican, Gloria</t>
  </si>
  <si>
    <t>Isolation and characterization of arsenic-binding siderophores from Rhodococcus erythropolis S43: role of heterobactin B and other heterobactin variants</t>
  </si>
  <si>
    <t>APPLIED MICROBIOLOGY AND BIOTECHNOLOGY</t>
  </si>
  <si>
    <t>Rhodococcus erythropolis S43 is an arsenic-tolerant actinobacterium isolated from an arsenic contaminated soil. It has been shown to produce siderophores when exposed to iron-depleting conditions. In this work, strain S43 was shown to have the putative heterobactin production cluster htbABCDEFGHIJ(K). To induce siderophore production, the strain was cultured in iron-depleted medium in presence and absence of sodium arsenite. The metabolites produced by S43 in the colorimetric CAS and As-(m)CAS assays, respectively, showed iron- and arsenic-binding properties reaching a chelating activity equivalent to 1.6 mM of desferroxamine B in the supernatant of the culture without arsenite. By solid-phase extraction and two subsequent HPLC separations from both cultures, several fractions were obtained, which contained CAS and As-(m)CAS activity and which were submitted to LC-MS analyses including fragmentation of the major peaks. The mixed-type siderophore heterobactin B occurred in all analyzed fractions, and the mass of the Carrano heterobactin A was detected as well. In addition, generation of a molecular network based on fragment spectra revealed the occurrence of several other compounds with heterobactin-like structures, among them a heterobactin B variant with an additional CH2O moiety. H-1 NMR analyses obtained for preparations from the first HPLC step showed signals of heterobactin B and of Carrano heterobactin A with different relative amounts in all three samples. In summary, our results reveal that in R. erythropolis S43, a pool of heterobactin variants is responsible for the iron- and arsenic-binding activities.</t>
  </si>
  <si>
    <t>Levican, Gloria/R-5191-2019; Senges, Christoph/AAB-9150-2019; Tischler, Dirk/H-9431-2013; Bandow, Julia/K-8854-2012</t>
  </si>
  <si>
    <t>Senges, Christoph/0000-0002-8069-8730; Tischler, Dirk/0000-0002-6288-2403; Bandow, Julia/0000-0003-4100-8829; Levican, Gloria/0000-0002-1275-7399; Stapf, Manuel/0000-0001-6398-2337</t>
  </si>
  <si>
    <t>0175-7598</t>
  </si>
  <si>
    <t>1432-0614</t>
  </si>
  <si>
    <t>10.1007/s00253-021-11123-2</t>
  </si>
  <si>
    <t>WOS:000612600900002</t>
  </si>
  <si>
    <t>Urzúa-Leiva, R; Shandy, AN; Xie, HB; Lira-Cantú, M; Cárdenas-Jirón, G</t>
  </si>
  <si>
    <t>Urzua-Leiva, Rodrigo; Shandy, Amir Narymany; Xie, Haibing; Lira-Cantu, Monica; Cardenas-Jiron, Gloria</t>
  </si>
  <si>
    <t>Effects of the methylammonium ion substitution by 5-ammoniumvaleric acid in lead trihalide perovskite solar cells: a combined experimental and theoretical investigation</t>
  </si>
  <si>
    <t>In the last decade, lead triiodide perovskite (APbI(3)) (A: organic cation) solar cells (PSCs) have been broadly studied due to their promising features related to the low cost, easy manufacturing process, and stability. Strategies to improve the device stability include the application of techniques such as compositional engineering of the cation of these halide perovskites, but it is still a complex task to find the right balance between the stability and power conversion efficiency of materials and complete devices. In this work, we performed a combined study of five samples of [5-AVA((1-x))MA(x)]PbI3(5-AVA: ammonium valeric acid and MA: methylammonium) withx= 1.0, 0.75, 0.5, 0.25 and 0.0, using X-ray diffraction (XRD) and UV-VIS spectroscopy measurements in combination with periodic density functional theory (DFT) based calculations. Our samples showed an optical bandgap of 1.58 eV and the coexistence of the two phases as observed by XRD analyses. The theoretical results of the bandgaps for the no mixed phases (x= 1.0 andx= 0.0) show good agreement with the experiment, obtaining bandgap values overestimated by 0.18 eV and 0.33 eV, respectively. A direct relation between the number of 5-AVA ions in the samples and the stability of the phases was theoretically found and proved through the increment observed in the bandgap and the cohesive energy. We proposed a compositional strategy for perovskites [5-AVA((1-x))MA(x)]PbI(3)withxvalues of at most 0.5, based on the small blue-shift and the low absorbance reduction of the spectrum curve, added to the small phase stabilization found.</t>
  </si>
  <si>
    <t>Cardenas-Jiron, Gloria/H-9508-2012; Lira-Cantu, Monica/B-1828-2008; Urzua-Leiva, Rodrigo/Y-9809-2018</t>
  </si>
  <si>
    <t>Cardenas-Jiron, Gloria/0000-0003-4305-8088; Lira-Cantu, Monica/0000-0002-3393-7436; Urzua-Leiva, Rodrigo/0000-0002-6953-2721</t>
  </si>
  <si>
    <t>SEP 14</t>
  </si>
  <si>
    <t>10.1039/d0nj02748k</t>
  </si>
  <si>
    <t>WOS:000564479900033</t>
  </si>
  <si>
    <t>Vasconcelos, JS</t>
  </si>
  <si>
    <t>Salem Vasconcelos, Joana</t>
  </si>
  <si>
    <t>Land and human rights in Chile: agrarian counter-reform under the Pinochet dictatorship and peasant reparation policies</t>
  </si>
  <si>
    <t>HISTORIA AGRARIA</t>
  </si>
  <si>
    <t>Chilean agrarian reform from 1967 to 1973 involved a massive process of distributing 9 million hectares of land to peasants under democratic and legal conditions. However, following the military coup of 11 September 1973, the Pinochet dictatorship initiated agrarian counter-reform, which involved returning some of the settlements (asentamientos) to their former owners, fragmenting others into plots and transferring or selling other sections.This paper presents a synthesis of the research on agrarian counter-reform in Chile from the perspective of human rights, with the aim of articulating the agrarian question and transitional justice. It draws from primary sources to argue that the repressive and agrarian economic projects of the dictatorship corresponded to the same agenda of violation. Peasant compensation under democracy was insufficient and failed to restore the most important human right: land property to families victimized by the dictatorship.</t>
  </si>
  <si>
    <t>1139-1472</t>
  </si>
  <si>
    <t>2340-3659</t>
  </si>
  <si>
    <t>10.26882/histagrar.080e07s</t>
  </si>
  <si>
    <t>WOS:000524990000007</t>
  </si>
  <si>
    <t>Yañez, O; Inostroza, D; Usuga-Acevedo, B; Vásquez-Espinal, A; Pino-Rios, R; Tabilo-Sepulveda, M; Garza, J; Barroso, J; Merino, G; Tiznado, W</t>
  </si>
  <si>
    <t>Yanez, Osvaldo; Inostroza, Diego; Usuga-Acevedo, Brandon; Vasquez-Espinal, Alejandro; Pino-Rios, Ricardo; Tabilo-Sepulveda, Mauricio; Garza, Jorge; Barroso, Jorge; Merino, Gabriel; Tiznado, William</t>
  </si>
  <si>
    <t>Evaluation of restricted probabilistic cellular automata on the exploration of the potential energy surface of Be6B11-</t>
  </si>
  <si>
    <t>THEORETICAL CHEMISTRY ACCOUNTS</t>
  </si>
  <si>
    <t>Herein the performance of a modification within the hybrid algorithm implemented in the AUTOMATON program is introduced and evaluated. For the creation of the initial population, AUTOMATON combines a probabilistic automata procedure with a genetic algorithm used to evolve this population. The proposed modification is addressed to efficiently identify the minimum energy structures of systems composed of more than one type of atom and with a low computational cost. The effectiveness of this approach is evaluated in the determination of the minimum energy structures of Be6B11-. The modification, aimed to explore the potential energy surface, consisted of filling the cells first with Be atoms in the process of creating the initial population. This order obeys the structural pattern established in the Be-B clusters reported to date. The results show that this variation not only identifies a more significant number of viable isomers but also to find a better putative global minimum than those previously reported in the literature. Therefore, it is recommended to be used as a complement to the standard searching process.</t>
  </si>
  <si>
    <t>Barroso, Jorge/KMA-3830-2024; Merino, Gabriel/A-1046-2009; Inostroza, Diego/AAI-5261-2020; Garza, Jorge/H-9395-2016; Vasquez-Espinal, Alejandro/X-7300-2019; Tiznado, William/G-7479-2014</t>
  </si>
  <si>
    <t>Inostroza Mendoza, Diego Estevan/0000-0002-0160-0337; Yanez Osses, Osvaldo Andres/0000-0001-8993-9353; Vasquez-Espinal, Alejandro/0000-0003-3501-7905; barroso, jorge/0000-0002-9715-8693; Usuga-Acevedo, Brandon/0000-0001-6218-6099; Tiznado, William/0000-0002-6061-8879</t>
  </si>
  <si>
    <t>1432-881X</t>
  </si>
  <si>
    <t>1432-2234</t>
  </si>
  <si>
    <t>10.1007/s00214-020-2548-5</t>
  </si>
  <si>
    <t>WOS:000517982300001</t>
  </si>
  <si>
    <t>García-López, JP; Vilos, C; Feijóo, CG</t>
  </si>
  <si>
    <t>Garcia-Lopez, Juan P.; Vilos, Cristian; Feijoo, Carmen G.</t>
  </si>
  <si>
    <t>Zebrafish, a model to develop nanotherapeutics that control neutrophils response during inflammation</t>
  </si>
  <si>
    <t>JOURNAL OF CONTROLLED RELEASE</t>
  </si>
  <si>
    <t>Neutrophils are crucial modulators of the inflammation process, and their uncontrolled response worsens several chronic pathologies. The p38 mitogen-activated protein kinases (MAPKs) activity is critical for normal immune and inflammatory response through the regulation of pro-inflammatory cytokines synthesis. In this work, we study the effect of hybrid lipid-polymer nanoparticles loaded with the p38 MAPK inhibitor SB203580 in an acute and chronic inflammatory model in zebrafish containing a transgenic neutrophil cell line that constitutively expresses a green fluorescent protein. We identify the existence of at least two neutrophils subpopulation involved in the response during the acute inflammation triggered; a first-responder p38a-independent subset and a second-responder p38a-dependent subset. In the case of chronic inflammation, neutrophils recruited in the intestine only during the inflammation process, migrate in a p38a-dependent manner. Likewise, we establish that SB203580-loaded in NPs exerts their action during at least a double period than the inhibitor administers directly in both types of inflammation. Our results demonstrate the exceptional potential of the zebrafish as an inflammatory model for studying novel nanotherapeutics that selectively inhibit the neutrophils response, and to identify functional neutrophils subpopulations involved in the inflammation process.</t>
  </si>
  <si>
    <t>Feijoo, Carmen/AAF-9003-2019; García-López, Juan Pablo/HLX-3232-2023; Vilos, Cristian/KPA-9958-2024</t>
  </si>
  <si>
    <t>Vilos, Cristian/0000-0001-5619-3348; Garcia Lopez, Juan Pablo/0000-0001-9545-6403; Feijoo, Carmen G/0000-0003-1128-403X</t>
  </si>
  <si>
    <t>0168-3659</t>
  </si>
  <si>
    <t>1873-4995</t>
  </si>
  <si>
    <t>10.1016/j.jconrel.2019.10.005</t>
  </si>
  <si>
    <t>WOS:000499614700002</t>
  </si>
  <si>
    <t>Pour, PM; Fakhri, S; Asgary, S; Farzaei, MH; Echeverría, J</t>
  </si>
  <si>
    <t>Pour, Pardis Mohammadi; Fakhri, Sajad; Asgary, Sedigheh; Farzaei, Mohammad Hosein; Echeverria, Javier</t>
  </si>
  <si>
    <t>The Signaling Pathways, and Therapeutic Targets of Antiviral Agents: Focusing on the Antiviral Approaches and Clinical Perspectives of Anthocyanins in the Management of Viral Diseases</t>
  </si>
  <si>
    <t>As the leading cause of death worldwide, viruses significantly affect global health. Despite the rapid progress in human healthcare, there are few viricidal and antiviral therapies that are efficient enough. The rapid emergence of resistance, and high costs, as well as the related side effects of synthetic antiviral drugs, raise the need to identify novel, effective, and safe alternatives against viral diseases. Nature has been of the most exceptional help and source of inspiration for developing novel multi-target antiviral compounds, affecting several steps of the viral life cycle and host proteins. For that matter and due to safety and efficacy limitations, as well as high resistance rate of conventional therapies, hundreds of natural molecules are preferred over the synthetic drugs. Besides, natural antiviral agents have shown acceptable antiviral value in both preclinical and clinical trials.This is the first review regarding molecular and cellular pathways of the virus life cycle, treatment strategies, and therapeutic targets of several viral diseases with a particular focus on anthocyanins as promising natural compounds for significant antiviral enhancements. Clinical applications and the need to develop nano-formulation of anthocyanins in drug delivery systems are also considered.</t>
  </si>
  <si>
    <t>Echeverría, Javier/AAK-3323-2020; Farzaei, Mohammad/M-5779-2017; pour, pardis/I-8404-2019</t>
  </si>
  <si>
    <t>Echeverria, Javier/0000-0002-1688-968X; Mohammadi Pour, Pardis/0000-0002-2493-8293</t>
  </si>
  <si>
    <t>NOV 8</t>
  </si>
  <si>
    <t>10.3389/fphar.2019.01207</t>
  </si>
  <si>
    <t>WOS:000498968200001</t>
  </si>
  <si>
    <t>Agurto, N; Silva, CP; Jara, GS; Maldonado, T; Flores, E; Morales, CE; Oliver, A; Godoy, F; Pavez, J</t>
  </si>
  <si>
    <t>Agurto, Nicolas; Silva, Carlos P.; Jara, Geraldine S.; Maldonado, Tamara; Flores, Erick; Morales, Carolina E.; Oliver, Allen; Godoy, Fernando; Pavez, Jorge</t>
  </si>
  <si>
    <t>Molecular recognition: Evidence of the redox role of ferrocenyl-imine derivatives in the presence of copper (II) ions</t>
  </si>
  <si>
    <t>The design and development of new selective and sensitive chemosensors for metal ions is an area of intense research activity due to their important roles in medicine, living systems, and the environment. In this work, novel ferrocenyl derivatives functionalized with a crown ether linked via an olefin-imine spacer have been designed as versatile molecular recognizers for a series of metal ions (Na+, Ca+2, Cu2+, and Cd2+). By using UV-vis titrations, these systems showed a high affinity for Cu2+ among other metal ions, nevertheless, with unexpected optical behavior. With Spectroelectrochemical studies and electrochemical titrations we revealed that redox reactions between the ferrocenyl and the imine moieties of the spacer and the copper ions took place. These experimental results prove a redox reaction mechanism between both ferrocenyl and imine moieties in the presence of Cu2+. Therefore, this work puts a notice about the redox reaction that takes place between copper (II) and ferrocenyl-imine derivatives, and this information should be considered when designing metal ion chemosensors based on ferrocenyl and imine units, because this redox interaction would become a possible competition reaction. (C) 2019 Elsevier Ltd. All rights reserved.</t>
  </si>
  <si>
    <t>Silva, Carlos/IQS-5583-2023; Flores, Erick/GPK-2155-2022; Zapater, Carolina/MBH-1744-2025; PAVEZ, JORGE/K-6904-2014</t>
  </si>
  <si>
    <t>Maldonado Hernandez, Tamara/0000-0002-3863-3001; Godoy, Fernando/0000-0002-3916-4753; Silva, Carlos P./0000-0001-5344-042X; Oliver, Allen/0000-0002-0511-1127; Flores, Dr. Erick/0000-0002-2573-6650; PAVEZ, JORGE/0000-0002-5100-6707</t>
  </si>
  <si>
    <t>10.1016/j.electacta.2019.06.090</t>
  </si>
  <si>
    <t>WOS:000478969600051</t>
  </si>
  <si>
    <t>Jaimes, L; Vinet, R; Knox, M; Morales, B; Benites, J; Laurido, C; Martínez, JL</t>
  </si>
  <si>
    <t>Jaimes, Luisauris; Vinet, Raul; Knox, Marcela; Morales, Bernardo; Benites, Julio; Laurido, Claudio; Martinez, Jose L.</t>
  </si>
  <si>
    <t>A Review of the Actions of Endogenous and Exogenous Vasoactive Substances during the Estrous Cycle and Pregnancy in Rats</t>
  </si>
  <si>
    <t>ANIMALS</t>
  </si>
  <si>
    <t>Simple Summary The vascular endothelium plays an essential role in regulating cardiovascular homeostasis by controlling the vascular tone. However, it is known that variations of sex hormones in the female during the reproductive cycle have a significant impact on the homeostasis of the female cardiovascular system. Therefore, this review shows an overview of how the vascular smooth muscle response is altered in the presence of some endogenous and exogenous substances with vasoactive actions during the estrous cycle and during pregnancy in rats. We performed a systematic review of the literature using the Web of Science, PubMed, and Scielo database through multiple combinations of terms. We selected only those terms that coincided with the objectives of this study. The result of the review shows that several studies have observed both vasoconstrictive and vasodilatory responses induced by vasoactive substances during the estrous cycle and in ovariectomized and pregnant rats. The understanding of these effects is essential to optimize and develop new treatments for some vascular pathologies. Abstract Vascular endothelium plays a key role in regulating cardiovascular homeostasis by controlling the vascular tone. Variations in sex hormones during the reproductive cycle of females affect the homeostasis of the cardiovascular system. Also, the evidence shows that estrogens show a cardioprotective effect. On this basis, this study describes some vascular responses induced by vasoactive substances during the estrous cycle in rats. We obtained the information available on this topic from the online databases that included scientific articles published in the Web of Science, PubMed, and Scielo. Many investigations have evaluated the vasoactive response of substances such as acetylcholine and norepinephrine during the estrous cycle. In this review, we specifically described the vascular response to vasoactive substances in rats during the estrous cycle, pregnancy, and in ovariectomized rats. In addition, we discussed the existence of different signaling pathways that modulate vascular function. The knowledge of these effects is relevant for the optimization and development of new treatments for some vascular pathologies.</t>
  </si>
  <si>
    <t>Martinez, Jose/AAA-1725-2020; Benites, Julio/AAV-1672-2020; Benites, Julio/W-9167-2018</t>
  </si>
  <si>
    <t>Benites, Julio/0000-0002-8562-0078; Martinez, Jose/0000-0002-0177-4847</t>
  </si>
  <si>
    <t>2076-2615</t>
  </si>
  <si>
    <t>10.3390/ani9060288</t>
  </si>
  <si>
    <t>WOS:000475348700005</t>
  </si>
  <si>
    <t>Venegas-Troncoso, T; Ugarte-Larraguibel, G; Vasco, DA; Rouault, F; Pérez, R</t>
  </si>
  <si>
    <t>Venegas-Troncoso, Tomas; Ugarte-Larraguibel, Gaspar; Vasco, Diego A.; Rouault, Fabien; Perez, Rodrigo</t>
  </si>
  <si>
    <t>Feasibility study of the application of a cooling energy storage system in a chiller plant of an office building located in Santiago, Chile</t>
  </si>
  <si>
    <t>INTERNATIONAL JOURNAL OF REFRIGERATION-REVUE INTERNATIONALE DU FROID</t>
  </si>
  <si>
    <t>Energy consumption of commercial buildings has increasingly gained attention worldwide, because of its significant electricity consumption and peak power demand. Chiller plants are mostly used in commercial buildings to generate cold water for air conditioning. However, because the chiller plants and the refrigeration systems tend to be oversized with respect to their critical design load conditions, they certainly lead to higher energy consumption than a properly sized chiller plant. One possible way to reduce the power consumption and redistribute energy use is through the integration of latent heat thermal energy storage (LHTES) systems with air-cooling system in buildings. In the present work, a LHTES system based on ice is implemented along with a conventional chiller system of an existing commercial building located in Santiago, Chile. Different strategies of operation in a design day are assessed by computational simulation with EnergyPlus. A hybrid operation strategy is evaluated for the hottest summer week, and the results of the cooling loads are obtained. Finally, we founded that the implementation of a LHTES reduces by 7.8% the cooling energy consumption of the cooling system during the analyzed period. (C) 2019 Elsevier Ltd and IIR. All rights reserved.</t>
  </si>
  <si>
    <t>Rouault, Fabien/JBJ-7625-2023; Vasco, Diego/AAA-4480-2020; Rouault, Fabien/D-1919-2015</t>
  </si>
  <si>
    <t>Vasco, Diego Andres/0000-0001-7456-4683; Rouault, Fabien/0000-0002-6585-7983; Ugarte, Gaspar/0000-0002-0545-295X</t>
  </si>
  <si>
    <t>0140-7007</t>
  </si>
  <si>
    <t>1879-2081</t>
  </si>
  <si>
    <t>10.1016/j.ijrefrig.2019.01.028</t>
  </si>
  <si>
    <t>WOS:000471866600015</t>
  </si>
  <si>
    <t>Pereira, J; Ritt, M; Vásquez, OC</t>
  </si>
  <si>
    <t>Pereira, Jordi; Ritt, Marcus; Vasquez, Oscar C.</t>
  </si>
  <si>
    <t>A memetic algorithm for the cost-oriented robotic assembly line balancing problem</t>
  </si>
  <si>
    <t>COMPUTERS &amp; OPERATIONS RESEARCH</t>
  </si>
  <si>
    <t>In order to minimize costs, manufacturing companies have been relying on assembly lines for the mass production of commodity goods. Among other issues, the successful operation of an assembly line requires balancing work among the stations of the line in order to maximize its efficiency, a problem known in the literature as the assembly line balancing problem, ALBP. In this work, we consider an ALBP in which task assignment and equipment decisions are jointly considered, a problem that has been denoted as the robotic ALBP. Moreover, we focus on the case in which equipment has different costs, leading to a cost-oriented formulation. In order to solve the problem, which we denote as the cost-oriented robotic assembly line balancing problem, cRALBP, a hybrid metaheuristic is proposed. The metaheuristic embeds results obtained for two special cases of the problem within a genetic algorithm in order to obtain a memetic algorithm, applicable to the general problem. An extensive computational experiment shows the advantages of the hybrid approach and how each of the components of the algorithm contributes to the overall ability of the method to obtain good solutions. (C) 2018 Elsevier Ltd. All rights reserved.</t>
  </si>
  <si>
    <t>Pereira, Jordi/0000-0002-1736-3575; Vasquez, Oscar C./0000-0002-1393-4692</t>
  </si>
  <si>
    <t>0305-0548</t>
  </si>
  <si>
    <t>1873-765X</t>
  </si>
  <si>
    <t>10.1016/j.cor.2018.07.001</t>
  </si>
  <si>
    <t>WOS:000442059400019</t>
  </si>
  <si>
    <t>Vasco, DA; Salinas-Lira, C; Barra-Reyes, I; Elustondo, DM</t>
  </si>
  <si>
    <t>Vasco, Diego A.; Salinas-Lira, Carlos; Barra-Reyes, Ignacio; Elustondo, Diego M.</t>
  </si>
  <si>
    <t>Kinematic characterization of the pressure-dependent PCM impregnation process for radiata pine wood samples</t>
  </si>
  <si>
    <t>EUROPEAN JOURNAL OF WOOD AND WOOD PRODUCTS</t>
  </si>
  <si>
    <t>This paper reports on the properties of Pinus radiata wood impregnated with an organic phase change material (O-PCM). The tests are aimed at characterizing the kinetics of impregnation (rates, flows, and fronts) and the thermophysical properties (thermal conductivity and specific heat). In particular, a paraffin type O-PCM (octadecane) is used to impregnate dry radiata pine wood in the tangential flow direction at four manometric pressures (0, 1, 2, and 3 bar) and constant temperature of 50 degrees C. The wood is sapwood from 12-year old P. radiata growing in the Bio-Bio region and dimensioned according to Chilean standard for treated wood sample extraction. The results show that it is viable to impregnate P. radiata wood with O-PCM to improve its thermophysical properties with the purpose of passive conditioning.</t>
  </si>
  <si>
    <t>0018-3768</t>
  </si>
  <si>
    <t>1436-736X</t>
  </si>
  <si>
    <t>10.1007/s00107-018-1335-7</t>
  </si>
  <si>
    <t>WOS:000440691200010</t>
  </si>
  <si>
    <t>Rojas-Poblete, M; Carreño, A; Gacitúa, M; Páez-Hernández, D; Rabanal-León, WA; Arratia-Pérez, R</t>
  </si>
  <si>
    <t>Rojas-Poblete, Macarena; Carreno, Alexander; Gacitua, Manuel; Paez-Hernandez, Dayan; Rabanal-Leon, Walter A.; Arratia-Perez, Ramiro</t>
  </si>
  <si>
    <t>Electrochemical behaviors and relativistic DFT calculations to understand the terminal ligand influence on the [Re6(μ3-Q)8X6]4- clusters</t>
  </si>
  <si>
    <t>A Born-Haber thermodynamic cycle was used to determine the redox potential in a series of rhenium(III) clusters of the form [Re-6(mu(3)-Q)(8)X-6](4-) where Q = S2- and Se2- and X = F-, Cl-, Br-, I-, CN-, NC-, SCN-, NCS-, OCN- and NCO-. Frequency analysis, relativistic and solvent effects were considered to estimate the free energy of the reversible process Re-6(III)/(Re5ReIV)-Re-III at the DFT level. All the redox potentials were reported with respect to the standard hydrogen electrode (SHE) and show good agreement with the available experimental results. In general, the molecular orbitals involved in the redox process were localized in the cluster core, [Re-6(mu(3)-Q)(8)](2+), and therefore the peripheral ligands act only as a modifier of the crystal-field strength, influencing the energy of the frontier molecular orbital splitting. Additionally, the theoretical approach was validated using an experimental protocol to study the electrochemical behavior of the [Re-6(mu(3)-Se)(8)I-6](3-) cluster. An important first reversible reduction process was found at E-1/2 = +0.47 V (SHE), which is in good agreement with the value predicted theoretically.</t>
  </si>
  <si>
    <t>Arratia-Perez, Ramiro/AAG-2648-2019; Gacitua, Manuel/R-8868-2019; Páez-Hernández, Dayán/AAJ-3317-2020; Carreno, Alexander/I-6374-2019</t>
  </si>
  <si>
    <t>Rojas, Macarena/0000-0001-7243-4690; Carreno, Alexander/0000-0001-9733-8224; Paez-Hernandez, Dayan/0000-0002-8163-1343; Gacitua, Manuel/0000-0003-0807-2677; Paez, Dayan/0000-0003-2747-9982</t>
  </si>
  <si>
    <t>APR 7</t>
  </si>
  <si>
    <t>10.1039/c7nj05114j</t>
  </si>
  <si>
    <t>WOS:000429055100077</t>
  </si>
  <si>
    <t>Cruz, C; Spodine, E; Venegas-Yazigi, D; Paredes-Garcia, V</t>
  </si>
  <si>
    <t>Cruz, Carlos; Spodine, Evgenia; Venegas-Yazigi, Diego; Paredes-Garcia, Veronica</t>
  </si>
  <si>
    <t>Cu(II)-Gd(III) 2D-coordination polymer based on two different organic linkers</t>
  </si>
  <si>
    <t>15th International Conference on Molecule-Based Magnets (ICMM)</t>
  </si>
  <si>
    <t>SEP 04-08, 2016</t>
  </si>
  <si>
    <t>Sendai, JAPAN</t>
  </si>
  <si>
    <t>A new Cu-II-Gd-III heterometallic coordination polymer was obtained by a two-step synthesis, using the molecular complex [Cu(H2IDC)(2)(2,2 '-bipy)]center dot 2H(2)O (1) as metalloligand and oxalate as auxiliary ligand (H3IDC = 1H-imidazole-4,5-dicarboxylic acid). The new extended heterometallic network [Gd(H2O)(2)(C2O4)Cu(IDC)]center dot H2O (2) crystallizes in a View the MathML source triclinic space group presenting a 2D covalent structure. From a structural point of view, (2) can be defined as Gd-zigzag chains [Gd(H2O)(2)(C2O4)](+) linked by Cu-based molecules, [Cu(IDC)](-). A 3D structure is reached by non-covalent interactions between the layers. Also Gd...Cu interlayer interactions through synanti carboxylate ligands can be observed. Whereas, from room temperature to 100 K the network behaves as a paramagnet, below 20 K ferromagnetic interactions are observed. The ferromagnetic state was also corroborated by isothermal hysteresis loops measured at 2 K, giving values for Hc and Mr of 50 Oe and 500 emumol(-1), respectively. (C) 2017 Elsevier Ltd. All rights reserved.</t>
  </si>
  <si>
    <t>Paredes-Garcia, Veronica/C-4415-2011; Cruz, Carlos/KIG-8993-2024; Venegas-Yazigi, Diego/C-5022-2009</t>
  </si>
  <si>
    <t>Venegas-Yazigi, Diego/0000-0001-7816-2841; Cruz Herrera, Carlos/0000-0002-2644-4297</t>
  </si>
  <si>
    <t>10.1016/j.poly.2017.02.002</t>
  </si>
  <si>
    <t>WOS:000414883600022</t>
  </si>
  <si>
    <t>Venegas, CJ; Yedinak, E; Marco, JF; Bollo, S; Ruiz-León, D</t>
  </si>
  <si>
    <t>Venegas, C. J.; Yedinak, E.; Marco, J. F.; Bollo, S.; Ruiz-Leon, D.</t>
  </si>
  <si>
    <t>Co-doped stannates/reduced graphene composites: Effect of cobalt substitution on the electrochemical sensing of hydrogen peroxide</t>
  </si>
  <si>
    <t>Co-doped stannates, Zn2-xCoxSnO4(0.5 &lt;= x &lt;= 1.5), were produced by ceramic synthesis starting from the ZnSnO4 phase. Morphology, structure, and composition of synthesized compounds were examined using scanning electron microscopy, X-ray diffraction analysis (XRD), and X-ray photoelectron spectroscopy (XPS). Using XPS, cobalt ions are shown to have an oxidation state of 2(+), and XRD patterns showed the same crystalline structure for all Zn2-xCoxSnO4(0.5 &lt;= x &lt;= 1.5) phases, i.e., they are isostructural. The morphology of synthesized compounds shows appreciable differences in particle sizes which range from 80 nm to 500 nm, depending on how the ceramic was synthesized and the cobalt concentration. Co-doped stannates /reduced graphene (rGO) composites were prepared and used to modify glassy carbon electrodes (GCE). The resulting electrodes were evaluated for the amperometric determination of hydrogen peroxide. The catalytic activity of composites towards the oxidation of hydrogen peroxide was highly dependent on quantity of cobalt in the ceramic compound, and also on the quantity of rGO present in the composite. The pure cobalt stannate phase with a ratio of 8:1 (ceramic:rGO) exhibited the best catalytic activity towards hydrogen peroxide oxidation at low potentials (0.400V). A linear relationship between current and hydrogen peroxide concentration was obtained with a sensitivity of 0.43 mu AmM-1 cm(-2) and a detection limit of 0.31 mu M. (C) 2017 Elsevier B.V. All rights reserved.</t>
  </si>
  <si>
    <t>León, Domingo/AAE-7630-2019; Bollo, Soledad/B-5257-2011; Venegas Alburquenque, Constanza/ISV-5989-2023; Marco, JF/N-3176-2014</t>
  </si>
  <si>
    <t>Venegas Alburquenque, Constanza J./0000-0002-4303-7319; Ruiz Leon, Domingo/0000-0002-0950-6919; Bollo, Soledad/0000-0003-0868-4294; Marco, JF/0000-0002-5147-1449</t>
  </si>
  <si>
    <t>10.1016/j.snb.2017.04.154</t>
  </si>
  <si>
    <t>WOS:000404424100049</t>
  </si>
  <si>
    <t>Xin, L; Boutaous, M; Xin, SH; Siginer, DA</t>
  </si>
  <si>
    <t>Xin, Liu; Boutaous, Mhamed; Xin, Shihe; Siginer, Dennis A.</t>
  </si>
  <si>
    <t>Numerical modeling of the heating phase of the selective laser sintering process</t>
  </si>
  <si>
    <t>An accurate model and numerical method to simulate heat transfer for radiative heating of granular media is developed based on a modified Monte Carlo - ray tracing method and the Mie scattering theory. The effect of scattering on the radiative transfer and heat diffusion in semi-transparent polymer powder beds during laser sintering process is investigated via a 3D numerical model based on Discrete Elements Method (DEM) specifically developed for this purpose. In particular we show that DEM in combination with the specially developed Monte Carlo method is far more suitable to simulate radiative heat transfer and heat diffusion in a granular bed, polymeric or metallic, than the Finite Element Method (FEM). The method presented in this paper is particularly suitable for the simulation of additive manufacturing processes where similar radiative phenomena are of central importance. (C) 2017 Elsevier Masson SAS. All rights reserved.</t>
  </si>
  <si>
    <t>Xing, Liudong/AAG-9599-2020</t>
  </si>
  <si>
    <t>10.1016/j.ijthermalsci.2017.05.017</t>
  </si>
  <si>
    <t>WOS:000406989400005</t>
  </si>
  <si>
    <t>Encina, C; Vergara, C; Giménez, B; Oyarzún-Ampuero, F; Robert, P</t>
  </si>
  <si>
    <t>Encina, Cristian; Vergara, Cristina; Gimenez, Begona; Oyarzun-Ampuero, Felipe; Robert, Paz</t>
  </si>
  <si>
    <t>Conventional spray-drying and future trends for the microencapsulation of fish oil</t>
  </si>
  <si>
    <t>TRENDS IN FOOD SCIENCE &amp; TECHNOLOGY</t>
  </si>
  <si>
    <t>Polyunsaturated fatty acids, especially long-chain polyunsaturated omega-3 fatty acids (LCco3-PUFA), are essential in human nutrition because they play an important role in humans and prevent several diseases. Fish oil is a natural source of Lao3-PUFA that can be incorporated into food products. One of the major drawbacks of oils containing a high amount of 10.03-PUFA, such as fish oils, is their high susceptibility to oxidation and unpleasant flavours. Microencapsulation of fish oil by spray-drying has been proposed as a strategy to retard lipid auto-oxidation, improving oil stability, prolonging its shelf life, limiting the development of off-flavours and controlling the release into food. The encapsulation of fish oil by conventional spray-drying has been performed by preparing fish oil-in-water emulsions (micro- or nano-sized) by applying high shearing forces. The objective of this review is to compile the scientific research on the encapsulation of fish oil to discuss the main formulation and process variables that affect the physicochemical properties of the fish oil microparticles obtained by conventional spray-drying, the stability of fish oil during storage and the application of fish oil microparticles in food systems. An alternative strategy to conventional spray drying (water-free spray-drying) is also proposed. (C) 2016 Elsevier Ltd. All rights reserved.</t>
  </si>
  <si>
    <t>Vergara, Cristina/AAT-9575-2021; Robert, Paz/G-8198-2014</t>
  </si>
  <si>
    <t>Encina, Cristian/0000-0003-4324-6302; Oyarzun-Ampuero, Felipe/0000-0002-4951-0701</t>
  </si>
  <si>
    <t>0924-2244</t>
  </si>
  <si>
    <t>1879-3053</t>
  </si>
  <si>
    <t>10.1016/j.tifs.2016.07.014</t>
  </si>
  <si>
    <t>WOS:000384860700005</t>
  </si>
  <si>
    <t>Freitas, MDD; Mendes, R; Frederico, G; Odorczyk, RS; Córdova, FM; Durán, CA</t>
  </si>
  <si>
    <t>Freitas, Maria do Carmo D.; Mendes, Ricardo, Jr.; Frederico, Guilherme; Odorczyk, Ricardo S.; Cordova, Felisa M.; Duran, Claudia A.</t>
  </si>
  <si>
    <t>Theoretical Aspects of The Information and Knowledge Engineering</t>
  </si>
  <si>
    <t>Deepens the theoretical issues related to the Information and Knowledge Engineering with emphasis on reflection about its importance in the field of scientific research and social contribution to the development of the country. The paper presents these theoretical concepts: Information Engineering as the creation process and systematization of a volume of value-added data to a particular business. The Knowledge Engineering as the organized information that will facilitate recovery, capturing and processing in the form of a specialized knowledge; and the Strategic Competitive Intelligence as the understanding of a lack in the knowledge of the phenomena, identification of trends, risk mapping and discovery of opportunities related to the decision-making process in organizations. A systematic literature review is the method used in this study. Concludes that the information engineering (IE) and the knowledge engineering (KE) are revolutionaries in terms of information management in modern organizations. Active in the process of analysing large volumes of information they will have the power to reduce the cost by understanding the strategic business planning, data and modelling of processes, regardless of technology which will guide decision-making in any type of business.</t>
  </si>
  <si>
    <t>do Carmo Duarte Freitas, Maria/F-8658-2014; Frederico, Guilherme/V-3199-2019; CORDOVA, FELISA/S-1093-2019; Duran, Claudia/S-1175-2019; Mendes Junior, Ricardo/L-7154-2013</t>
  </si>
  <si>
    <t>Mendes Junior, Ricardo/0000-0003-4947-0364; Duarte Freitas, Maria do Carmo/0000-0002-7046-6020; Frederico, Guilherme Francisco/0000-0002-5330-4601; CORDOVA, FELISA/0000-0002-5557-8569</t>
  </si>
  <si>
    <t>WOS:000391251000031</t>
  </si>
  <si>
    <t>Barahona, CM; Martínez, LO; Rodríguez, JR</t>
  </si>
  <si>
    <t>Moyano Barahona, Cristina; Ortega Martinez, Luis; Rivas Rodriguez, Javier</t>
  </si>
  <si>
    <t>Parliamentary Elites of the Gran Concepcion between 1957 and 1973 Essay about the Constitution of Political Power Regarding Biographical Trajectories, the Central State and Political Regional Culture</t>
  </si>
  <si>
    <t>HISTORIA-SANTIAGO</t>
  </si>
  <si>
    <t>The study of congressional elites in regional spaces unfolds a wide array of problems, which allow for the understanding of issues as varied as the ways in which political capital is accumulated as in the nature of regional and party cultures. Through the combined use of a variety of sources -such as biographies, bibliographical publications, entrepreneurial and industrial bulletins and electoral records- this article explores the political history of Gran Concepcion in Southern Chile. The results obtained have allowed for the revision of several hypotheses about the country's electoral and ideological culture. Thus, for the years between 1957 and 1973 the questions posed are: historically, how have the political capitals of members of Congress representing Gran Concepcion been built? Which distinctive features does this space have and has this distinctiveness influenced the emergence of political elites? Is it possible to sustain that there is a regional political culture? And finally, is there a relationship between state institutions, spaces of sociability and social networks in the construction of the political capital of the most important members of Congress representing the region?</t>
  </si>
  <si>
    <t>0717-7194</t>
  </si>
  <si>
    <t>WOS:000368046200005</t>
  </si>
  <si>
    <t>Harris, M; Berretta, R; Inostroza-Ponta, M; Moscato, P</t>
  </si>
  <si>
    <t>Harris, Matthew; Berretta, Regina; Inostroza-Ponta, Mario; Moscato, Pablo</t>
  </si>
  <si>
    <t>A Memetic Algorithm for the Quadratic Assignment Problem with Parallel Local Search</t>
  </si>
  <si>
    <t>2015 IEEE CONGRESS ON EVOLUTIONARY COMPUTATION (CEC)</t>
  </si>
  <si>
    <t>IEEE Congress on Evolutionary Computation</t>
  </si>
  <si>
    <t>IEEE Congress on Evolutionary Computation (CEC)</t>
  </si>
  <si>
    <t>MAY 25-28, 2015</t>
  </si>
  <si>
    <t>The Quadratic Assignment Problem (QAP) is a well-studied, NP-Hard combinatorial optimization problem with practical applications in timetabling, scheduling, logistics, circuit design and data visualisation, to name a few. In this paper a Memetic Algorithm is described, which utilises a ternary tree structure for its population and uses a Tabu Search as its local improvement strategy. The Tabu Search is also run in parallel, significantly reducing the running time of the algorithm. The ternary tree not only stores the individuals within the population, but the inherent structure within this tree also determines parent selection for crossover. A small number of rules, which include fitness and diversity-based rules, govern whether a newly produced solution remains within the population, or whether it is discarded. These key features are tested against a basic Memetic Algorithm using the instances from the QAP library, QAPLIB, and have shown to significantly improve the performance in terms of both time and solution quality. The best version of the Memetic Algorithm is shown to perform competitively with some of the state-of-the-art algorithms for the QAP from the literature, with grid-based and real-life instances shown to be solved very efficiently and effectively by the presented algorithms.</t>
  </si>
  <si>
    <t>MOSCATO, PABLO/G-7668-2013; Inostroza-Ponta, Mario/G-7548-2012</t>
  </si>
  <si>
    <t>Berretta, Regina/0000-0002-4420-3446; Inostroza-Ponta, Mario/0000-0003-1295-8972; Moscato, Pablo/0000-0003-2570-5966</t>
  </si>
  <si>
    <t>978-1-4799-7492-4</t>
  </si>
  <si>
    <t>WOS:000380444800112</t>
  </si>
  <si>
    <t>Mohammed, A; Siginer, DA; Akyildiz, FT</t>
  </si>
  <si>
    <t>Mohammed, Alip; Siginer, Dennis A.; Akyildiz, Fahir Talay</t>
  </si>
  <si>
    <t>EIGENVALUES OF HOLOMORPHIC FUNCTIONS FOR THE THIRD BOUNDARY CONDITION</t>
  </si>
  <si>
    <t>QUARTERLY OF APPLIED MATHEMATICS</t>
  </si>
  <si>
    <t>The eigenvalue problem of holomorphic functions on the unit disc for the third boundary condition with general coefficient is studied using Fourier analysis. With a general anti-polynomial coefficient a variable number of additional boundary conditions need to be imposed to determine the eigenvalue uniquely. An additional boundary condition is required to obtain a unique eigenvalue when the coefficient includes an essential singularity rather than a pole. In either case explicit solutions are derived.</t>
  </si>
  <si>
    <t>Akyildiz, Fahir/JWG-1446-2024; Akyildiz, Fahir/N-4520-2013; Mohammed, Alip/R-5189-2016</t>
  </si>
  <si>
    <t>Mohammed, Alip/0000-0002-2114-0593</t>
  </si>
  <si>
    <t>0033-569X</t>
  </si>
  <si>
    <t>1552-4485</t>
  </si>
  <si>
    <t>10.1090/qam/1419</t>
  </si>
  <si>
    <t>WOS:000370802600010</t>
  </si>
  <si>
    <t>León, L; Lissi, EA; Celedón, G; Gonzalez, G; Pazos, F; Alvarez, C; Lanio, ME</t>
  </si>
  <si>
    <t>Leon, L.; Lissi, E. A.; Celedon, G.; Gonzalez, G.; Pazos, F.; Alvarez, C.; Lanio, M. E.</t>
  </si>
  <si>
    <t>Inactivation of the Pore-Forming Toxin Sticholysin I by Peroxynitrite: Protection by Cys Groups Incorporated in the Toxin</t>
  </si>
  <si>
    <t>Sea anemones synthesize a variety of toxic peptides and proteins of biological interest. The Caribbean Sea anemone Stichodactyla helianthus, produces two pore-forming toxins, Sticholysin I (St I) and Stichloysin II (St II), with the ability to form oligomeric pores in cell and lipid bilayers characteristically lacking cysteine in their amino acid sequences. Recently, two mutants of a recombinant variant of Sticholysin I (rSt I) have been obtained with a Cys residue in functionally relevant regions for the pore-forming activity of the toxin: r St I F15C (in the amino terminal sequence) and r St I R52C (in the binding site). Aiming at characterizing the effects of oxidants in toxins devoid (r St I) or containing -SH moieties (r St I F15C and r St I R52C), we measured their hemolytic activity and pore forming capacity prior and after their incubation with peroxynitrite (ONOO-). At low ONOO-/Toxin ratios, nearly 0.8 Trp groups are modified by each added peroxynitrite molecule, and the toxin activity is reduced in ca. 20 %. On the other hand, in -SH bearing mutants only 0.5 Trp groups are modified by each peroxynitrite molecule and the toxin activity is only reduced in 10 %. The results indicated that Cys is the initial target of the oxidative damage and that Trp residues in Cys-containing toxins were less damaged than those in r St I. This relative protection of Trp groups correlates with a smaller loss of hemolytic activity and permeabilization ability in liposomes and emphasizes the relevance of Trp groups in the pore forming capacity of the toxins.</t>
  </si>
  <si>
    <t>10.1007/s10930-014-9582-x</t>
  </si>
  <si>
    <t>WOS:000342454600010</t>
  </si>
  <si>
    <t>Molina-Quiroz, RC; Loyola, DE; Muñoz-Villagrán, CM; Quatrini, R; Vásquez, CC; Pérez-Donoso, JM</t>
  </si>
  <si>
    <t>Molina-Quiroz, Roberto C.; Loyola, David E.; Munoz-Villagran, Claudia M.; Quatrini, Raquel; Vasquez, Claudio C.; Perez-Donoso, Jose M.</t>
  </si>
  <si>
    <t>DNA, Cell Wall and General Oxidative Damage Underlie the Tellurite/Cefotaxime Synergistic Effect in Escherichia coli</t>
  </si>
  <si>
    <t>The constant emergence of antibiotic multi-resistant pathogens is a concern worldwide. An alternative for bacterial treatment using nM concentrations of tellurite was recently proposed to boost antibiotic-toxicity and a synergistic effect of tellurite/cefotaxime (CTX) was described. In this work, the molecular mechanism underlying this phenomenon is proposed. Global changes of the transcriptional profile of Escherichia coli exposed to tellurite/CTX were determined by DNA microarrays. Induction of a number of stress regulators (as SoxS), genes related to oxidative damage and membrane transporters was observed. Accordingly, increased tellurite adsorption/uptake and oxidative injuries to proteins and DNA were determined in cells exposed to the mixture of toxicants, suggesting that the tellurite-mediated CTX-potentiating effect is dependent, at least in part, on oxidative stress. Thus, the synergistic tellurite-mediated CTX-potentiating effect depends on increased tellurite uptake/adsorption which results in damage to proteins, DNA and probably other macromolecules. Our findings represent a contribution to the current knowledge of bacterial physiology under antibiotic stress and can be of great interest in the development of new antibiotic-potentiating strategies.</t>
  </si>
  <si>
    <t>Quatrini, Raquel/GSD-7689-2022; Molina-Quiroz, Roberto/H-4696-2019; Quatrini, Raquel/N-1801-2013; Perez-Donoso, Jose/G-3668-2013</t>
  </si>
  <si>
    <t>Quatrini, Raquel/0000-0003-2600-2605; Perez-Donoso, Jose/0000-0002-9506-1716; Loyola, David/0000-0003-4532-6373</t>
  </si>
  <si>
    <t>NOV 18</t>
  </si>
  <si>
    <t>e79499</t>
  </si>
  <si>
    <t>10.1371/journal.pone.0079499</t>
  </si>
  <si>
    <t>WOS:000327308500068</t>
  </si>
  <si>
    <t>Alarcón, H; Géminard, JC; Melo, F</t>
  </si>
  <si>
    <t>Alarcon, Hector; Géminard, Jean-Christophe; Melo, Francisco</t>
  </si>
  <si>
    <t>Effect of cohesion and shear modulus on the stability of a stretched granular layer</t>
  </si>
  <si>
    <t>The main mechanism of the cellular pattern which forms at the surface of a thin layer of a cohesive granular material submitted to in-plane stretching has been identified as the strain softening arising from the features of grain-grain interactions. We perform novel measurements of the strain field associated with such structures by using a correlation image technique and additionally characterize the cohesion and shear modulus of the samples. We show that for high cohesion the layer is fragile and the surface deformation is highly non linear, whereas at low cohesion, a smooth and linearly growing structure is observed as a function of external stretching. Analysis of the wavelength as a function of cohesion along with independent measurement of the shear modulus indicate that a simple model of strain-softening is acceptable if a mechanism of cluster formation due to cohesion is taking place.</t>
  </si>
  <si>
    <t>Melo, Francisco/M-3923-2014</t>
  </si>
  <si>
    <t>GEMINARD, Jean-Christophe Nicolas Denis/0000-0002-9773-4806; Melo, Francisco Esteban/0000-0001-6818-5476; Alarcon, Hector/0000-0003-4603-4946</t>
  </si>
  <si>
    <t>10.1103/PhysRevE.86.061303</t>
  </si>
  <si>
    <t>WOS:000312031400007</t>
  </si>
  <si>
    <t>Lemus-Mondaca, R; Vega-Gálvez, A; Zura-Bravo, L; Ah-Hen, K</t>
  </si>
  <si>
    <t>Lemus-Mondaca, Roberto; Vega-Galvez, Antonio; Zura-Bravo, Liliana; Ah-Hen, Kong</t>
  </si>
  <si>
    <t>Stevia rebaudiana Bertoni, source of a high-potency natural sweetener: A comprehensive review on the biochemical, nutritional and functional aspects</t>
  </si>
  <si>
    <t>Stevia rebaudiana Bertoni, an ancient perennial shrub of South America, produces diterpene glycosides that are low calorie sweeteners, about 300 times sweeter than saccharose. Stevia extracts, besides having therapeutic properties, contain a high level of sweetening compounds, known as steviol glycosides, which are thought to possess antioxidant, antimicrobial and antifungal activity. Stevioside and rebaudioside A are the main sweetening compounds of interest. They are thermostable even at temperatures of up to 200 degrees C, making them suitable for use in cooked foods. S. rebaudiana has a great potential as a new agricultural crop since consumer demand for herbal foods is increasing and proximate analysis has shown that Stevia also contains folic acid, vitamin C and all of the indispensable amino acids with the exception of tryptophan. Stevia cultivation and production would further help those who have to restrict carbohydrate intake in their diet; to enjoy the sweet taste with minimal calories. (C) 2011 Elsevier Ltd. All rights reserved.</t>
  </si>
  <si>
    <t>Ah-Hen, Kong/D-2591-2011; Vega-Galvez, Antonio/F-1089-2015; Zura-Bravo, Liliana/ACN-6815-2022; Lemus-Mondaca, Roberto/E-8348-2017</t>
  </si>
  <si>
    <t>Ah-Hen, Kong Shun/0000-0003-4595-0707; Vega-Galvez, Antonio/0000-0001-9991-6139; Lemus-Mondaca, Roberto/0000-0002-1252-2573; Zura-Bravo, Liliana/0000-0003-1403-5872</t>
  </si>
  <si>
    <t>10.1016/j.foodchem.2011.11.140</t>
  </si>
  <si>
    <t>WOS:000301022400002</t>
  </si>
  <si>
    <t>Atenas-Rivera, J; Rojas-Sateler, F; Pérez-Montoro, M</t>
  </si>
  <si>
    <t>Atenas-Rivera, Javiera; Rojas-Sateler, Francisco; Perez-Montoro, Mario</t>
  </si>
  <si>
    <t>Open educational resources repositories as academic information tools</t>
  </si>
  <si>
    <t>PROFESIONAL DE LA INFORMACION</t>
  </si>
  <si>
    <t>The open educational resources (OER) repositories facilitate access to knowledge, creating opportunities for academic institutions to share pedagogical materials that can enhance the teaching and learning experience in higher education. They can be reused, translated or modified, and even disseminated through social networks, making these multimedia materials accessible anywhere at any time, without economic and copyright barriers, thereby encouraging active participation in the democratic education movement.</t>
  </si>
  <si>
    <t>Perez-Montoro, Mario/E-1472-2012</t>
  </si>
  <si>
    <t>Perez-Montoro, Mario/0000-0003-2426-8119</t>
  </si>
  <si>
    <t>1386-6710</t>
  </si>
  <si>
    <t>10.3145/epi.2012.mar.10</t>
  </si>
  <si>
    <t>WOS:000302851700010</t>
  </si>
  <si>
    <t>Ruan, X; Loyola, DE; Marolda, CL; Perez-Donoso, JM; Valvano, MA</t>
  </si>
  <si>
    <t>Ruan, Xiang; Loyola, David E.; Marolda, Cristina L.; Perez-Donoso, Jose M.; Valvano, Miguel A.</t>
  </si>
  <si>
    <t>The WaaL O-antigen lipopolysaccharide ligase has features in common with metal ion-independent inverting glycosyltransferases*</t>
  </si>
  <si>
    <t>GLYCOBIOLOGY</t>
  </si>
  <si>
    <t>WaaL is a membrane enzyme that catalyzes a key step in lipopolysaccharide (LPS) synthesis: the glycosidic bonding of a sugar at the proximal end of the undecaprenyl-diphosphate (Und-PP) O-antigen with a terminal sugar of the lipid A-core oligosaccharide (OS). Utilizing an in vitro assay, we demonstrate here that ligation with purified Escherichia coli WaaL occurs without adenosine-5'-triphosphate (ATP) and magnesium ions. Furthermore, E. coli and Pseudomonas aeruginosa WaaL proteins cannot catalyze ATP hydrolysis in vitro. We also show that a lysine substitution of the arginine (Arg)-215 residue renders an active protein, whereas WaaL mutants with alanine replacements in the periplasmic-exposed residues Arg-215, Arg-288 and histidine (His)-338 and also the membrane-embedded aspartic acid-389 are nonfunctional. An in silico approach, combining predicted topological information with the analysis of sequence conservation, confirms the importance of a positive charge at the small periplasmic loop of WaaL, since an Arg corresponding to Arg-215 was found at a similar position in all the WaaL homologs. Also, a universally conserved H[NSQ]X(9)GXX[GTY] motif spanning the C-terminal end of the predicted large periplasmic loop and the membrane boundary of the transmembrane helix was identified. The His residue in this motif corresponds to His-338. A survey of LPS structures in which the linkage between O-antigen and lipid A-core OS was elucidated reveals that it is always in the beta-configuration, whereas the sugars bound to Und-PP are in the alpha-configuration. Together, our biochemical and in silico data argue that WaaL proteins use a common reaction mechanism and share features of metal ion-independent inverting glycosyltransferases.</t>
  </si>
  <si>
    <t>Perez-Donoso, Jose/G-3668-2013; Valvano, Miguel/G-8759-2012</t>
  </si>
  <si>
    <t>Perez-Donoso, Jose/0000-0002-9506-1716; Loyola, David/0000-0003-4532-6373; Valvano, Miguel/0000-0001-8229-3641</t>
  </si>
  <si>
    <t>0959-6658</t>
  </si>
  <si>
    <t>1460-2423</t>
  </si>
  <si>
    <t>10.1093/glycob/cwr150</t>
  </si>
  <si>
    <t>WOS:000299095300012</t>
  </si>
  <si>
    <t>Mahn, AV; Toledo, HM; Ruz, M</t>
  </si>
  <si>
    <t>Mahn, Andrea V.; Toledo, Hector M.; Ruz, Manuel</t>
  </si>
  <si>
    <t>Dietary supplementation with selenomethylselenocysteine produces a differential proteomic response</t>
  </si>
  <si>
    <t>JOURNAL OF NUTRITIONAL BIOCHEMISTRY</t>
  </si>
  <si>
    <t>Organic forms of selenium offer important health benefits including cancer prevention. Selenium intake has been traditionally quantified as glutathioneperoxidase activity or selenium concentration in blood or tissues. However, these indexes do not reflect organic selenium intake. Effect of dietary supplementation of rats with selenomethylselenocysteine on the blood plasma proteome was investigated in order to detect protein abundance differences between experimental (supranutritional selenium supplementation) and control [minimum selenium dose and sodium selenate instead of selenomethylselenocysteine (SeMSeCys)] groups. Four experimental groups and six control groups consisting of six rats each were fed with base diet supplemented with SeMSeCys or sodium selenate in different concentrations for different periods of time. A proteomic approach, comprising two-dimensional gel electrophoresis and mass spectrometry, was used to assess protein abundance in blood plasma. Statistically significant differences in the abundance of some proteins were detected in all the experimental groups. Four proteins were found to increase their abundance in response to the experimental conditions: apolipoprotein E, haptoglobin and alpha-1-antitrypsin abundance was related to the extent of supplementation period and transthyretin in response to SeMSeCys dose. Apolipoprotein E and transthyretin were not differentially expressed when diets were supplemented with sodium selenate instead of SeMSeCys. We postulate that these proteins are potential biomarkers of chemoprotective selenium intake. (C) 2009 Elsevier Inc. All rights reserved.</t>
  </si>
  <si>
    <t>Ruz, Manuel/0000-0001-6010-8409</t>
  </si>
  <si>
    <t>0955-2863</t>
  </si>
  <si>
    <t>1873-4847</t>
  </si>
  <si>
    <t>10.1016/j.jnutbio.2008.07.008</t>
  </si>
  <si>
    <t>WOS:000270439400006</t>
  </si>
  <si>
    <t>Cerda, E; Mahadevan, L</t>
  </si>
  <si>
    <t>Confined developable elastic surfaces:: cylinders, cones and the Elastica</t>
  </si>
  <si>
    <t>PROCEEDINGS OF THE ROYAL SOCIETY A-MATHEMATICAL PHYSICAL AND ENGINEERING SCIENCES</t>
  </si>
  <si>
    <t>We consider two of the simplest problems associated with the packing of a naturally flat thin elastic sheet. Both problems involve packing the sheet into a hollow cylinder; the first considers the partial contact of a cylindrically curved sheet with a cylindrical surface, while the second considers the partial contact of a conically curved sheet with the edge of a cylindrical surface. In each case, we solve the free-boundary problems to determine the shape, response and stability of the confined surfaces. In particular, we show that an exact description of both the cylindrical and conical structures is given by solutions of the Elastica equation, allowing us to present a unified description of a large class of elastic developable surfaces. This includes what is possibly the simplest example of strain localization, occurring at a point and forming one of the constituent elements of a crumpled elastic sheet.</t>
  </si>
  <si>
    <t>1364-5021</t>
  </si>
  <si>
    <t>1471-2946</t>
  </si>
  <si>
    <t>10.1098/rspa.2004.1371</t>
  </si>
  <si>
    <t>WOS:000227283900004</t>
  </si>
  <si>
    <t>Moya, J; Pizarro, H; Jashés, M; De Clercq, E; Sandino, AM</t>
  </si>
  <si>
    <t>In vivo effect of EICAR (5-ethynyl-1-β-D-ribofuranosylimidazole-carboxamide) on experimental infected rainbow trout (Oncorhynchus mykiss) and coho salmon (Onchorhynchus kisutch) fry with infectious pancreatic necrosis virus</t>
  </si>
  <si>
    <t>The in vivo antiviral effect of 5-ethynyl-1-beta -D-ribofuranosylimidazole-carboxamide (EICAR) was evaluated in coho salmon and rainbow trout fry, experimentally infected with infectious pancreatic necrosis virus (IPNV). Treatment consisted of a daily bath of 2 h in 0.4 mug ml(-1) or 0.8 mug ml(-1) of EICAR, for approximately 20 days. The behavior of the fish was studied for 45 days post-infection. The survival of the infected treated groups was compared with the survival of non-infected and infected untreated control groups. The results showed that the survival of coho salmon and rainbow trout fry in the infected group treated with both doses of EICAR was similar to the survival observed in the healthy control group (approximately 94%). While, the survival of the infected and untreated control fish was 56% for salmon and 28% for trout, there were no significant difference in the weight of coho salmon fry between those treated with EICAR and non-infected and infected untreated control groups. However, in rainbow trout there was a statistically significant weight' decrease in infected untreated group. Finally, the analysis of tissue samples of the fish by reverse transcription associated with the polymerase chain reaction (RT-PCR) suggest that EICAR have decreased the viral load in infected treated fry. Consequently, the results indicate that EICAR is an effective inhibitor of IPNV replication in vivo and could be a promissory antiviral compound for the treatment of IPNV disease. (C) 2000 Elsevier Science B.V. All rights reserved.</t>
  </si>
  <si>
    <t>De Clercq, Erik/0000-0002-2985-8890; SANDINO, ANA MARIA/0000-0002-3862-3743</t>
  </si>
  <si>
    <t>10.1016/S0166-3542(00)00122-4</t>
  </si>
  <si>
    <t>WOS:000165811600005</t>
  </si>
  <si>
    <t>GOTTLIEB, D; HOJMAN, R; RODRIGUEZ, LH; ZAMORANO, N</t>
  </si>
  <si>
    <t>YUKAWA POTENTIAL IN A SCHWARZSCHILD BACKGROUND</t>
  </si>
  <si>
    <t>NUOVO CIMENTO DELLA SOCIETA ITALIANA DI FISICA B-GENERAL PHYSICS RELATIVITY ASTRONOMY AND MATHEMATICAL PHYSICS AND METHODS</t>
  </si>
  <si>
    <t>0369-3554</t>
  </si>
  <si>
    <t>10.1007/BF02899373</t>
  </si>
  <si>
    <t>WOS:A1984SR16200006</t>
  </si>
  <si>
    <t>ALVEAR, M; JABALQUINTO, AM; EYZAGUIRRE, J; CARDEMIL, E</t>
  </si>
  <si>
    <t>PURIFICATION AND CHARACTERIZATION OF AVIAN LIVER MEVALONATE-5-PYROPHOSPHATE DECARBOXYLASE</t>
  </si>
  <si>
    <t>BIOCHEMISTRY</t>
  </si>
  <si>
    <t>Mevalonate-5-pyrophosphate decarboxylase was purified 5800 times from chicken liver and obtained in a stable and highly purified form. The protein is a dimer of MW 85,400 .+-. 1941, and its subunits were not resolved by gel electrophoresis in denaturing conditions. The purified enzyme does not require the presence of SH-containing reagents for either activity or stability. The enzyme shows a high specificity for ATP and requires for activity a divalent metal cation, Mg2+ being most effective. The optimum pH for the enzyme ranges from 4.0-6.5. Inhibitory effects for the enzyme activity were detected by citrate, phthalate, and phosphate. The isoelectric point, as determined by column choromatofocusing, is 4.8. The kinetics are hyperbolic for both substrates, showing a sequential mechanism; true Km values of 0.0141 mM and 0.504 mM were obtained for mevalonate-5-pyrophosphate and ATP, respectively.</t>
  </si>
  <si>
    <t>0006-2960</t>
  </si>
  <si>
    <t>1520-4995</t>
  </si>
  <si>
    <t>10.1021/bi00262a020</t>
  </si>
  <si>
    <t>WOS:A1982PG49500020</t>
  </si>
  <si>
    <t>Jacobs-Capdeville, P; Kuang, SB; Evans, T; Song, S; Yu, AB</t>
  </si>
  <si>
    <t>Jacobs-Capdeville, Patricio; Kuang, Shibo; Evans, Tim; Song, Sunny; Yu, Aibing</t>
  </si>
  <si>
    <t>GPU-DEM study of the flow and energy dissipation behaviors of burden materials in a full bell-less blast furnace charging system</t>
  </si>
  <si>
    <t>The blast furnace bell-less top charging system involves multiple handling steps that affect burden distribution in the furnace throat. This study employs a GPU-DEM model to analyze particle motion and energy dissipation of burden materials from the belt conveyor to the furnace throat, providing insights into flow behavior, segregation, degradation, and erosion. Particle properties and size distributions strongly affect the flow structure. Pellets exhibit higher velocities than lumps, sinters, and coke, with differences decreasing in the rotating chute. Four regions of high energy dissipation were found, with coke and sinter degradation reaching 15 % of the feed and lump and pellet degradation remaining around 1 %. Wear intensifies with broader particle size distributions, driven by shear energy. Segregation before hopper filling is minimal, but in-hopper segregation significantly impacts in-furnace segregation, where larger particles accumulate at the periphery and top. Heap formation arises mainly from shifts between rolling and impact energy dissipation.</t>
  </si>
  <si>
    <t>Kuang, Shibo/H-4935-2013</t>
  </si>
  <si>
    <t>Kuang, Shibo/0000-0002-2969-9420</t>
  </si>
  <si>
    <t>10.1016/j.powtec.2025.121035</t>
  </si>
  <si>
    <t>WOS:001473595600001</t>
  </si>
  <si>
    <t>Aparicio, R; Keyantuo, V; Lizama, C</t>
  </si>
  <si>
    <t>Aparicio, Rafael; Keyantuo, Valentin; Lizama, Carlos</t>
  </si>
  <si>
    <t>Characterization of well-posedness for second-order abstract differential equations on continuous function spaces</t>
  </si>
  <si>
    <t>We give a characterization of closed and densely defined linear operators A on a Banach space X such that the Dirichlet boundary value problem for the homogeneous linear second order differential equation u ''(t)+Au(t) = 0, t is an element of [0, pi], is uniformly well-posed. When -A is a sectorial operator, we show that the problem is uniformly well-posed. In the case where -A is the infinitesimal generator of a uniformly bounded cosine function with 1 is an element of rho(Cos(2 pi)), we prove that the problem is uniformly well-posed for A and -A. Some concrete examples are given. (c) 2025 Elsevier Inc. All rights are reserved, including those for text and data mining, AI training, and similar technologies.</t>
  </si>
  <si>
    <t>Lizama, Carlos/E-5909-2011; Aparicio, Rafael/AES-7044-2022</t>
  </si>
  <si>
    <t>10.1016/j.jmaa.2025.129534</t>
  </si>
  <si>
    <t>APR 2025</t>
  </si>
  <si>
    <t>WOS:001463938500001</t>
  </si>
  <si>
    <t>Rivera-Tobar, D; Pérez-Won, M; Jara-Quijada, E; González-Cavieres, L; Tabilo-Munizaga, G; Lemus-Mondaca, R</t>
  </si>
  <si>
    <t>Rivera-Tobar, Daniela; Perez-Won, Mario; Jara-Quijada, Erick; Gonzalez-Cavieres, Luis; Tabilo-Munizaga, Gipsy; Lemus-Mondaca, Roberto</t>
  </si>
  <si>
    <t>Principles of ultrasonic agglomeration and its effect on physicochemical and macro- and microstructural properties of foods</t>
  </si>
  <si>
    <t>Ultrasonic compaction, also known as ultrasonic agglomeration, is an emerging technology that represents a novel alternative for food agglomeration; it is of great interest to the food industry. This review aims to gather information on the physicochemical, organoleptic, microbiological, and structural changes generated by ultrasound and study the fundamentals of agglomeration and ultrasound in different food matrices. In addition, chemical changes are reported in some nutrients related to conformational changes, such as the disintegration of diacylglycerides into monoacylglycerols, disordering of the crystalline region of starch granules to the amorphous phase, disruption of the membrane in plant cells, and transient or permanent modification of the protein structure (3D folding). The increasing development of patents can provide an insight into the potential of ultrasonic agglomeration applications in the food industry.</t>
  </si>
  <si>
    <t>Tabilo-Munizaga, Gipsy/AAM-5457-2021; Jara-Quijada, Erick/LKK-5497-2024; Lemus-Mondaca, Roberto/E-8348-2017</t>
  </si>
  <si>
    <t>Lemus-Mondaca, Roberto/0000-0002-1252-2573; Gonzalez-Cavieres, Luis/0000-0002-1465-0245; Jara Quijada, Erick Abraham/0000-0002-9508-7027</t>
  </si>
  <si>
    <t>10.1016/j.foodchem.2024.141309</t>
  </si>
  <si>
    <t>WOS:001324759900001</t>
  </si>
  <si>
    <t>Gonzalez-Donoso, A; Jara-Rosales, S; Rosemblatt, M; Osses, M; Padilla-Meza, J; Godoy-Guzmán, C</t>
  </si>
  <si>
    <t>Gonzalez-Donoso, Alexis; Jara-Rosales, Sergio; Rosemblatt, Mariana; Osses, Monica; Padilla-Meza, Jaime; Godoy-Guzman, Carlos</t>
  </si>
  <si>
    <t>Impact of an E-Learning Histology Course on the Satisfaction and Performance of Medical, Nursing and Midwifery Students</t>
  </si>
  <si>
    <t>The importance and relevance of e-learning courses in medicine and health sciences has increased significantly in the last decade. Despite this, there are few published teaching experiences of e-learning histology courses in the literatureoldwide.w The histology course we designed was structured on the Moodle platform as a learning management system, and the content was proposed in a synchronous (zoom) and asynchronous (recordings) format. We also included the use of free virtual microscopys. This tool study aimed to investigate the impact of an e-learning histology course on the satisfaction and performance of medical,and nursing midwifery students. The sample included 424 Chilean medical, nursing, and midwifery students from two cohorts. A Likert-typervey su was administered at the end of the course. We performed exploratory analysis and ordinary least squares regression. Indy, this we stu present a positive experience of an e- learning histology course. Exploratory factor analysis revealed three main factorsed to relatelearning satisfaction, in-person class activities, and course design and teaching quality. We also found that there waspositive a and significant relationship between students' perceptions of the adaptation of the traditional (face-to-face) histology cours an inte-learning format and their academic performance. Our study shows that e-learning histology courses that integrate lectures and sessionspractical can be a valuable teaching method for learning histology. Curriculum developers and teachers need to consider the nd limitations a advantages of this type of teaching and incorporate these three factors into the design and assessment of e-learning courses.histology</t>
  </si>
  <si>
    <t>Godoy-Guzman, Carlos/0000-0001-8451-7047</t>
  </si>
  <si>
    <t>WOS:001308286200038</t>
  </si>
  <si>
    <t>Núnez, A; Vial, R; Evensen, C; Munoz-Herrera, C; Díaz, LR; Jovicic, V; Delgado, A; Toledo, M</t>
  </si>
  <si>
    <t>Nunez, Alfredo; Vial, Rocio; Evensen, Cristobal; Munoz-Herrera, Claudio; Diaz, Luis R.; Jovicic, Vojislav; Delgado, Antonio; Toledo, Mario</t>
  </si>
  <si>
    <t>Numerical and experimental investigation of irradiance profiles on suspended particles in a flat disk photoreactor for hydrogen generation</t>
  </si>
  <si>
    <t>CHEMICAL ENGINEERING SCIENCE</t>
  </si>
  <si>
    <t>Regarding sustainable energy alternatives, the present work evaluates hydrogen production using suspended particles exposed to an irradiance of 247 W/m2. A 1.0 L flat disk photoreactor (FDP) was designed for evaluating agitation speeds of 100, 175, and 250 RPM, and particle concentrations of 0.5, 1.0, and 2.0 g/L. Through CFDassisted, a non-conformal meshing of 551,000 polyhedral elements was created, coupling Volume of Fluids, Discrete Particle Modelling, and Discrete Ordinates Model methods. Transient simulation shows a maximum particle homogenization of 84 % at 0.5 g/L and 250 RPM, and a maximum average exposure profile of 140 W/m2 for 27% of the particles with an initial loading of 1.0 g/L at 250 RPM. Effective concentration in the FDP was measured, determining an accuracy of 84.35% and 71.32%, respectively, concerning the model used in the simulation. It is concluded that the FDP developed provides good semiconductor behavior for an effective hydrogen production process.</t>
  </si>
  <si>
    <t>Mercado Diaz, Luis Roberto/JWO-5938-2024; Toledo, Mario/Q-4859-2019</t>
  </si>
  <si>
    <t>Munoz-Herrera, Claudio/0000-0002-9950-5871; Toledo, Mario/0000-0001-6443-9256; Delgado, Antonio/0000-0003-1124-4185</t>
  </si>
  <si>
    <t>0009-2509</t>
  </si>
  <si>
    <t>1873-4405</t>
  </si>
  <si>
    <t>10.1016/j.ces.2023.119298</t>
  </si>
  <si>
    <t>WOS:001091637600001</t>
  </si>
  <si>
    <t>Coss-Mandiola, J; Vanegas-López, J; Dubó, ARP; Campillay-Campillay, M; Carrasco, R</t>
  </si>
  <si>
    <t>Coss-Mandiola, J.; Vanegas-Lopez, J.; Dubo, A. Rojas P.; Campillay-Campillay, M.; Carrasco, R.</t>
  </si>
  <si>
    <t>QUALITY ACCREDITATION IN PRIMARY HEALTH CARE IN CHILE: PERCEPTION OF THE TEAMS OF ACCREDITED FAMILY HEALTH CENTERS</t>
  </si>
  <si>
    <t>Vanegas, Jairo/AAK-4264-2020; Carrasco, Ricardo/MEP-6467-2025; Campillay Campillay, Maggie/ADC-6657-2022</t>
  </si>
  <si>
    <t>S356</t>
  </si>
  <si>
    <t>WOS:001161877400892</t>
  </si>
  <si>
    <t>Pertusa, M; Solorza, J; Madrid, R</t>
  </si>
  <si>
    <t>Pertusa, Maria; Solorza, Jocelyn; Madrid, Rodolfo</t>
  </si>
  <si>
    <t>Molecular determinants of TRPM8 function: key clues for a cool modulation</t>
  </si>
  <si>
    <t>Cold thermoreceptor neurons detect temperature drops with highly sensitive molecular machinery concentrated in their peripheral free nerve endings. The main molecular entity responsible for cold transduction in these neurons is the thermo-TRP channel TRPM8. Cold, cooling compounds such as menthol, voltage, and osmolality rises activate this polymodal ion channel. Dysregulation of TRPM8 activity underlies several physiopathological conditions, including painful cold hypersensitivity in response to axonal damage, migraine, dry-eye disease, overactive bladder, and several forms of cancer. Although TRPM8 could be an attractive target for treating these highly prevalent diseases, there is still a need for potent and specific modulators potentially suitable for future clinical trials. This goal requires a complete understanding of the molecular determinants underlying TRPM8 activation by chemical and physical agonists, inhibition by antagonists, and the modulatory mechanisms behind its function to guide future and more successful treatment strategies. This review recapitulates information obtained from different mutagenesis approaches that have allowed the identification of specific amino acids in the cavity comprised of the S1-S4 and TRP domains that determine modulation by chemical ligands. In addition, we summarize different studies revealing specific regions within the N- and C-terminus and the transmembrane domain that contribute to cold-dependent TRPM8 gating. We also highlight the latest milestone in the field: cryo-electron microscopy structures of TRPM8, which have provided a better comprehension of the 21 years of extensive research in this ion channel, shedding light on the molecular bases underlying its modulation, and promoting the future rational design of novel drugs to selectively regulate abnormal TRPM8 activity under pathophysiological conditions.</t>
  </si>
  <si>
    <t>Madrid, Rodolfo/MCJ-4974-2025</t>
  </si>
  <si>
    <t>Pertusa, Maria/0000-0003-3856-9019; Madrid, Rodolfo/0000-0002-8623-5761; Solorza Marquez, Jocelyn Constanza/0000-0002-3208-104X</t>
  </si>
  <si>
    <t>10.3389/fphar.2023.1213337</t>
  </si>
  <si>
    <t>WOS:001021409000001</t>
  </si>
  <si>
    <t>Faba, S; Arrieta, MP; Agüero, A; Torres, A; Romero, J; Rojas, A; Galotto, MJ</t>
  </si>
  <si>
    <t>Faba, Simon; Arrieta, Marina P.; Aguero, Angel; Torres, Alejandra; Romero, Julio; Rojas, Adrian; Galotto, Maria Jose</t>
  </si>
  <si>
    <t>Processing Compostable PLA/Organoclay Bionanocomposite Foams by Supercritical CO2 Foaming for Sustainable Food Packaging</t>
  </si>
  <si>
    <t>POLYMERS</t>
  </si>
  <si>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t>
  </si>
  <si>
    <t>Rojas, Adrián/ISB-5770-2023; Faba, Simón/MTD-2779-2025; Romero, Julio/I-6705-2013; Rodriguez, Angel/AAC-7501-2019; Arrieta, Marina Patricia/F-9067-2016</t>
  </si>
  <si>
    <t>Faba, Simon/0000-0002-4299-0052; Romero, Julio/0000-0002-1229-1592; Arrieta, Marina Patricia/0000-0003-1816-011X; Aguero Rodriguez, Angel/0000-0002-5298-3796; Rojas, Adrian/0000-0001-9253-1295</t>
  </si>
  <si>
    <t>2073-4360</t>
  </si>
  <si>
    <t>10.3390/polym14204394</t>
  </si>
  <si>
    <t>WOS:000873639400001</t>
  </si>
  <si>
    <t>Damiani, A; Irie, H; Belikov, DA; Kaizuka, S; Hoque, HMS; Cordero, RR</t>
  </si>
  <si>
    <t>Damiani, Alessandro; Irie, Hitoshi; Belikov, Dmitry A.; Kaizuka, Shuei; Hoque, Hossain Mohammed Syedul; Cordero, Raul R.</t>
  </si>
  <si>
    <t>Peculiar COVID-19 effects in the Greater Tokyo Area revealed by spatiotemporal variabilities of tropospheric gases and light-absorbing aerosols</t>
  </si>
  <si>
    <t>ATMOSPHERIC CHEMISTRY AND PHYSICS</t>
  </si>
  <si>
    <t>This study investigated the spatiotemporal variabilities in nitrogen dioxide (NO2), formaldehyde (HCHO), ozone (O-3), and light-absorbing aerosols within the Greater Tokyo Area, Japan, which is the most populous metropolitan area in the world. The analysis is based on total tropospheric column, partial tropospheric column (within the boundary layer), and in situ observations retrieved from multiple platforms as well as additional information obtained from reanalysis and box model simulations. This study mainly covers the 2013-2020 period, focusing on 2020 when air quality was influenced by the coronavirus 2019 (COVID-19) pandemic. Although total and partial tropospheric NO2 columns were reduced by an average of about 10 % in 2020, reductions exceeding 40 % occurred in some areas during the pandemic state of emergency. Light-absorbing aerosol levels within the boundary layer were also reduced for most of 2020, while smaller fluctuations in HCHO and O-3 were observed. The significantly enhanced degree of weekly cycling of NO2, HCHO, and light-absorbing aerosol found in urban areas during 2020 suggests that, in contrast to other countries, mobility in Japan also dropped on weekends. We conclude that, despite the lack of strict mobility restrictions in Japan, widespread adherence to recommendations designed to limit the COVID-19 spread resulted in unique air quality improvements.</t>
  </si>
  <si>
    <t>Damiani, Alessandro/X-4677-2019; Hoque, Hossain/AFF-9480-2022; Cordero, Raul/M-7979-2017</t>
  </si>
  <si>
    <t>Cordero, Raul R./0000-0001-7607-7993; Damiani, Alessandro/0000-0003-3014-6193</t>
  </si>
  <si>
    <t>1680-7316</t>
  </si>
  <si>
    <t>1680-7324</t>
  </si>
  <si>
    <t>SEP 29</t>
  </si>
  <si>
    <t>10.5194/acp-22-12705-2022</t>
  </si>
  <si>
    <t>WOS:000861478000001</t>
  </si>
  <si>
    <t>Barrera, C; García-Herrera, C; Celentano, DJ; Signorelli, JW</t>
  </si>
  <si>
    <t>Barrera, Carlos; Garcia-Herrera, Claudio; Celentano, Diego J.; Signorelli, Javier W.</t>
  </si>
  <si>
    <t>Material and Damage Characterization of the Elastoplastic Response of the EK4 Deep Drawing Steel</t>
  </si>
  <si>
    <t>Although EK4 drawing steel is nowadays widely used to manufacture a great variety of parts, it exhibits a marked normal and planar anisotropy that can make it difficult to control the process during its forming. In order to achieve an accurate description of the elastoplastic material response in sheet forming operations, this work presents a detailed material and damage characterization of EK4 deep drawing steel through a two-step methodology involving both experiments and finite element simulations. Firstly, tensile tests on sheet samples cut along the rolling, diagonal and transverse directions were carried out. The corresponding measurements were used to calibrate the material parameters related to the following modeling approaches adopted in the present study: the Hollomon hardening law, the non-associated Hill-48 phenomenological constitutive model and the anisotropic Hosford-Coulomb ductile fracture criterion. Secondly, this characterization was assessed and validated in the numerical simulation of the technological Erichsen test in which the material is mainly subjected to a biaxial stress state. The obtained predictions show a good agreement when compared with the corresponding experimental measurements of the punch load-displacement curve and thickness radial profile at the final fracture stage of the sample.</t>
  </si>
  <si>
    <t>García-Herrera, Claudio/ABE-8991-2020; Celentano, Diego/JQW-5027-2023</t>
  </si>
  <si>
    <t>Garcia-Herrera, Claudio/0000-0002-1283-8551</t>
  </si>
  <si>
    <t>10.3390/met12050720</t>
  </si>
  <si>
    <t>WOS:000801335500001</t>
  </si>
  <si>
    <t>Travieso-Torres, JC; Vilaragut-Llanes, M; Costa-Montiel, A; Duarte-Mermoud, MA; Aguila-Camacho, N; Contreras-Jara, C; Alvarez-Gracia, A</t>
  </si>
  <si>
    <t>Carlos Travieso-Torres, Juan; Vilaragut-Llanes, Miriam; Costa-Montiel, Angel; Duarte-Mermoud, Manuel A.; Aguila-Camacho, Norelys; Contreras-Jara, Camilo; Alvarez-Gracia, Alejandro</t>
  </si>
  <si>
    <t>New Adaptive High Starting Torque Scalar Control Scheme for Induction Motors Based on Passivity</t>
  </si>
  <si>
    <t>A novel adaptive high starting torque (HST) scalar control scheme (SCS) for induction motors (IM) is proposed in this paper. It uses a new adaptive-passivity-based controller (APBC) proposed herein for a class of nonlinear systems, with linear explicit parametric dependence and linear stable internal dynamics, which encompasses the IM dynamical model. The main advantage of the HST-SCS includes the ability to move loads with starting-torque over the nominal torque with a simple and cost-effective implementation without needing a rotor speed sensor, variable observers, or parameter estimators. The proposed APBC is based on a direct control scheme using a normalized fixed gain (FG) to fine-tune the adaptive controller parameters. The basic SCS for induction motors (IM) and the HST-SCS were applied to an IM of 200 HP and tested using a real-time simulator controller OPAL-RT showing the achievement of the proposal goal.</t>
  </si>
  <si>
    <t>; Aguila-Camacho, Norelys/J-4449-2015; Duarte-Mermoud, Manuel A./I-2693-2013; Travieso Torres, Juan carlos/N-6437-2019</t>
  </si>
  <si>
    <t>Vilaragut Llanes, Miriam/0000-0002-5453-1136; Aguila-Camacho, Norelys/0000-0002-4514-0037; Duarte-Mermoud, Manuel A./0000-0003-2367-4553; Travieso Torres, Juan carlos/0000-0002-9246-4827</t>
  </si>
  <si>
    <t>10.3390/en13051276</t>
  </si>
  <si>
    <t>WOS:000524318700263</t>
  </si>
  <si>
    <t>Leon, AO; Clerc, MG; Altbir, D</t>
  </si>
  <si>
    <t>Leon, Alejandro O.; Clerc, Marcel G.; Altbir, Dora</t>
  </si>
  <si>
    <t>Dissipative magnetic breathers induced by time-modulated voltages</t>
  </si>
  <si>
    <t>During the last years, there has been a growing interest in the coupling between voltages and the magnetization of insulating nanostructures. Applied voltages can change the magnetic anisotropy of magnetic tunnel junctions and generate magnetization dynamics more efficiently than alternating magnetic fields and spin-polarized electric currents because it avoids the Joule dissipation. Here, we study the formation of dissipative breathers in nanomagnets forced by an oscillatory voltage. The breathers are localized states with an oscillatory envelope. The voltage frequency is close to twice the ferromagnetic resonance frequency. Numerical simulations reveal that the breathers can emit evanescent spin waves from their center in a dipolarlike shape when the voltage is above a certain threshold. Based on an amplitude equation, we explain the existence and behavior of these voltage-induced breathing solitons, while the anisotropic spin-wave emission corresponds to a spontaneous symmetry-breaking instability.</t>
  </si>
  <si>
    <t>Altbir, Dora/R-6781-2018; Clerc, Marcel/E-8535-2013; Leon, Alejandro O./K-4833-2015</t>
  </si>
  <si>
    <t>Altbir, Dora/0000-0002-2945-4909; Clerc, Marcel/0000-0002-8006-0729; Leon, Alejandro O./0000-0001-9078-685X</t>
  </si>
  <si>
    <t>2470-0045</t>
  </si>
  <si>
    <t>2470-0053</t>
  </si>
  <si>
    <t>DEC 17</t>
  </si>
  <si>
    <t>10.1103/PhysRevE.98.062213</t>
  </si>
  <si>
    <t>WOS:000453472900004</t>
  </si>
  <si>
    <t>Echeverría, J; Niemeyer, HM; Muñoz, L; Uribe, M</t>
  </si>
  <si>
    <t>Echeverria, Javier; Niemeyer, Hermann M.; Munoz, Luis; Uribe, Mauricio</t>
  </si>
  <si>
    <t>Arsenic in the hair of mummies from agro-ceramic times of Northern Chile (500 BCE-1200 CE)</t>
  </si>
  <si>
    <t>JOURNAL OF ARCHAEOLOGICAL SCIENCE-REPORTS</t>
  </si>
  <si>
    <t>Arsenic (As) is an abundant trace element in groundwaters in the Andes and arsenicism has been detected in modern as well as ancient populations. As poisoning has been reported in archaic and preceramic mummies from Camarones, in line with high concentrations of As found in them and in the Camarones river. The aim of the present work is to compare hair As concentrations (hAs) of individuals belonging to pre-Hispanic communities from northern Chile with different cultural traditions, showing different spectra of diet, mobility and settlement patterns, and who had access to water of different origins and qualifies. Ninety-two pre-Hispanic naturally mummified individuals recovered from Pica 8 (Tarapaca), Topater (Loa river) and San Pedro de Atacama cemeteries were studied. Significant differences in hAs were found between the groups studied, but mean values were not correlated with As concentrations in local water. Taken together with stable isotope analysis, the results point to the importance of discussing hAs not only in terms of As in drinking water but also in terms of As in diet, and also support a foreign origin of some individuals with deviant hAs. The present work points to arsenic analysis in hair as a useful tool in the study of living conditions and patterns of mobility in ancient populations, particularly when the results are complemented with stable isotope analysis and genetic analysis.</t>
  </si>
  <si>
    <t>Niemeyer, Hermann/I-1100-2013; Echeverría, Javier/AAK-3323-2020</t>
  </si>
  <si>
    <t>Echeverria, Javier/0000-0002-1688-968X</t>
  </si>
  <si>
    <t>2352-409X</t>
  </si>
  <si>
    <t>10.1016/j.jasrep.2018.07.008</t>
  </si>
  <si>
    <t>WOS:000449797000018</t>
  </si>
  <si>
    <t>Riquelme, J; Neira, K; Marco, JF; Hermosilla-Ibáñez, P; Orellana, W; Zagal, JH; Tasca, F</t>
  </si>
  <si>
    <t>Riquelme, Jorge; Neira, Karinna; Marco, Jose F.; Hermosilla-Ibanez, Patricio; Orellana, Walter; Zagal, Jose H.; Tasca, Federico</t>
  </si>
  <si>
    <t>Biomimicking vitamin B12. A Co phthalocyanine pyridine axial ligand coordinated catalyst for the oxygen reduction reaction</t>
  </si>
  <si>
    <t>CoN4 complexes like Co phthalocyanines (CoPc) have been extensively studied as electrocatalysts for the oxygen reduction reaction (ORR) but they only promote the 2-electron reduction of O-2 to give peroxide. In contrast, vitamin B-12 a Co macrocyclic naturally occurring molecule has attracted the attention of the scientific community because instead of catalysing the 2-electron reduction of O-2 to H2O2 like the other Co macrocycles it promotes the 4-electron reduction to H2O. Vitamin B-12 possesses an axial back ligand and this seems to be the reason for its higher activity and selectivity for the 4-electron reduction of O-2. To test this hypothesis, we synthetized a CoPc axially coordinated to pyridine anchored to carbon nanotubes (CoPc-Py-CNT). The Co centre is therefore coordinated to 5 N as in vitamin B-12. The modified CoPc containing catalytic material was characterized by EPR and XPS spectroscopy. Ab initio calculations, Kouteckye Levich extrapolation and Tafel plots well describe the similarities between the 2 complexes and reveal insights into the mechanism of action of Co penta-coordinated complexes. According to our results the pyridine back ligand increases the Co-O-2 binding energy and making it more similar to that of Vitamin B-12, favouring the splitting of the O-O bond. The back ligand then plays a crucial role in modifying Co-O-2 binding energy which is a well know reactivity descriptor. (C) 2018 Elsevier Ltd. All rights reserved.</t>
  </si>
  <si>
    <t>zagal, jose/L-9648-2014; Tasca, Federico/J-4134-2015; Orellana, Walter/F-2068-2014; Hermosilla-Ibanez, Patricio/Y-7454-2018; Marco, JF/N-3176-2014</t>
  </si>
  <si>
    <t>Hermosilla-Ibanez, Patricio/0000-0002-2272-9690; Marco, JF/0000-0002-5147-1449; Neira Leon, Karinna/0009-0001-4143-9402; Orellana, Walter/0000-0002-6897-3875</t>
  </si>
  <si>
    <t>10.1016/j.electacta.2018.01.177</t>
  </si>
  <si>
    <t>WOS:000425751600060</t>
  </si>
  <si>
    <t>Guerrero, L; Montalvo, S; Huiliñir, C; Barahona, A; Borja, R; Cortés, A</t>
  </si>
  <si>
    <t>Guerrero, L.; Montalvo, S.; Huilinir, C.; Barahona, A.; Borja, R.; Cortes, A.</t>
  </si>
  <si>
    <t>Simultaneous nitrification-denitrification of wastewater: effect of zeolite as a support in sequential batch reactor with step-feed strategy</t>
  </si>
  <si>
    <t>INTERNATIONAL JOURNAL OF ENVIRONMENTAL SCIENCE AND TECHNOLOGY</t>
  </si>
  <si>
    <t>One of the technologies used for wastewater nitrogen removal consists in simultaneous nitrification-denitrification. The low microbial growth rate and the low availability of organic material for the denitrification stage make it necessary to study new operational conditions and the use of microbial supports. The aim of this study was to evaluate the operational behavior of a simultaneous nitrification-denitrification process in a sequential batch reactor utilizing zeolite as a biomass support and step-feed strategy. Two reactors of 2 L were used, one with zeolite and another without zeolite, both operated at constant temperature (31 degrees C), varying nitrogen loading rate (NLR) from 0.041 to 0.113 kg total Kjeldahl nitrogen (TKN/m(3)/day). After 209 days, removals higher than 86 and 96 % in nitrogen compounds and organic matter were obtained, respectively. There was not accumulation of nitrate and nitrite in any case; this means that there was a simultaneous nitrification-denitrification in the reactors. The incorporation of zeolite in the system held higher concentration of biomass in the reactor; this led to reduce start-up to 21 days and to improve 11.31 % removal kinetic. The use of a stepfeed strategy prevents events of inhibition by substrate, even duplicating tolerance to higher NLR for the same operation time.</t>
  </si>
  <si>
    <t>1735-1472</t>
  </si>
  <si>
    <t>1735-2630</t>
  </si>
  <si>
    <t>10.1007/s13762-016-1065-5</t>
  </si>
  <si>
    <t>WOS:000386125800002</t>
  </si>
  <si>
    <t>Pino-Cortés, E; Díaz-Robles, LA; Cubillos, F; Fu, JS; Vergara-Fernández, A</t>
  </si>
  <si>
    <t>Pino-Cortes, Ernesto; Diaz-Robles, Luis A.; Cubillos, Francisco; Fu, Joshua S.; Vergara-Fernandez, Alberto</t>
  </si>
  <si>
    <t>Sensitivity analysis of biodiesel blends on Benzo[a]pyrene and main emissions using MOVES: A case study in Temuco, Chile</t>
  </si>
  <si>
    <t>Temuco is one of the most highly wood-smoke polluted cities in Chile; however, the diesel mobile sources are growing very fast in the past 10 years and so far very few studies have been done. The main goal of this research was to develop a 2013 emission inventory of criteria pollutants and Benzo[a] pyrene (BaP) and to evaluate the use of six biodiesel blends of 0%, 1%, 4%, 8%, 12%, and 20% by volume of fuel in diesel motors from the vehicle fleet within the mentioned areas using the Motor Vehicle Emission Simulator (MOVES). Input parameters for the base year 2005 were estimated to implement and adapt the model in Chile, while results of NOx, PM10, PM2.5, NH3, CO2 equivalent and SO2 were compared with the Chilean Emission Inventory estimated by the model Methodology for the Calculation of Vehicle Emissions. The 2013 emissions reduced with respect to 2005, in the majority of the contaminants analyzed, despite the 47% increase in the annual miles traveled. Using biodiesel blends, an emission reduction was estimated at up to 15% in particulate matter, BaP, and CO for the year 2013, as well as an increment of 2% in NOx emissions, attributed to low sulfur content (50 ppm) in the diesel and the antiquity of the vehicle fleet. The results obtained gave evidence of the influence of the biodiesel use in the pollutant emissions to improve the Chilean air quality, as well as providing a strategy for this air quality management. (C) 2015 Elsevier B.V. All rights reserved.</t>
  </si>
  <si>
    <t>Fu, Joshua/F-9303-2011; Vergara-Fernández, Alberto/D-1770-2011; Cortés, Ernesto/Z-2777-2019; Diaz-Robles, Luis/D-3450-2013</t>
  </si>
  <si>
    <t>Pino-Cortes, Ernesto/0000-0001-5133-2812; CUBILLOS, FRANCISCO/0000-0001-7863-4394; Vergara-Fernandez, Alberto/0000-0002-6075-9137; Fu, Joshua/0000-0001-5464-9225; Diaz-Robles, Luis/0000-0002-6098-7746</t>
  </si>
  <si>
    <t>10.1016/j.scitotenv.2015.07.143</t>
  </si>
  <si>
    <t>WOS:000361191100037</t>
  </si>
  <si>
    <t>Olivares, E; Salgado, S; Maidana, JP; Herrera, G; Campos, M; Madrid, R; Orio, P</t>
  </si>
  <si>
    <t>Olivares, Erick; Salgado, Simon; Paul Maidana, Jean; Herrera, Gaspar; Campos, Matias; Madrid, Rodolfo; Orio, Patricio</t>
  </si>
  <si>
    <t>TRPM8-Dependent Dynamic Response in a Mathematical Model of Cold Thermoreceptor</t>
  </si>
  <si>
    <t>Cold-sensitive nerve terminals (CSNTs) encode steady temperatures with regular, rhythmic temperature-dependent firing patterns that range from irregular tonic firing to regular bursting (static response). During abrupt temperature changes, CSNTs show a dynamic response, transiently increasing their firing frequency as temperature decreases and silencing when the temperature increases (dynamic response). To date, mathematical models that simulate the static response are based on two depolarizing/repolarizing pairs of membrane ionic conductance (slow and fast kinetics). However, these models fail to reproduce the dynamic response of CSNTs to rapid changes in temperature and notoriously they lack a specific cold-activated conductance such as the TRPM8 channel. We developed a model that includes TRPM8 as a temperature-dependent conductance with a calcium-dependent desensitization. We show by computer simulations that it appropriately reproduces the dynamic response of CSNTs from mouse cornea, while preserving their static response behavior. In this model, the TRPM8 conductance is essential to display a dynamic response. In agreement with experimental results, TRPM8 is also needed for the ongoing activity in the absence of stimulus (i.e. neutral skin temperature). Free parameters of the model were adjusted by an evolutionary optimization algorithm, allowing us to find different solutions. We present a family of possible parameters that reproduce the behavior of CSNTs under different temperature protocols. The detection of temperature gradients is associated to a homeostatic mechanism supported by the calcium-dependent desensitization.</t>
  </si>
  <si>
    <t>Olivares, Erick/AGQ-4582-2022; Maidana, Jean Paul/IWV-3254-2023; Madrid, Rodolfo/MCJ-4974-2025; Orio, Patricio/F-6207-2010</t>
  </si>
  <si>
    <t>Orio, Patricio/0000-0003-0332-8098; Olivares Bravo, Erick/0000-0003-2069-5789; Maidana, Jean Paul/0000-0002-2690-1638; Madrid, Rodolfo/0000-0002-8623-5761</t>
  </si>
  <si>
    <t>e0139314</t>
  </si>
  <si>
    <t>10.1371/journal.pone.0139314</t>
  </si>
  <si>
    <t>WOS:000362177100047</t>
  </si>
  <si>
    <t>de Moura, DC; de Araújo, CKC; Zanta, CLPS; Salazar, R; Martínez-Huitle, CA</t>
  </si>
  <si>
    <t>de Moura, Dayanne Chianca; Costa de Araujo, Cynthia Kerzia; Zanta, Carmem L. P. S.; Salazar, Ricardo; Martinez-Huitle, Carlos Alberto</t>
  </si>
  <si>
    <t>Active chlorine species electrogenerated on Ti/Ru0.3Ti0.7O2 surface: Electrochemical behavior, concentration determination and their application</t>
  </si>
  <si>
    <t>In the present work, the evolution of chlorine-related species was investigated by cyclic voltammetric, polarization and electrolytic analyses in order to establish whether their formation and consumption related to either chemical or electrochemical reactions. This study was performed at Ti/Ru0.3Ti0.7O2 anode by adding known concentrations of Cr in solution by applying different current densities. The results demonstrated that dissolved Cl-2, HClO, ClO-, chlorite, chlorine dioxide and chlorate can be electrochemically formed. The concentration trends of dissolved Cl- and chlorite indicated that the electrochemical route was responsible for their presence in the bulk solution, and these active species are responsible of the formation of the other chlorine species. By using Ti/Ru0.3Ti0.2O2 as anode, the efficient treatment of real effluent was favored by applying 25, 50 and 75 mA cm(-2) in presence of NaCl (1.25 g L-1), achieving higher elimination of organic matter, ranging from 80% to 86%. Results clearly have demonstrated that the oxygen evolution inhibition depends predominantly on the specific electrochemical species formed in association with pH, nature of electrode and applied current. (C) 2014 Elsevier B.V. All rights reserved.</t>
  </si>
  <si>
    <t>Salazar, Ricardo/L-7870-2013; Zanta, Carmem/O-1487-2017; Martínez-Huitle, Carlos/C-1954-2014; Martinez-Huitle, Carlos Alberto/AAN-9273-2020</t>
  </si>
  <si>
    <t>Martinez-Huitle, Carlos Alberto/0000-0002-6209-5426; Salazar-Gonzalez, Ricardo/0000-0003-2180-6022</t>
  </si>
  <si>
    <t>10.1016/j.jelechem.2014.08.008</t>
  </si>
  <si>
    <t>WOS:000343633700023</t>
  </si>
  <si>
    <t>Velásquez, M; Santander, IP; Contreras, DR; Yáñez, J; Zaror, C; Salazar, RA; Pérez-Moya, M; Mansilla, HD</t>
  </si>
  <si>
    <t>Velasquez, Marizu; Paola Santander, I.; Contreras, David R.; Yanez, Jorge; Zaror, Claudio; Salazar, Ricardo A.; Perez-Moya, Montserrat; Mansilla, Hector D.</t>
  </si>
  <si>
    <t>Oxidative degradation of sulfathiazole by Fenton and photo-Fenton reactions</t>
  </si>
  <si>
    <t>This article presents experimental results on 47 mu mol L-1 sulfathiazole (STZ) degradation by Fenton and photo-Fenton reactions using multivariate analysis. The optimal experimental conditions for reactions were obtained by Response Surface Methodology (RSM). In the case of the Fenton reactions there were 192 mu mol L-1 ferrous ions (Fe(II)) and 1856 mu mol L-1 hydrogen peroxide (H2O2), as compared with 157 mu mol L-1 (Fe(II)) and 1219 mu mol L-1 (H2O2) for photo-Fenton reactions. Under these conditions, around 90% of STZ degradation were achieved after 8 minutes treatment by Fenton and photo-Fenton reactions, respectively. Moreover, a marked difference was observed in the total organic carbon (TOC) removal after 60-min treatment, achieving 30% and 75% for the Fenton and photo-Fenton reactions, respectively. Acetic, maleic, succinic and oxamic acids could be identified as main Fenton oxidation intermediates. A similar pattern was found in the case of photo-Fenton reaction, including the presence of oxalic acid and ammonia at short periods of irradiation with UV-A. The calculated values of Average Oxidation State (AOS) corroborate the formation of oxidized products from the initial steps of the reaction.</t>
  </si>
  <si>
    <t>Salazar, Ricardo/L-7870-2013; Santander, Paola/ITU-5257-2023; Contreras, David/C-6830-2012; zaror, claudio/O-2799-2013</t>
  </si>
  <si>
    <t>Mansilla, Hector/0000-0003-3589-908X; Contreras, David/0000-0003-1346-5918; Velasquez Flores, Marizu/0000-0002-2417-2275; zaror, claudio/0000-0001-9548-763X; Yanez, Jorge/0000-0001-7208-1880; Santander, Paola/0000-0002-2084-6658; Salazar-Gonzalez, Ricardo/0000-0003-2180-6022</t>
  </si>
  <si>
    <t>MAY 12</t>
  </si>
  <si>
    <t>10.1080/10934529.2014.865447</t>
  </si>
  <si>
    <t>WOS:000331601700006</t>
  </si>
  <si>
    <t>Rosas, E; Hidalgo, N; Marin, M; Gil-Costa, V</t>
  </si>
  <si>
    <t>Rosas, Erika; Hidalgo, Nicolas; Marin, Mauricio; Gil-Costa, Veronica</t>
  </si>
  <si>
    <t>Web search results caching service for structured P2P networks</t>
  </si>
  <si>
    <t>FUTURE GENERATION COMPUTER SYSTEMS-THE INTERNATIONAL JOURNAL OF ESCIENCE</t>
  </si>
  <si>
    <t>This paper proposes a two-level P2P caching strategy for Web search queries. The design is suitable for a fully distributed service platform based on managed peer boxes (set-top-box or DSL/cable modem) located at the edge of the network, where both boxes and access bandwidth to those boxes are controlled and managed by an ISP provider. Our solution significantly reduces user query traffic going outside of the ISP provider to get query results from the respective Web search engine. Web users are usually very reactive to worldwide events which cause highly dynamic query traffic patterns leading to load imbalance across peers. Our solution contains a strategy to quickly ease imbalance on peers and spread communication flow among participating peers. Each peer maintains a local result cache used to keep the answers for queries originated in the peer itself and queries for which the peer is responsible for by contacting the Web search engine on-demand. When query traffic is predominantly routed to a few responsible peers our strategy replicates the role of being responsible for to neighboring peers so that they can absorb query traffic. This is a fairly slow and adaptive process that we call mid-term load balancing. To achieve a short-term fair distribution of queries we introduce a location cache in each peer which keeps pointers to peers that have already requested the same queries in the recent past. This lets these peers share their query answers with newly requesting peers. This process is fast as these popular queries are usually cached in the first DHT hop of a requesting peer which quickly tends to redistribute load among more and more peers. (C) 2013 Elsevier B.V. All rights reserved.</t>
  </si>
  <si>
    <t>Gil-Costa, Veronica/GPT-4785-2022; Rosas, Erika/AFY-6048-2022; Marin, Mauricio/GLR-7700-2022</t>
  </si>
  <si>
    <t>Hidalgo, Nicolas/0000-0003-0831-9350; Rosas Olivos, Erika Susana/0000-0003-0377-0193; Marin, Mauricio/0000-0003-0662-7149; Gil-Costa, Veronica/0000-0003-4637-9725</t>
  </si>
  <si>
    <t>0167-739X</t>
  </si>
  <si>
    <t>1872-7115</t>
  </si>
  <si>
    <t>10.1016/j.future.2013.06.018</t>
  </si>
  <si>
    <t>WOS:000329007500028</t>
  </si>
  <si>
    <t>Montalvo, S; Gonzalez, P; Mena, C; Guerrero, L; Borja, R</t>
  </si>
  <si>
    <t>Montalvo, S.; Gonzalez, P.; Mena, C.; Guerrero, L.; Borja, R.</t>
  </si>
  <si>
    <t>Influence of the food to microorganisms (F/M) ratio and temperature on batch anaerobic digestion processes with and without zeolite addition</t>
  </si>
  <si>
    <t>The main objective of this work was to evaluate the influence of the food to microorganisms (F/M) ratio and temperature on batch anaerobic digestion processes carried out with and without zeolite addition as a microbial carrier. Three laboratory-scale experimental runs were conducted using a synthetic substrate with a COD:N:P ratio of 500:5:1. The first run (I) was conducted at a constant temperature of 27 degrees C, increasing the F/M ratio from 0.21 to 0.40 (g COD/g VSS). During the second run (II) the temperature and the F/M ratio increased from 27 degrees C to 37 degrees C and from 0.21 to 0.40, respectively. Finally, in the third experimental run (III) the F/M ratio achieved high values (1.92 and 1.30) either by varying the substrate concentration at a constant biomass concentration or by increasing the biomass concentration at a constant substrate concentration. Higher biomass growth rate, COD removal and methane production were found in the reactors with zeolite, especially at the highest F/M assayed during the first run. The highest ammonium removals were also achieved at the highest F/M ratio (0.40) in the reactors with zeolite. Within the range studied (25 degrees C-37 degrees C) in the reactors with zeolite operating at 37 degrees C, the second run demonstrated the low influence of temperature on substrate consumption and ammonia removal, with 93% and 70% of COD and ammonia removal efficiencies, respectively. The third run corroborated the results previously obtained and fit the experimental results to simple kinetic models, the Monod model being the most adequate for predicting the behavior of the systems studied. The maximum specific microorganism growth rate (mu(max)) values for the reactors with zeolite were almost twice as high as those obtained for the reactors without zeolite for similar F/M ratios.</t>
  </si>
  <si>
    <t>10.1080/10934529.2012.689235</t>
  </si>
  <si>
    <t>WOS:000306116500009</t>
  </si>
  <si>
    <t>Appleby, AJ; Zagal, JH</t>
  </si>
  <si>
    <t>Appleby, Anthony John; Heraclito Zagal, Jose</t>
  </si>
  <si>
    <t>Free energy relationships in electrochemistry: a history that started in 1935</t>
  </si>
  <si>
    <t>JOURNAL OF SOLID STATE ELECTROCHEMISTRY</t>
  </si>
  <si>
    <t>This article is a historical overview of free energy relationships in electrochemistry with the purpose of giving the reader an integrated view on how these correlations are interconnected in various aspects starting with free energy correlations for outer-sphere and inner-sphere processes, Tafel correlations, the Butler-Volmer equation, and electron transfer theories. The citation of the literature is far from complete and is aimed to stimulate the reader to further reading.</t>
  </si>
  <si>
    <t>zagal, jose/L-9648-2014</t>
  </si>
  <si>
    <t>1432-8488</t>
  </si>
  <si>
    <t>1433-0768</t>
  </si>
  <si>
    <t>7-8</t>
  </si>
  <si>
    <t>10.1007/s10008-011-1394-8</t>
  </si>
  <si>
    <t>WOS:000294226100044</t>
  </si>
  <si>
    <t>Vera-Villarroel, P; Buela-Casal, G; Zych, I; Córdova-Rubio, N; Celis-Atenas, K; Zepeda, L; Spielberger, CD</t>
  </si>
  <si>
    <t>Vera-Villarroel, Pablo; Buela-Casal, Gualberto; Zych, Izabela; Cordova-Rubio, Natalia; Celis-Atenas, Karem; Zepeda, Lorena; Spielberger, Charles D.</t>
  </si>
  <si>
    <t>CHILEAN EXPERIMENTAL VERSION OF THE STATE-TRAIT DEPRESSION QUESTIONNAIRE (ST-DEP): STATE SUBSCALE (S-DEP)</t>
  </si>
  <si>
    <t>Depression is the most prevalent mental disorder and one of the most important health problems in Chile. The current study shows data for validity and reliability of the State subscale (S-DEP) of the Chilean experimental version of the State-Trait Depression Questionnaire (ST-DEP). The procedure conducted with the original version of the questionnaire was replicated on a sample of 300 university students. The utilized measures were the State Depression Questionnaire, Beck Depression Inventory, the State-Trait Anxiety Inventory, and neutral depressive, mild depressive, and moderate depressive vignettes. Results indicated that the factor structure was replicable, the internal consistency was good, and the situations were ranked as expected. The scale distinguishes intensities of depression. Clinicians and researchers in Chile are provided with a new measure for state depression.</t>
  </si>
  <si>
    <t>Vera-Villarroel, Pablo/AAQ-8476-2020; Vera-Villarroel, Pablo/A-1134-2011; ZYCH, IZABELA/H-7343-2013</t>
  </si>
  <si>
    <t>Vera-Villarroel, Pablo/0000-0001-9187-8414; ZYCH, IZABELA/0000-0002-2962-0276</t>
  </si>
  <si>
    <t>10.2466/PR0.106.1.65-77</t>
  </si>
  <si>
    <t>WOS:000276375300009</t>
  </si>
  <si>
    <t>Use of volatiles of Aristolochia chilensis (Aristolochiaceae) in host searching by fourth-instar larvae and adults of Battus polydamas archidamas (Lepidoptera: Papilionidae: Troidini)</t>
  </si>
  <si>
    <t>Papilionid butterflies of the tribe Troidini are specialists on plants of the family Aristolochiaceae. The role of plant volatiles in host recognition by adult and larval stages of these insects remains unknown. We used Battus polydamas archidamas (Papilionidae: Troidini) and its host-plant, Aristolochia chilensis (Aristolochiaceae), to study: (i) the olfactory and electrophysiological responses of adults to headspace volatiles of the host-plant, (ii) the chemical composition of the headspace volatiles of the host-plant, (iii) the patterns of aggregation of larvae in the field in order to ascertain the time when they leave the plant where the eggs were laid, and (iv) the olfactory responses of solitary-feeding fourth-instar larvae to headspace volatiles of the host-plant. Larvae left their initial host-plant during the third or fourth instar. Host-plant headspace volatiles attracted fourth-instar larvae as well as adults; adult females were more responsive than males. Taken together, these results reveal changes in the responsiveness to host-plant volatiles during development, and provide an insight into the host-plant specialization of this butterfly.</t>
  </si>
  <si>
    <t>Urzua, Alejandro/0000-0003-2638-0921; Niemeyer, Hermann/0000-0003-2273-1608; Pinto Navia, Carlos Fernando/0000-0003-0242-2269</t>
  </si>
  <si>
    <t>10.14411/eje.2009.010</t>
  </si>
  <si>
    <t>WOS:000264479100009</t>
  </si>
  <si>
    <t>Escalona, N; Vrinat, M; Laurenti, D; Llambías, FJG</t>
  </si>
  <si>
    <t>Escalona, N.; Vrinat, M.; Laurenti, D.; Llambias, F. J. Gil</t>
  </si>
  <si>
    <t>Rhenium sulfide in hydrotreating</t>
  </si>
  <si>
    <t>Literature data published mainly during the two last decades and dealing with the preparation, structure and catalytic activities in hydrotreating reactions with rhenium sulfide has been reviewed. These compounds have been particularly evaluated in model compounds reactions as thiophene hydrodesulfurization and quinoline hydrodenitrogenation. In both cases it has been observed that rhenium sulfide was among the most active transition metal sulfides (TMS) and sometimes better than industrial CoMo/Al2O3 and NiMo/Al2O3, the sulfiding conditions appearing to be a crucial step to get highly active catalysts as previously observed for ruthenium sulfide based catalysts. Interest in these catalysts is maintained for real feed in gas oil hydrodenitrogenation reaction (HDN), even if the promoting effect induced by Co or Ni is low compared with classical molybdenum catalysts. (C) 2007 Elsevier B.V. All rights reserved.</t>
  </si>
  <si>
    <t>Escalona, Nestor/F-3593-2016; Laurenti, Dorothée/AAT-7589-2020</t>
  </si>
  <si>
    <t>Escalona Burgos, Nestor/0000-0002-2628-4609; Laurenti Savoure, Dorothee/0000-0001-6645-6789</t>
  </si>
  <si>
    <t>10.1016/j.apcata.2007.01.019</t>
  </si>
  <si>
    <t>WOS:000245969500013</t>
  </si>
  <si>
    <t>Rannou, FR; Chatziioannou, AF</t>
  </si>
  <si>
    <t>Rannou, Fernando R.; Chatziioannou, Arion F.</t>
  </si>
  <si>
    <t>Noise study in Monte Carlo estimated system matrix for OPET</t>
  </si>
  <si>
    <t>2006 IEEE NUCLEAR SCIENCE SYMPOSIUM CONFERENCE RECORD, VOL 1-6</t>
  </si>
  <si>
    <t>IEEE Nuclear Science Symposium and Medical Imaging Conference</t>
  </si>
  <si>
    <t>15th International Workshop on Room-Temperature Semiconductor X- and Gamma-Ray Detectors/ 2006 IEEE Nuclear Science Symposium</t>
  </si>
  <si>
    <t>OCT 29-NOV 04, 2006</t>
  </si>
  <si>
    <t>San Diego, CA</t>
  </si>
  <si>
    <t>The traditional method for estimating system matrices consists of simulating a number of annihilation events at each voxel position such that some error measured is minimized. However, axial sensitivity decreases as we move away from the center of the FOV and the number of detected coincidences is substantially smaller at the edge of the scanner than at the center. Therefore, the statistical error in computing should be increasingly larger for voxels at the edge of the image. To remedy in part this problem, we propose to estimate the system matrix using a number of events inversely proportional to plane sensitivity and compare its performance against the traditional approach by computing simple Figures-of-Merit. We simulate a noise cylinder phantom, a point-source phantom and a contrast phantom to measure noise, image resolution and contrast recovery, respectively, by image plane. Images are reconstructed using a ML-EM algorithm with system matrices built with the two methods. Simulation results show that noise is more uniform across the entire FOV when the matrix is estimated as proposed than when the traditional approach is used. Contrast recovery and resolution are not greatly improved.</t>
  </si>
  <si>
    <t>Rannou, Fernando/G-5749-2019</t>
  </si>
  <si>
    <t>1095-7863</t>
  </si>
  <si>
    <t>978-1-4244-0561-9</t>
  </si>
  <si>
    <t>WOS:000288875603097</t>
  </si>
  <si>
    <t>Bouyssières, L; Schifferli, R; Urbina, L; Araya, P; Palacios, JM</t>
  </si>
  <si>
    <t>Study of perovskites obtained by the sol-gel method</t>
  </si>
  <si>
    <t>Perovskites are very thermally stable mixed oxides, frequently used as oxidation catalysts in spite of their relatively low surface area. In order to increase the area the sol-gel method has been used, with malic acid as complexing agent and pH adjustment of the starting solution, to prepare the LaCoO3 perovskite, used as a reference, and other perovskites in which the La cation has been partially replaced (20% molar) by Ca, Sr or Ba cations. Additionally, the cooling rate of the fresh catalysts, from the calcination temperature to room temperature, has been used as a parameter in the method of preparation. The catalysts were characterized by BET area, DRX, TG, DTA, and SEM-EDX. Catalytic activity was tested in a fixed bed flow reactor using the oxidation of CO with O-2 reaction. The DRX studies confirmed the presence of a single phase with perovskite structure in the catalysts calcined at 550 degrees C, and the additional studies confirmed that very uniform catalysts with great thermal stability were obtained. Substitution of La by group 11 cations and the method of preparation make it possible to obtain perovskites with large surface area and excellent catalytic activity for CO oxidation, reaching maximum conversion values, close to 100%, at temperatures of about 200 degrees C. Changes in post-calcination cooling rate did not produce significant changes in the surface area or in the catalytic activity of the catalysts, except when Ba-substituted catalysts were used.</t>
  </si>
  <si>
    <t>Araya, Paulo/I-6286-2016</t>
  </si>
  <si>
    <t>Araya, Paulo/0000-0002-8784-8869</t>
  </si>
  <si>
    <t>WOS:000230996800007</t>
  </si>
  <si>
    <t>Caro, CA; Zagal, JH; Bedioui, F</t>
  </si>
  <si>
    <t>Electrocatalytic activity of substituted metallophthalocyanines adsorbed on vitreous carbon electrode for nitric oxide oxidation</t>
  </si>
  <si>
    <t>The electrocatalytic activity of various adsorbed metallophthalocyanines (M-Pc) on vitreous carbon electrode for the oxidation of nitric oxide has been investigated in an aqueous phosphate buffer solution (pH 7.3). When comparing phthalocyanines of different metals, the influence of the nature of the metal on the activity is not very strong. For the most active complex, Ni-Pc, the reaction rate is only four times higher than that for Cu-Pc, the least active one. The effect of substituents on the periphery of the phthalocyanine ligand is slightly more pronounced. In the case of the nickel complexes, electron-withdrawing substituents on the periphery of the phthalocyanine ligand enhance this activity. This is due to the decrease of the electron density on the nickel center, facilitating the formation of NO+ species in the rate-determining step. (C) 2003 The Electrochemical Society.</t>
  </si>
  <si>
    <t>Bedioui, Fethi/0000-0002-0063-4412</t>
  </si>
  <si>
    <t>E95</t>
  </si>
  <si>
    <t>E103</t>
  </si>
  <si>
    <t>10.1149/1.1534097</t>
  </si>
  <si>
    <t>WOS:000180517000036</t>
  </si>
  <si>
    <t>Celedón, G; González, G; Lissi, EA; Hidalgo, G</t>
  </si>
  <si>
    <t>Free radical-induced protein degradation of erythrocyte membrane is influenced by the localization of radical generation</t>
  </si>
  <si>
    <t>IUBMB LIFE</t>
  </si>
  <si>
    <t>We have investigated the role of the localization of free radical generation in erythrocyte membrane proteins degradation. The extracellular radical producer 2,2'-azobis(2-amidinopropane) hydrochloride induced a greater loss of band-3 protein in comparison with spectrin whereas the intracellular radical initiator cysteine induced the reverse effect. However, a large extent of main-chain fragmentation was observed for both proteins under the action of cysteine-derived radicals. The results show that the relative localization of the radical generation has an important influence on the degradation of specific proteins of the erythrocyte membrane.</t>
  </si>
  <si>
    <t>1521-6543</t>
  </si>
  <si>
    <t>10.1080/152165401753366140</t>
  </si>
  <si>
    <t>WOS:000172486000010</t>
  </si>
  <si>
    <t>Llanos, L; Briones, R; Yévenes, A; González-Nilo, FD; Frey, PA; Cardemil, E</t>
  </si>
  <si>
    <t>Mutation Arg336 to Lys in Saccharomyces cerevisiae phosphoenolpyruvate carboxykinase originates an enzyme with increased oxaloacetate decarboxylase activity (vol 493, pg 1, 2001)</t>
  </si>
  <si>
    <t>FEBS LETTERS</t>
  </si>
  <si>
    <t>; Gonzalez Nilo, Fernando Danilo/M-5671-2016</t>
  </si>
  <si>
    <t>Yevenes, Alejandro/0000-0003-3799-1509; Gonzalez Nilo, Fernando Danilo/0000-0001-6857-3575</t>
  </si>
  <si>
    <t>0014-5793</t>
  </si>
  <si>
    <t>10.1016/S0014-5793(01)02467-X</t>
  </si>
  <si>
    <t>WOS:000169258400024</t>
  </si>
  <si>
    <t>Pazos, IF; Alvarez, C; Lanio, ME; Martinez, D; Morera, V; Lissi, EA; Campos, AM</t>
  </si>
  <si>
    <t>Modification of sticholysin II hemolytic activity by free radicals</t>
  </si>
  <si>
    <t>Sticholysin II is a highly hemolytic toxin present in the caribbean sea anemone Stichodactyla helianthus. Pre-incubation of St II with 2,2'-azobis(2-amidinopropane), a source of peroxyl radicals in air saturated solution, readily reduces its hemolytic activity. Analysis of the amino acids present in the protein after its modification shows that only tryptophan groups are significantly modified by the free radicals. According to this, the loss of hemolytic activity correlates with the loss of the protein intrinsic fluorescence. The results indicate that, at high toxin concentrations, nearly a tryptophan residue and 0.2 toxin molecules are inactivated by each radical introduced into the system. Association of St II to multilamellar liposomes (egg yolk phosphatidyl choline:sphingomyelin 1:1) increases the toxin intrinsic fluorescence, indicating a more hydrophobic average environment of the five tryptophan groups of the protein. In agreement with this, incorporation of St II to the liposomes reduces the rate of fluorescence loss during its modification by free radicals, particularly at long incubation times. These results are explained in terms of two populations of tryptophans that are quenched at different rates by acrylamide and whose rates of inactivation by free radicals are also different, (C) 1998 Elsevier Science Ltd. All rights reserved.</t>
  </si>
  <si>
    <t>Fabiola, Isabel/0000-0002-9502-2186; Morera, Vivian/0000-0003-3026-9716</t>
  </si>
  <si>
    <t>10.1016/S0041-0101(98)00016-6</t>
  </si>
  <si>
    <t>WOS:000075263700007</t>
  </si>
  <si>
    <t>Altbir, D; Vargas, P; Castro, JDE; Raff, U</t>
  </si>
  <si>
    <t>Dipolar interaction and magnetic ordering in granular metallic materials</t>
  </si>
  <si>
    <t>The coupling between magnetic clusters in granular metals is investigated assuming a classical dipolar interaction to couple the clusters. It is shown that in general the dipolar interaction energy is well described by replacing the clusters by an effective magnetic moment located at the center of mass of the cluster. The magnetization and reduced magneto resistance of these systems are described as a function of an external magnetic field for a variety of cluster distributions. An experimental design that yields a system with high reduced magnetoresistance is suggested.</t>
  </si>
  <si>
    <t>1098-0121</t>
  </si>
  <si>
    <t>1550-235X</t>
  </si>
  <si>
    <t>10.1103/PhysRevB.57.13604</t>
  </si>
  <si>
    <t>WOS:000074061700045</t>
  </si>
  <si>
    <t>Umbanhowar, PB; Melo, F; Swinney, HL</t>
  </si>
  <si>
    <t>Periodic, aperiodic, and transient patterns in vibrated granular layers</t>
  </si>
  <si>
    <t>5th International Bar-Ilan Conference on Frontiers in Condensed Matter Physics</t>
  </si>
  <si>
    <t>MAR 31-APR 03, 1997</t>
  </si>
  <si>
    <t>BAR-ILAN UNIV, RAMAT GAN, ISRAEL</t>
  </si>
  <si>
    <t>Bar Ilan Univ,Bar Ilan Univ, Fac Nat Sci</t>
  </si>
  <si>
    <t>BAR-ILAN UNIV</t>
  </si>
  <si>
    <t>Experiments on vertically vibrated granular layers in evacuated containers reveal a variety of patterns for acceleration amplitudes above a critical value (approximate to 2.5 g). Stripes, squares, hexagons, spirals, triangles, and targets, as well as particle-like localized excitations (oscillons) and fronts (kinks) between regions with different vibrational phase are observed as the layer depth and the container oscillation frequency and amplitude are varied. A zig-zag instability, unstable hexagons, phase-disordered patterns, and two-phase squares are also observed. With a few noteworthy exceptions, the patterns are essentially independent of the lateral boundary conditions. (C) 1998 Elsevier Science B.V. All rights reserved.</t>
  </si>
  <si>
    <t>Umbanhowar, Paul/KHD-9715-2024; Melo, Francisco/M-3923-2014</t>
  </si>
  <si>
    <t>10.1016/S0378-4371(97)00425-1</t>
  </si>
  <si>
    <t>WOS:000072486000002</t>
  </si>
  <si>
    <t>Fernández, R; Peña, R; Bravo-Alvarado, J; Maisey, KR; Reyes, EP; de los Reyes, DRP; Márquez-Reyes, R</t>
  </si>
  <si>
    <t>Fernandez, Ricardo; Pena, Romina; Bravo-Alvarado, Jaime; Maisey, Kevin R.; Reyes, Edison P.; de los Reyes, Daniel Ruiz-Plaza; Marquez-Reyes, Rodrigo</t>
  </si>
  <si>
    <t>Prevalence Distribution of Chronic Obstructive Pulmonary Disease (COPD) in the City of Osorno (Chile) in 2018, and Its Association with Fine Particulate Matter PM2.5 Air Pollution</t>
  </si>
  <si>
    <t>ATMOSPHERE</t>
  </si>
  <si>
    <t>Outdoor air pollution and biomass smoke exposure are related to the prevalence of chronic obstructive pulmonary disease (COPD). Since Osorno, Chile, is saturated with fine particulate matter (PM2.5), the aim of this work is to determine the prevalence distribution of COPD patients in the Primary Health Care (PHC) system in the city of Osorno, and its relationship with PM2.5. A cross-sectional descriptive study was carried out on COPD patients enrolled in the six PHC centers (PHCCs) of the city to assess the adjusted prevalence (population over 40 years). Gender- and territory-associated odds ratios (ORs) were also determined. In addition, an urban analysis of the distribution of PM2.5 and an exploratory analysis of the spatial behavior of enrolled COPD patients through featured binning were carried out. In 2018, the city of Osorno had 809 enrolled COPD patients in the PHC system (55.1% female), with a 1.3% age-adjusted prevalence (inhabitants over 40 years old), which was 11.7% after underdiagnosis correction. The COPD patients were mainly between 70 and 79 years old (34.3%). The urban area under the administration of the PHCC Rahue Alto (PHCC-RA) had a higher OR (1.98 [1.73-2.26]) compared to the situation of the city. Also, air pollution (PM2.5) was the highest in the PHCC-RA area, which could account for the observed prevalence. The number of COPD patients in this area is the highest in the commune, which increases the risk of complications derived from the disease and air pollution. Thus, territories with the highest COPD prevalence have the largest OR, which could complicate patients' condition due to the high levels of outdoor air pollution.</t>
  </si>
  <si>
    <t>Maisey, Kevin/AAP-2886-2021; Fernandez, Ricardo/H-3422-2018</t>
  </si>
  <si>
    <t>Reyes, Edison-Pablo/0000-0002-3704-0554; Fernandez, Ricardo/0000-0003-4493-9362; Maisey, Kevin/0000-0002-7423-6329; Ruiz Plaza de los reyes, Daniel/0009-0002-5475-3895</t>
  </si>
  <si>
    <t>2073-4433</t>
  </si>
  <si>
    <t>10.3390/atmos15040482</t>
  </si>
  <si>
    <t>WOS:001211179700001</t>
  </si>
  <si>
    <t>Raj, S; Fritz, RA; Herrera, F; Colón, YJ</t>
  </si>
  <si>
    <t>Raj, Sanoj; Fritz, Ruben A.; Herrera, Felipe; Colon, Yamil J.</t>
  </si>
  <si>
    <t>Understanding the Correlation Between Structure and Entangled Photon Pair Properties with Metal-Organic Frameworks</t>
  </si>
  <si>
    <t>Spontaneous parametric down conversion (SPDC) is a quantumsecond-ordernonlinear optical process where the photons generated are frequentlyused in quantum information processing. Materials with large second-ordernonlinearities (chi((2))) can be used as entangled photonsources with a high brightness. The source brightness scales as thesquare of the effective nonlinearity (d (eff)), which is an intrinsic property of the material. Understandingmaterial factors that can significantly alter this intrinsic propertyis useful in developing new materials that are SPDC efficient. Inour work we focus on understanding factors affecting the entangledphoton pair properties, such as the arrangements of ligands withinthe Zn(3-ptz)(2) metal-organic framework (MOF) crystaland temperature. We find that the arrangement and alignment of thepyridine rings in the crystal structure significantly affect the d (eff) and birefringence (Delta n). Smaller pyridine ring alignments relative to the optic c-axis increase the Delta n, which inturn leads to larger photon pair correlation times (tau(c)) in coincidence measurements. Our work has significant implicationsin understanding the effect of ligand arrangement on d (eff) and tau(c) for any MOF crystal structure,providing a tool to rationalize the optimization of MOF crystals forthe development of efficient nonlinear optical devices.</t>
  </si>
  <si>
    <t>(FNU Sanoj), Sanoj/IWU-9253-2023; Herrera, Felipe/KHD-8453-2024</t>
  </si>
  <si>
    <t>, Sanoj/0000-0002-4876-5921; Colon, Yamil/0000-0001-5316-9692; Fritz Fritz, Ruben Alejandro/0000-0002-6691-4740</t>
  </si>
  <si>
    <t>MAY 30</t>
  </si>
  <si>
    <t>10.1021/acs.jpcc.3c00355</t>
  </si>
  <si>
    <t>WOS:001010275100001</t>
  </si>
  <si>
    <t>Cifuentes-Silva, E; Gálvez, E; Foster, P; Inostroza, M</t>
  </si>
  <si>
    <t>Cifuentes-Silva, Eduardo; Galvez, Erna; Foster, Phillip; Inostroza, Mauricio</t>
  </si>
  <si>
    <t>Hospitalary concurrent exercise program in overweight and obese school students and adolescents during COVID-19 pandemic</t>
  </si>
  <si>
    <t>The COVID-19 pandemic reduced daily physical activity in the pediatric population, with deleterious effects on anthropometry, muscle function, aerobic capacity, and metabolic control. Objective: De-termine the changes in anthropometry, aerobic capacity, muscle function, and metabolic control of a 12-week concurrent training protocol in overweight and obese children and adolescents during the COVID-19 pandemic. Patients and Method: 24 patients participated and were divided into groups once a week (12S; n = 10) and twice a week (24S; n = 14). Anthropometry, muscle function, aerobic capacity, and metabolic biochemical tests were evaluated before and after the application of the con-current training plan. Two-way ANOVA, Kruskal-Wallis test, and Fisher's post hoc test were used. Results: Only the twice times week training improved the anthropometrics parameters (BMI -z, waist circumference and waist to height ratio). The muscle function tests (push up, standing broad jump and prone plank), improved in both groups such as the aerobic capacity measured by VO2maximo and the runned distance in Shuttle 20m run test. The HOMA index only improved with twice times week training without changes in lipid profile in both groups. Conclusions: The 12S and 24S groups improved aerobic capacity and muscular function. Only the 24S improved anthropometric parame-ters and the HOMA index.</t>
  </si>
  <si>
    <t>Inostroza Mondaca, Mauricio Angelo/0000-0002-9128-2079; Cifuentes-Silva, Eduardo/0000-0003-1492-6456</t>
  </si>
  <si>
    <t>10.32641/andespediatr.v94i2.4423</t>
  </si>
  <si>
    <t>WOS:001001813600010</t>
  </si>
  <si>
    <t>Valdebenito, PB; Zabala-Blanco, D; Ahumada-Garcia, R; Soto, I; Firoozabadi, AD; Flores-Calero, M</t>
  </si>
  <si>
    <t>Orjuela-Canon, AD</t>
  </si>
  <si>
    <t>Valdebenito, Pedro Barria; Zabala-Blanco, David; Ahumada-Garcia, Roberto; Soto, Ismael; Firoozabadi, Ali Dehghan; Flores-Calero, Marco</t>
  </si>
  <si>
    <t>Extreme Learning Machines for Detecting the Water Quality for Human Consumption</t>
  </si>
  <si>
    <t>2023 IEEE COLOMBIAN CONFERENCE ON APPLICATIONS OF COMPUTATIONAL INTELLIGENCE, COLCACI</t>
  </si>
  <si>
    <t>IEEE Colombian Conference on Applications in Computational Intelligence</t>
  </si>
  <si>
    <t>IEEE Colombian Conference on Applications of Computational Intelligence (ColCACI)</t>
  </si>
  <si>
    <t>JUL 26-28, 2023</t>
  </si>
  <si>
    <t>Bogota, DC</t>
  </si>
  <si>
    <t>IEEE,IEEE Computat Intelligence Soc Colombian Chapter,IEEE Colombia,IEEE Colombia Sect</t>
  </si>
  <si>
    <t>Determining the potability of water for consumption is crucial for human health. To assess the water quality, levels of minerals and ions are measured, such as pH, hardness, sodium, chloramines, sulfate, conductivity, organic carbon, tri-halomethanes, and turbidity. To achieve this more efficiently and accurately, techniques of Machine Learning (ML) and Deep Learning (DL) have been applied, with deep neural networks being one of the most popular methods. In this study, Extreme Learning Machines (ELM) are evaluated for the first time, including the standard ELM, the Regularized ELM, the weighted ELMs in configurations 1 and 2, and the multi-layer ELM. Accuracy and the G-mean were used to extensively compare the results and it was found that the weighted ELM 1 is the most recommended algorithm for the binary classification of the potability of water for human consumption, with an accuracy of 75.8% and a G-mean of 80.6%. The feasibility of using ELMs to determine the potability of water is thus demonstrated, as they offer acceptable performance and low computational cost for training.</t>
  </si>
  <si>
    <t>Flores-Calero, Marco/AAR-9454-2021; Ahumada García, Roberto Carlos/KBB-2316-2024; Dehghan Firoozabadi, Ali/AAD-4858-2019</t>
  </si>
  <si>
    <t>Ahumada-Garcia, Roberto/0000-0003-1107-4606</t>
  </si>
  <si>
    <t>2769-3651</t>
  </si>
  <si>
    <t>979-8-3503-1659-9</t>
  </si>
  <si>
    <t>10.1109/COLCACI59285.2023.10225820</t>
  </si>
  <si>
    <t>WOS:001062453300004</t>
  </si>
  <si>
    <t>Nicolis, O; Quezada, LMR; Ibacache-Pulgar, G</t>
  </si>
  <si>
    <t>Nicolis, Orietta; Quezada, Luis M. Riquelme; Ibacache-Pulgar, German</t>
  </si>
  <si>
    <t>Temporal Cox Process with Folded Normal Intensity</t>
  </si>
  <si>
    <t>AXIOMS</t>
  </si>
  <si>
    <t>In this work, the case of a Cox Process with Folded Normal Intensity (CP-FNI), in which the intensity is given by Lambda(t)=|Z(t)|, where Z(t) is a stationary Gaussian process, is studied. Here, two particular cases are dealt with: (i) when the process Z(t) constitutes a family of independent random variables and with a common probability law N(0,1), and (ii) the case in which Z(t) is a second order stationary process, with exponential type covariance function. In these cases, we observe that the properties of the Gaussian process Z(t) are naturally transferred to the intensity Lambda(t) and that very analytical results are achievable from the analytical point of view for the point process N(t). Finally, some simulations are presented in order to appreciate what type of counting phenomena can be modeled by these cases of CP-FNI. In particular, it is interesting to see how the trajectories show a tendency of the events to be grouped in certain periods of time, also leaving long periods of time without the occurrence of events.</t>
  </si>
  <si>
    <t>Nicolis, Orietta/AAU-3326-2021</t>
  </si>
  <si>
    <t>Nicolis, Orietta/0000-0001-8046-6983</t>
  </si>
  <si>
    <t>2075-1680</t>
  </si>
  <si>
    <t>10.3390/axioms11100513</t>
  </si>
  <si>
    <t>WOS:000872169900001</t>
  </si>
  <si>
    <t>Jara, JL; Morales-Rojas, C; Fernández-Muñoz, J; Haunton, VJ; Chacón, M</t>
  </si>
  <si>
    <t>Jara, J. L.; Morales-Rojas, Catalina; Fernandez-Munoz, Juan; Haunton, Victoria J.; Chacon, Max</t>
  </si>
  <si>
    <t>Using complexity-entropy planes to detect Parkinson's disease from short segments of haemodynamic signals</t>
  </si>
  <si>
    <t>Objective. There is emerging evidence that analysing the entropy and complexity of biomedical signals can detect underlying changes in physiology which may be reflective of disease pathology. This approach can be used even when only short recordings of biomedical signals are available. This study aimed to determine whether entropy and complexity measures can detect differences between subjects with Parkinsons disease and healthy controls (HCs). Approach. A method based on a diagram of entropy versus complexity, named complexity-entropy plane, was used to re-analyse a dataset of cerebral haemodynamic signals from subjects with Parkinsons disease and HCs obtained under poikilocapnic conditions. A probability distribution for a set of ordinal patterns, designed to capture regularities in a time series, was computed from each signal under analysis. Four types of entropy and ten types of complexity measures were estimated from these distributions. Mean values of entropy and complexity were compared and their classification power was assessed by evaluating the best linear separator on the corresponding complexity-entropy planes. Main results. Few linear separators obtained significantly better classification, evaluated as the area under the receiver operating characteristic curve, than signal mean values. However, significant differences in both entropy and complexity were detected between the groups of participants. Significance. Measures of entropy and complexity were able to detect differences between healthy volunteers and subjects with Parkinson's disease, in poikilocapnic conditions, even though only short recordings were available for analysis. Further work is needed to refine this promising approach, and to help understand the findings in the context of specific pathophysiological changes.</t>
  </si>
  <si>
    <t>Jara, JL/J-7254-2015; Haunton, Victoria/JVO-0887-2024</t>
  </si>
  <si>
    <t>Jara, JL/0000-0002-3348-7017; Haunton, Victoria/0000-0001-6078-5469</t>
  </si>
  <si>
    <t>10.1088/1361-6579/ac13ce</t>
  </si>
  <si>
    <t>WOS:000690387100001</t>
  </si>
  <si>
    <t>Alvares, D; Paredes, F; Vargas, C; Ferreccio, C</t>
  </si>
  <si>
    <t>Alvares, Danilo; Paredes, Fabio; Vargas, Claudio; Ferreccio, Catterina</t>
  </si>
  <si>
    <t>A strategy to impute age at onset of a particular condition from external sources</t>
  </si>
  <si>
    <t>STATISTICAL METHODS IN MEDICAL RESEARCH</t>
  </si>
  <si>
    <t>A key hypothesis in epidemiological studies is that time to disease exposure provides relevant information to be considered in statistical models. However, the initiation time of a particular condition is usually unknown. Therefore, we developed a multiple imputation methodology for the age at onset of a particular condition, which is supported by incidence data from different sources of information. We introduced and illustrated such a methodology using simulated data in order to examine the performance of our proposal. Then, we analyzed the association of gallstones and fatty liver disease in the Maule Cohort, a Chilean study of chronic diseases, using participants' risk factors and six sources of information for the imputation of the age-occurrence of gallstones. Simulated studies showed that an increase in the proportion of imputed data does not affect the quality of the estimated coefficients associated with fully observed variables, while the imputed variable slowly reduces its effect. For the Chilean study, the categorized exposure time to gallstones is a significant variable, in which participants who had short and long exposure have, respectively, 26.2% and 29.1% higher chance of getting a fatty liver disease than non-exposed ones. In conclusion, our multiple imputation approach proved to be quite robust both in the linear/logistic regression simulation studies and in the real application, showing the great potential of this methodology.</t>
  </si>
  <si>
    <t>Alvares, Danilo/AAO-6491-2021; Vargas, Claudio/AAX-6076-2020</t>
  </si>
  <si>
    <t>Alvares, Danilo/0000-0003-3764-0397; VARGAS, CLAUDIO/0000-0002-8705-0873; ferreccio, catterina/0000-0001-6331-5534</t>
  </si>
  <si>
    <t>0962-2802</t>
  </si>
  <si>
    <t>1477-0334</t>
  </si>
  <si>
    <t>10.1177/09622802211013830</t>
  </si>
  <si>
    <t>WOS:000679901500001</t>
  </si>
  <si>
    <t>Ahumada, C; Kaschel, H; Osorio-Comparan, R</t>
  </si>
  <si>
    <t>Ahumada, Cristian; Kaschel, Hector; Osorio-Comparan, Roman</t>
  </si>
  <si>
    <t>Design of Wearable Textile Patch antenna at 2.45 GHz for WBAN applications</t>
  </si>
  <si>
    <t>This paper presents the design of a portable 2.45 GHz textile patch antenna for WBAN applications. The textile antenna is designed with low-cost and flexible material. The proposed portable antenna design with a rectangular patch. The manufacturing results of the textile antenna respond to the design requirements of Return Loss, VSWR and Impedance. The proposed textile antenna was investigated by human body analysis for SAR evaluation at an operating frequency of 2.45 GHz. SAR results on a human body model with skin, fat, muscle and bone are within limits. safety standards of US and EU. In fact, all antenna results concluded that the designed textile antenna is a good candidate for portable body applications.</t>
  </si>
  <si>
    <t>; Osorio-Comparan, Roman/GLR-4090-2022</t>
  </si>
  <si>
    <t>Kaschel, Hector/0000-0002-0868-7834; Ahumada, Cristian/0000-0002-2647-1383; Osorio-Comparan, Roman/0000-0002-1887-9813</t>
  </si>
  <si>
    <t>10.1109/CHILECON54041.2021.9703031</t>
  </si>
  <si>
    <t>WOS:000788072700032</t>
  </si>
  <si>
    <t>Glenn, J; Chaumont, C; Dintrans, PV</t>
  </si>
  <si>
    <t>Glenn, Jeffrey; Chaumont, Claire; Villalobos Dintrans, Pablo</t>
  </si>
  <si>
    <t>Public health leadership in the times of COVID-19: a comparative case study of three countries</t>
  </si>
  <si>
    <t>INTERNATIONAL JOURNAL OF PUBLIC LEADERSHIP</t>
  </si>
  <si>
    <t>Purpose The purpose is to understand the role of public leadership during the COVID-19 pandemic and advocate for a more active role of public health professionals in helping manage the crisis. Design/methodology/approach The authors use the framework developed by Boin et al. (2005) on crisis leadership. The authors focus on three of the core tasks - sense-making, decision-making and meaning-making - that are relevant to explain the role of public leaders during the ongoing crisis. The authors draw from the experience of three countries - Chile, France and the United States - to illustrate how these tasks were exercised with concrete examples. Findings Several examples of the way in which public leaders reacted to the crisis are found in the selected countries. Countries show different responses to the way they assessed and reacted to the COVID-19 as a crisis, the decisions taken to prevent infections and mitigate consequences, and the way they communicate information to the population. Practical implications A better understanding public leadership as a key for better crisis management, particularly for designing policy responses to public health crises. Public health leaders need to assume a more active role in the crisis management process, which also implies the emergence of a new class of public health leaders and a more prominent role for public health in the public eye. Originality/value The use of examples from three different countries, as well as the focus on the core leadership tasks during an ongoing crisis help not only assessing the crisis management but also extracting lessons for the coming months, as well as future public health emergencies. The three authors have a first-hand experience on the evolution of the crisis in their countries and the environment, since they are currently living and working in public health in Chile, France and the United States.</t>
  </si>
  <si>
    <t>Chaumont, Claire/0000-0003-2982-6474; Villalobos Dintrans, Pablo/0000-0002-2236-6447</t>
  </si>
  <si>
    <t>2056-4929</t>
  </si>
  <si>
    <t>2042-8642</t>
  </si>
  <si>
    <t>FEB 5</t>
  </si>
  <si>
    <t>10.1108/IJPL-08-2020-0082</t>
  </si>
  <si>
    <t>OCT 2020</t>
  </si>
  <si>
    <t>WOS:000587786300001</t>
  </si>
  <si>
    <t>Araújo, AS; Lopes, RJC; Carvalho-Santos, VL; Pereira, AR; Silva, RL; Silva, RC; Altbir, D</t>
  </si>
  <si>
    <t>Araujo, A. S.; Lopes, R. J. C.; Carvalho-Santos, V. L.; Pereira, A. R.; Silva, R. L.; Silva, R. C.; Altbir, D.</t>
  </si>
  <si>
    <t>Typical skyrmions versus bimerons: A long-distance competition in ferromagnetic racetracks</t>
  </si>
  <si>
    <t>During the last years, topologically protected collective modes of magnetization have called much attention. Among these, skyrmions and merons have been objects of intense study. In particular, topological skyrmions are structures with an integer skyrmion number Q while merons have a half-integer skyrmion charge q. In this paper, we consider a Q = 1 skyrmion, composed of a meron and an antimeron (bimeron), displacing in a ferromagnetic racetrack, disputing a long-distance competition with its more famous counterpart, the typical Q = 1 cylindrically symmetrical skyrmion. Both types of topological structures induce a Magnus force, and then they are subject to the skyrmion Hall effect. The influence of the Dzyaloshinskii-Moriya interaction DMI present in certain materials and able to induce DMI skyrmions is also analyzed. Our main aim is to compare the motions (induced by a spin-polarized current) of these objects along with their own specific racetracks. We also investigate some favorable factors which are able to give breath to the competitors, impelling them to remain in the race for longer distances before their annihilation at the racetrack lateral border. An interesting result is that the DMI skyrmion loses this hypothetical race due to its larger rigidity.</t>
  </si>
  <si>
    <t>da Silva, Ricardo/AAY-9312-2020; Silva, Rodrigo/N-6854-2013; Pereira, Afranio/G-3871-2012; Lopes, Ricardo/B-1805-2010; Altbir, Dora/R-6781-2018; Carvalho-Santos, Vagson/E-8806-2013; da Silva, Ricardo Lopes/C-9153-2014</t>
  </si>
  <si>
    <t>Altbir, Dora/0000-0002-2945-4909; Araujo, Alane/0000-0002-9054-7901; Carvalho-Santos, Vagson/0000-0002-2759-2152; da Silva, Ricardo Lopes/0000-0002-1902-5377; Campos Lopes, Ricardo J./0000-0003-0559-9211; Costa Silva, Rodrigo/0000-0002-7579-3549</t>
  </si>
  <si>
    <t>SEP 8</t>
  </si>
  <si>
    <t>10.1103/PhysRevB.102.104409</t>
  </si>
  <si>
    <t>WOS:000566887300005</t>
  </si>
  <si>
    <t>Jucá, SC; Moraes, L; Wandalsen, G; Takano, O; Mallol, J</t>
  </si>
  <si>
    <t>Juca, Sileyde Cristiane; Moraes, Lilian; Wandalsen, Gustavo; Takano, Olga; Mallol, Javier</t>
  </si>
  <si>
    <t>Assessment Of Passive Exposure To Tobacco Smoke In Wheezing Infants By Urinary Cotinine</t>
  </si>
  <si>
    <t>JOURNAL OF ALLERGY AND CLINICAL IMMUNOLOGY</t>
  </si>
  <si>
    <t>Annual Meeting of the American-Academy-of-Allergy-Asthma-and-Immunology (AAAAI)</t>
  </si>
  <si>
    <t>MAR 13-16, 2020</t>
  </si>
  <si>
    <t>Philadelphia, PA</t>
  </si>
  <si>
    <t>Amer Acad Allergy, Asthma &amp; Immunol</t>
  </si>
  <si>
    <t>Wandalsen, Gustavo/D-8412-2013</t>
  </si>
  <si>
    <t>0091-6749</t>
  </si>
  <si>
    <t>1097-6825</t>
  </si>
  <si>
    <t>AB111</t>
  </si>
  <si>
    <t>WOS:000517092700344</t>
  </si>
  <si>
    <t>Santos, JFD; Herrera-Valenzuela, T; Franchini, E</t>
  </si>
  <si>
    <t>da Silva Santos, Jonatas Ferreira; Herrera-Valenzuela, Tomas; Franchini, Emerson</t>
  </si>
  <si>
    <t>ESTABLISHING FREQUENCY SPEED OF KICK TEST CLASSIFICATORY TABLES IN MALE AND FEMALE TAEKWONDO ATHLETES</t>
  </si>
  <si>
    <t>KINESIOLOGY</t>
  </si>
  <si>
    <t>Recently, the Frequency Speed of Kick Test (FSKT10s) and its intermittent version (5 x 10s/10s intervals, FSKTmult) have been used to assess the physical fitness of taekwondo athletes, but no classificatory normative table was found for these tests. Thus, the aim of this study was to present two normative classificatory tables for both the FSKT10s and FSKTmult for male and female taekwondo athletes. One hundred fifteen male taekwondo athletes (median [interquartile range] age: 20 [17;27] years; body height: 175 [170;182] cm; body mass: 67 [60;78] kg; experience time: 6 [3;10] years) and seventy female taekwondo athletes (median [interquartile range] age: 19 [(17;24] years; body height: 162 [157;169] cm; body mass: 57 [50;64] kg; experience time: 5 [3;9] years) volunteered to participate in the study. Their skills ranged between 4th gub and 2nd dan. All the participants were evaluated during their competitive period and were familiarized with this test. The classificatory tables are presented in five scales, as follows: excellent (&gt;= 95th percentile); good (&gt;= 75th percentile up to 94th percentile); regular (&gt;= 25th percentile up to 74th percentile); poor (&gt;= 6th percentile up to 24th percentile); and very poor (&lt;= 5th percentile). The classificatory tables for FSKT10s and FSKTmult can help coaches and strength and conditioning professionals to classify performance and monitor the physical fitness of taekwondo athletes in different stages of training and during the competitive season.</t>
  </si>
  <si>
    <t>Herrera-Valenzuela, Tomas/L-1819-2019; Franchini, Emerson/B-9119-2012</t>
  </si>
  <si>
    <t>Franchini, Emerson/0000-0002-0769-8398</t>
  </si>
  <si>
    <t>1331-1441</t>
  </si>
  <si>
    <t>1848-638X</t>
  </si>
  <si>
    <t>10.26582/k.51.2.12</t>
  </si>
  <si>
    <t>WOS:000505924000009</t>
  </si>
  <si>
    <t>González-Ibáñez, R; Esparza-Villamán, A; Vargas-Godoy, JC; Shah, C</t>
  </si>
  <si>
    <t>Gonzalez-Ibanez, Roberto; Esparza-Villaman, Aileen; Carlos Vargas-Godoy, Juan; Shah, Chirag</t>
  </si>
  <si>
    <t>A Comparison of Unimodal and Multimodal Models for Implicit Detection of Relevance in Interactive IR</t>
  </si>
  <si>
    <t>Implicit detection of relevance has been approached by many during the last decade. From the use of individual measures to the use of multiple features from different sources (multimodality), studies have shown the feasibility to automatically detect whether a document is relevant. Despite promising results, it is not clear yet to what extent multimodality constitutes an effective approach compared to unimodality. In this article, we hypothesize that it is possible to build unimodal models capable of outperforming multimodal models in the detection of perceived relevance. To test this hypothesis, we conducted three experiments to compare unimodal and multimodal classification models built using a combination of 24 features. Our classification experiments showed that a univariate unimodal model based on the left-click feature supports our hypothesis. On the other hand, our prediction experiment suggests that multimodality slightly improves early classification compared to the best unimodal models. Based on our results, we argue that the feasibility for practical applications of state-of-the-art multimodal approaches may be strongly constrained by technology, cultural, ethical, and legal aspects, in which case unimodality may offer a better alternative today for supporting relevance detection in interactive information retrieval systems.</t>
  </si>
  <si>
    <t>Shah, Chirag/0000-0002-3797-4293; Gonzalez-Ibanez, Roberto/0000-0002-4193-6548</t>
  </si>
  <si>
    <t>10.1002/asi.24202</t>
  </si>
  <si>
    <t>WOS:000491265100005</t>
  </si>
  <si>
    <t>Elías, RG; Vidal-Silva, N; Carvalho-Santos, VL</t>
  </si>
  <si>
    <t>Gabriel Elias, Ricardo; Vidal-Silva, Nicolas; Carvalho-Santos, Vagson L.</t>
  </si>
  <si>
    <t>Winding number selection on merons by Gaussian curvature's sign</t>
  </si>
  <si>
    <t>We study the relationship between the winding number of magnetic merons and the Gaussian curvature of two-dimensional magnetic surfaces. We show that positive (negative) Gaussian curvatures privilege merons with positive (negative) winding number. As in the case of unidimensional domain walls, we found that chirality is connected to the polarity of the core. Both effects allow to predict the topological properties of metastable states knowing the geometry of the surface. These features are related with the recently predicted Dzyaloshinskii-Moriya emergent term of curved surfaces. The presented results are at our knowledge the first ones drawing attention about a direct relation between geometric properties of the surfaces and the topology of the hosted solitons.</t>
  </si>
  <si>
    <t>Elias, Ricardo/F-2608-2012; Vidal Silva, Nicolas/IAN-0226-2023; Carvalho-Santos, Vagson/E-8806-2013</t>
  </si>
  <si>
    <t>Vidal Silva, Nicolas/0000-0002-3717-3816; Carvalho-Santos, Vagson/0000-0002-2759-2152</t>
  </si>
  <si>
    <t>OCT 4</t>
  </si>
  <si>
    <t>10.1038/s41598-019-50395-7</t>
  </si>
  <si>
    <t>WOS:000489011000017</t>
  </si>
  <si>
    <t>González, E; Gómez-Caravaca, AM; Giménez, B; Cebrián, R; Maqueda, M; Martínez-Férez, A; Segura-Carretero, A; Robert, P</t>
  </si>
  <si>
    <t>Gonzalez, Estefania; Maria Gomez-Caravaca, Ana; Gimenez, Begona; Cebrian, Ruben; Maqueda, Mercedes; Martinez-Ferez, Antonio; Segura-Carretero, Antonio; Robert, Paz</t>
  </si>
  <si>
    <t>Evolution of the phenolic compounds profile of olive leaf extract encapsulated by spray-drying during in vitro gastrointestinal digestion</t>
  </si>
  <si>
    <t>An olive leaf extract (OLE) was microencapsulated with sodium alginate (SA) by spray-drying to study the evolution of oleuropein (ORP) during in vitro gastrointestinal digestion, and its bioaccessibility and potential bioavailability from OLE and OLE-SA microparticles. Secoiridoids, flavonoids, simple phenols, oleosides and elenolic acid were identified in OLE. OLE/SA ratio 1:1.6 and inlet air temperature 135 degrees C were the optimal conditions for OLE-SA microparticles. ORP (70%) from OLE was degraded during gastric digestion, giving hydroxytyrosol and ORP-aglycone, whereas only the superficial ORP was released from microparticles. The remaining ORP from OLE was degraded under intestinal conditions, leading to oleosides; whereas alginate was swollen and disintegrated, releasing the ORP (90% of encapsulated ORP). ORP from both OLE and microparticles was degraded to hydroxytyrosol under colonic conditions. Encapsulation of OLE allowed the protection of ORP under gastric conditions and its controlled release at intestinal conditions, and higher bioaccessibility (58%) and potential bioavailability (20%).</t>
  </si>
  <si>
    <t>Robert, Paz/G-8198-2014; CEBRIAN CASTILLO, RUBEN/M-3311-2014; segura Carretero, Antonio/B-6867-2014; Sanabria, Isabel/F-4785-2015; Gomez-Caravaca, Ana Maria/K-8920-2014; Martinez-Ferez, Antonio/E-6456-2017; Maqueda, Mercedes/K-9667-2014</t>
  </si>
  <si>
    <t>CEBRIAN CASTILLO, RUBEN/0000-0003-1575-1846; segura Carretero, Antonio/0000-0002-5564-5338; Sanabria, Isabel/0000-0002-8686-6918; Gomez-Caravaca, Ana Maria/0000-0003-1837-269X; Martinez-Ferez, Antonio/0000-0001-5750-7900; Maqueda, Mercedes/0000-0002-5874-9343</t>
  </si>
  <si>
    <t>10.1016/j.foodchem.2018.11.127</t>
  </si>
  <si>
    <t>WOS:000454689200005</t>
  </si>
  <si>
    <t>Doing the work, considering the entanglements of the research team while undoing settler colonialism</t>
  </si>
  <si>
    <t>GENDER AND EDUCATION</t>
  </si>
  <si>
    <t>This paper presents the work of three researchers in a self-study on researcher positionality using the reflective practice and pedagogy of correspondence as preparation for future work with mapuche women in Chile. We start from the assumption that research with and on indigenous groups has a historical debt to consider given the ways in which it has historically perpetuated and been complicit in violence against indigenous people. With this is mind we ask: what can a focus on researcher's positionality and epistemologies bring to future work on mapuche women's educational experience? What does it contribute to work that refuses the violence that academia perpetuates on indigenous knowledges and communities? This paper is an invitation to reflect on how we can decolonize our methodologies as a way to work through the historical debt that academia has with and to indigenous groups.</t>
  </si>
  <si>
    <t>Munoz-Garcia, Ana Luisa/0000-0001-5639-2777; Loncon, Elisa/0000-0003-3239-1723</t>
  </si>
  <si>
    <t>0954-0253</t>
  </si>
  <si>
    <t>1360-0516</t>
  </si>
  <si>
    <t>10.1080/09540253.2019.1583319</t>
  </si>
  <si>
    <t>WOS:000463269800001</t>
  </si>
  <si>
    <t>Silva-Weiss, A; Quilaqueo, M; Venegas, O; Ahumada, M; Silva, W; Osorio, F; Giménez, B</t>
  </si>
  <si>
    <t>Silva-Weiss, A.; Quilaqueo, M.; Venegas, O.; Ahumada, M.; Silva, W.; Osorio, F.; Gimenez, B.</t>
  </si>
  <si>
    <t>Design of dipalmitoyl lecithin liposomes loaded with quercetin and rutin and their release kinetics from carboxymethyl cellulose edible films</t>
  </si>
  <si>
    <t>Quercetin and rutin were encapsulated in liposomes based on dipalmitoyl lecithin. The effect ofliposomal formulation stage for flavonol incorporation and the size-reducing method on encapsulation efficiency (EE) of flavonols and physical properties of liposomes were evaluated. In addition, the release mechanism and kinetics of polyphenols from carboxymethyl cellulose edible films were studied through modeling and simulation equations. When flavonols were incorporated during the phospholipid film formation stage, low polydispersity index (0.32 and 0.20) and high EE (88.9 and 74.1%) of quercetin and rutin, respectively, were obtained. Sonication gave liposomes with higher zeta potential (36.9-42.4 mV) than extrusion (13.3-17.1 mV), and quercetin-loaded liposomes were the most stable during 21 days of storage. In CMC films, diffusion coefficients of flavonols were higher for non-encapsulated flavonols than encapsulated flavonols. The release of non-encapsulated quercetin and rutin from CMC films was 25% and 24% higher than in the case of encapsulated quercetin and rutin at day 21. The released mechanism agreed with Fickian diffusion for encapsulated and non-encapsulated quercetin, whereas the release mechanism of encapsulated and non-encapsulated rutin agreed with non-Fickian diffusion. These results highlight the relevance of using liposomes as encapsulation technology, able to preserve polyphenols and control their release in the design of edible films with antioxidant activity for improving food shelf life. (C) 2018 Elsevier Ltd. All rights reserved.</t>
  </si>
  <si>
    <t>Quilaqueo, Marcela/S-1938-2019; Silva-Weiss, Andrea/AAL-3271-2021; osorio, fernando/AAY-7304-2021; Ahumada, Manuel/L-2401-2018</t>
  </si>
  <si>
    <t>/0000-0001-7541-9947; osorio, fernando/0000-0001-7206-0924; Ahumada, Manuel/0000-0002-0589-3296; Quilaqueo, Marcela/0000-0002-7991-9866</t>
  </si>
  <si>
    <t>10.1016/j.jfoodeng.2018.01.001</t>
  </si>
  <si>
    <t>WOS:000424718600019</t>
  </si>
  <si>
    <t>Hermosilla, L; Rezende, MC; Machado, VG; Stock, RI</t>
  </si>
  <si>
    <t>Hermosilla, Laura; Caroli Rezende, Marcos; Machado, Vanderlei Gageiro; Stock, Rafaela I.</t>
  </si>
  <si>
    <t>Thermohalochromism of phenolate dyes conjugated with nitro-substituted aryl groups</t>
  </si>
  <si>
    <t>The cationic halochromism and thermohalochromism of four phenolate dyes conjugated with aryl moieties substituted with one or two nitro groups were investigated in the presence of organic (tetra-n-butylammonium bromide and benzyltriethylammonium chloride) and inorganic (sodium perchlorate) salts, in hydrogen-bond donating (water, 1-propanol, 1-butanol and 2-propanol) and hydrogen-bond accepting (acetonitrile and dimethylsulfoxide) solvents. Although a positive halochromic response was observed in water for tetraalkylammonium salts, their thermohalochromic behavior was negligible. A negative halochromic behavior was observed for the dyes in all solvents, when the added cation was Na+. Plots of Delta lambda(max) vs. c (Na+) allowed the apparent association constants for the solvated phenolate-cation pair to be estimated. In most cases, a positive thermohalochromism was observed in the range of 25-50 degrees C, exceptions being the more sterically hindered phenolate dyes in the less polar solvents 2-propanol and acetonitrile. The observed variations were rationalized by invoking the effect of temperature on the phenolate-cation, phenolate-solvent and cation-solvent interactions. (C) 2016 Elsevier B.V. All rights reserved.</t>
  </si>
  <si>
    <t>Caroli, Marcos/H-3570-2019; Gageiro Machado, Vanderlei/C-7045-2018</t>
  </si>
  <si>
    <t>Gageiro Machado, Vanderlei/0000-0002-6995-6591; Rezende, Marcos/0000-0003-2040-9009</t>
  </si>
  <si>
    <t>10.1016/j.saa.2016.10.017</t>
  </si>
  <si>
    <t>WOS:000390502900077</t>
  </si>
  <si>
    <t>Barahona, T; Encinas, MV; Mansilla, A; Matsuhiro, B; Zúñiga, EA</t>
  </si>
  <si>
    <t>Barahona, Tamara; Encinas, Maria V.; Mansilla, Andres; Matsuhiro, Betty; Zuniga, Elisa A.</t>
  </si>
  <si>
    <t>A sulfated galactan with antioxidant capacity from the green variant of tetrasporic Gigartina skottsbergii (Gigartinales, Rhodophyta)</t>
  </si>
  <si>
    <t>The water soluble polysaccharide produced by the green variant of tetrasporic Gigartina skottsbergii was found to be composed of D-galactose and sulfate groups in a molar ratio of 1.0:0.65. H-1 and C-13 NMR spectroscopy studies of the desulfated polysaccharide showed a major backbone structure of alternating 3-linked beta-D-galactopyranosyl and 4-linked alpha-D-galactopyranosyl units, and minor signals ascribed to 3-O-methyl-substitution on the latter unit. Ethylation analysis of the polysaccharide indicated that the sulfate groups are mainly located at position O-2 of 4-linked alpha-D-galactopyranosyl residue and partially located at positions O-6 of the same unit and at position O-2 of 3-linked beta-D-galactopyranosyl residue, and confirmed the presence of 3-O-methyl-galactose in minor amounts (4.4%). The sulfated D-galactan presents a similar structure to X carrageenan but with much lower sulfation at position O-6 of the a-residue and at position O-2 of beta-residue. The antioxidant capacity of the sulfated D-galactan was evaluated by the peroxyl radicals (ORAC method), hydroxyl radicals, chelating activity, and ABTS(.+) assays. Kinetic results obtained in these assays were compared with those obtained for the commercial lambda carrageenan. The antioxidant activity toward peroxyl radicals was higher for commercial lambda carrageenan, this agrees with its higher content of sulfate group. The kinetics of the reaction of both polysaccharides with hydroxyl and ABTS(.+) radicals showed a complex mechanism, but the antioxidant activity was higher for the polysaccharide from the green variant of tetrasporic Gigartina skottsbergii. (C) 2011 Elsevier Ltd. All rights reserved.</t>
  </si>
  <si>
    <t>Zuniga, Elisa/0000-0002-9232-6651; Mansilla, Andres/0000-0003-3505-7018</t>
  </si>
  <si>
    <t>JAN 10</t>
  </si>
  <si>
    <t>10.1016/j.carres.2011.11.014</t>
  </si>
  <si>
    <t>WOS:000300130400015</t>
  </si>
  <si>
    <t>Díaz, O; Tapia, Y; Pastene, R; Montes, S; Núñez, N; Vélez, D; Montoro, R</t>
  </si>
  <si>
    <t>Diaz, O.; Tapia, Y.; Pastene, R.; Montes, S.; Nunez, N.; Velez, D.; Montoro, R.</t>
  </si>
  <si>
    <t>Total and Bioavailable Arsenic Concentration in Arid Soils and its Uptake by Native Plants from the Pre-Andean Zones in Chile</t>
  </si>
  <si>
    <t>BULLETIN OF ENVIRONMENTAL CONTAMINATION AND TOXICOLOGY</t>
  </si>
  <si>
    <t>Arsenic is the most important contaminant of the environment in northern Chile. Soil samples and plant organs from three native plant species, Pluchea absinthioides, Atriplex atacamensis and Lupinus microcarpus, were collected from arid zones in order to determine the total and bioavailable arsenic concentrations in soils and to assess the bioconcentration factor (BCF) and transport index (Ti) of arsenic in the plants. Total arsenic concentrations in soils (pH 8.3-8.5) where A. atacamensis and P. absinthioides were collected, reached levels considered to be contaminated (54.3 +/- A 15.4 and 52.9 +/- A 9.9 mg kg(-1), respectively), and these values were approximately ten times higher than in soils (pH 7.6) where L. microcarpus was collected. Bioavailable arsenic ranged from 0.18 to 0.42% of total arsenic concentration. In the three plant species, arsenic concentration in leaves were significantly (p a parts per thousand currency sign 0.05) higher than in roots. L. microcarpus showed the highest arsenic concentration in its leaves (9.7 +/- A 1.6 mg kg(-1)) and higher values of BCF (1.8) and Ti (6.1), indicating that this species has a greater capacity to accumulate and translocate the metalloid to the leaf than do the other species.</t>
  </si>
  <si>
    <t>Diaz, Oscar/D-2822-2011; Velez, Dinoraz/H-4255-2012; Tapia Fernandez, Yasna/K-4650-2017</t>
  </si>
  <si>
    <t>Velez Pacios, Dinoraz/0000-0001-8679-5622; PASTENE OLIVARES, RUBEN/0000-0002-7137-0303; Tapia Fernandez, Yasna/0000-0003-4197-4410</t>
  </si>
  <si>
    <t>0007-4861</t>
  </si>
  <si>
    <t>10.1007/s00128-011-0269-0</t>
  </si>
  <si>
    <t>WOS:000290486900022</t>
  </si>
  <si>
    <t>Encinas, MV; Rufs, AM; Bertolotti, SG; Previtali, CM</t>
  </si>
  <si>
    <t>Encinas, M. V.; Rufs, A. M.; Bertolotti, S. G.; Previtali, C. M.</t>
  </si>
  <si>
    <t>Xanthene dyes/amine as photoinitiators of radical polymerization: A comparative and photochemical study in aqueous medium</t>
  </si>
  <si>
    <t>POLYMER</t>
  </si>
  <si>
    <t>The efficiency of several xanthene dyes as photoinitiators of the free radical polymerization in aqueous medium was evaluated. These results show that dyes with triplet quantum yield higher than 0.1 present similar efficiencies, independently of their different chemical structure. A detailed study of the photophysics of the dyes under the polymerization conditions was carried out using laser time-resolved spectroscopies. These studies show that the active radicals are those which formed in the interaction of excited triplet state of the dye with the amine through an electron transfer process. In spite of this, the photoinitiation efficiency is not correlated with the triplet quantum yield. Also, the photophysics studies show that the quantum yield of the different pathways of the decomposition of the charge transfer intermediate is an important parameter to predict the efficiency of these photoinitiator systems. The experimentally measured active radical formation is well correlated with that calculated from the polymerization rate. The presence of heavy atoms in the xanthene ring increases the triplet quantum yield, but decreases the active radical yield, and then the polymerization rate. (C) 2009 Elsevier Ltd. All rights reserved.</t>
  </si>
  <si>
    <t>0032-3861</t>
  </si>
  <si>
    <t>1873-2291</t>
  </si>
  <si>
    <t>JUN 19</t>
  </si>
  <si>
    <t>10.1016/j.polymer.2009.04.024</t>
  </si>
  <si>
    <t>WOS:000267415600003</t>
  </si>
  <si>
    <t>Blanco, LM; González, LT; Kharisov, BI; Aguilera, EN; Garnovskii, AD; Longoria, FE; Costamagna, J; Borodkin, GS; Korobov, MS</t>
  </si>
  <si>
    <t>Blanco, Leonor M.; Gonzalez, Lucy T.; Kharisov, Boris I.; Aguilera, Elsa N.; Garnovskii, Alexander D.; Longoria, Francisco E.; Costamagna, Juan; Borodkin, G. S.; Korobov, M. S.</t>
  </si>
  <si>
    <t>Direct electrochemical synthesis of a nickel complex with 5,10,15,20-tetrakis(p-hydroxyphenyl) porphyrin</t>
  </si>
  <si>
    <t>SYNTHESIS AND REACTIVITY IN INORGANIC METAL-ORGANIC AND NANO-METAL CHEMISTRY</t>
  </si>
  <si>
    <t>Diverse studies have shown the high toxic effects of many substances, in particular 2,4-dichlorophenols, which are considered as possible cancer agents. In recent years, many research projects have shown the possibility of using chemically modified electrodes (CME) as sensors for a variety of dangerous substances. Recently, macrocycles, such as porphyrins and their metal complexes, have also been used as sensors because of their high stability and selectivity. This article shows the results of applying a direct electrochemical procedure to obtain a nickel complex of the 5,10,15,20-tetrakis(p-hydroxyphenyl) porphyrin) and the use of this complex as a chemical modifier of electrode surfaces to detect organic contaminants. The electrochemical behavior of the 5,10,15,20-tetrakis(p-hydroxyphenyl) porphyrin is studied using the voltammetric technique. The results show that this porphyrin is highly electroactive in the range of applied potentials and undergoes redox processes associated with hydroxyl groups and porphyrin rings. The dark purple nickel-porphyrin complex (electrosynthetized complex or EC) was obtained by direct electrochemical synthesis for 15 min using a sacrificial nickel anode at a controlled current of 20 mA; the electrochemical efficiency was 86.95%. The product was analyzed using IR and H-1-NMR spectroscopy, atomic absorption, HPLC with an UV-detector, and X-ray diffraction. Using cyclic voltammetry, a comparative study of the EC and its equivalent commercial nickel metalloporphiryn (NiP) was also carried out. The results show that EC contains the nickel atom bonded with the macrocycle molecule through the oxygen atoms located in its external part. The EC obtained was used to modify a glass carbon electrode (GCE) by chemisorption at pH values of 7 and 11. The capacity of the modified electrode to detect 2,4-dichlorophenol was determined. The results show that the EC modifies the electrode surface at both pH values; the electrode, modified with EC at pH 11, is able to detect 2,4-dichlorophenol and, additionally, to electrocatalyze its oxidation.</t>
  </si>
  <si>
    <t>Kharisov, Boris/E-3056-2013; Korobov, Mikhail/R-5352-2016; Borodkin, Gennadii/R-3036-2016</t>
  </si>
  <si>
    <t>Longoria Rodriguez, Francisco Enrique/0000-0002-2621-2314; Korobov, Mikhail/0000-0003-1051-0111; Gonzalez, Lucy T./0000-0001-6415-5296; Borodkin, Gennadii/0000-0002-5886-7825</t>
  </si>
  <si>
    <t>1553-3174</t>
  </si>
  <si>
    <t>1553-3182</t>
  </si>
  <si>
    <t>10.1080/15533170802265145</t>
  </si>
  <si>
    <t>WOS:000258932400006</t>
  </si>
  <si>
    <t>Gregor, J; Rannou, FR</t>
  </si>
  <si>
    <t>Three-dimensional support function estimation and application for projection magnetic resonance imaging</t>
  </si>
  <si>
    <t>INTERNATIONAL JOURNAL OF IMAGING SYSTEMS AND TECHNOLOGY</t>
  </si>
  <si>
    <t>Magnetic resonance imaging (MRI) of nuclei that have very short relaxation times is conveniently based on spherical sampling. We have presented a least squares framework for reconstructing three-dimensional (3D) source distribution images from such data. In this paper, we describe a practical algorithm for 3D support function estimation, which forms the basis for a method called focus of attention. By essentially identifying and eliminating equations and unknowns that merely represent background data, this data-driven preprocessing scheme effectively reduces the computational burden associated with our algebraic approach to projection MRI. (C) 2002 John Wiley Sons, Inc.</t>
  </si>
  <si>
    <t>Rannou, Fernando/0000-0002-3244-1893</t>
  </si>
  <si>
    <t>0899-9457</t>
  </si>
  <si>
    <t>10.1002/ima.10007</t>
  </si>
  <si>
    <t>WOS:000173439900006</t>
  </si>
  <si>
    <t>Cubillos, F; Callejas, H; Lima, EL; Vega, MP</t>
  </si>
  <si>
    <t>Adaptive control using a hybrid-neural model: Application to a polymerisation reactor</t>
  </si>
  <si>
    <t>BRAZILIAN JOURNAL OF CHEMICAL ENGINEERING</t>
  </si>
  <si>
    <t>This work presents the use of a hybrid-neural model for predictive control of a plug flow polymerisation reactor. The hybrid-neural model (HNM) is based on fundamental conservation laws associated with a neural network (NN) used to model the uncertain parameters. By simulations, the performance of this approach was studied for a peroxide-initiated styrene tubular reactor. The HNM was synthesised for a CSTR reactor with a radial basis function neural net (RBFN) used to estimate the reaction rates recursively. The adaptive HNM was incorporated in two model predictive control strategies, a direct synthesis scheme and an optimum steady state scheme. Tests for servo and regulator control showed excellent behaviour following different setpoint variations, and rejecting perturbations. The good generalisation and training capacities of hybrid models, associated with the simplicity and robustness characteristics of the MPC formulations, make an attractive combination for the control of a polymerisation reactor.</t>
  </si>
  <si>
    <t>Vega, Márcia/AAN-1241-2021</t>
  </si>
  <si>
    <t>VEGA, MARCIA/0000-0002-6027-5458; CUBILLOS, FRANCISCO/0000-0001-7863-4394</t>
  </si>
  <si>
    <t>0104-6632</t>
  </si>
  <si>
    <t>10.1590/S0104-66322001000100010</t>
  </si>
  <si>
    <t>WOS:000168091800010</t>
  </si>
  <si>
    <t>Rezende, MC; Dall'Oglio, EL; Zucco, C</t>
  </si>
  <si>
    <t>An alternative preparation of bisbenzimidazoles</t>
  </si>
  <si>
    <t>The reaction of hexachloroacetone (HCA) with o-phenylene-diamines substituted with electron-donating groups leads to the formation of substituted bisbenzimidazoles in good yields.</t>
  </si>
  <si>
    <t>Dall´Oglio, Evandro/S-1896-2019; Caroli, Marcos/H-3570-2019</t>
  </si>
  <si>
    <t>10.1081/SCC-100000589</t>
  </si>
  <si>
    <t>WOS:000170044800018</t>
  </si>
  <si>
    <t>Mallol, J; Solé, D; Asher, I; Clayton, T; Stein, R; Soto-Quiroz, M</t>
  </si>
  <si>
    <t>Latin Amer ISAAC Collaborators Grp</t>
  </si>
  <si>
    <t>Prevalence of asthma symptoms in Latin America:: The International Study of Asthma and Allergies in Childhood (ISAAC)</t>
  </si>
  <si>
    <t>PEDIATRIC PULMONOLOGY</t>
  </si>
  <si>
    <t>The prevalence of respiratory symptoms indicative of asthma in children from Latin America has been largely ignored. As part of the International Study of Asthma and Allergies in Childhood (ISAAC), 17 centers in 9 different Latin American countries participated in the study, and data from 52,549 written questionnaires (WQ) in children aged 13-14 years and from 36,264 WQ in 6-7 year olds are described here. In children aged 13-14 years, the prevalence of asthma ever ranged from 5.5-28%, and the prevalence of wheezing in the last 12 months from 6.6-27%. In children aged 6-7 years, the prevalence of asthma ever ranged from 4.1-26.9%, and the prevalence of wheezing in the last 12 months ranged from 8.6-32.1%. The lower prevalence in centers with higher levels of atmospheric pollution suggests that chronic inhalation of polluted air in children does not contribute to asthma. Furthermore, the high figures for asthma in a region with a high level of gastrointestinal parasite infestation, and a high burden of acute respiratory infections occurring early in life, suggest that these factors, considered as protective in other regions, do not have the same effect in this region. The present study indicates that the prevalence of asthma and related symptoms in Latin America is as high and variable as described in industrialized or developed regions of the world. Pediatr Pulmonol. 2000; 30:439-444. (C) 2000 Wiley-Liss. Inc.</t>
  </si>
  <si>
    <t>Solé, Dirceu/JAO-0340-2023; Asher, Innes/O-2604-2016; Stein, Renato/K-2568-2014; Clayton, Tadd/B-7914-2009; Jones, Marcus Herbert/A-3580-2011</t>
  </si>
  <si>
    <t>Mallol, Javier/0000-0003-2528-8672; Jones, Marcus Herbert/0000-0002-8263-1265; Chiarella, Pascual/0000-0001-7644-7237</t>
  </si>
  <si>
    <t>8755-6863</t>
  </si>
  <si>
    <t>10.1002/1099-0496(200012)30:6&lt;439::AID-PPUL1&gt;3.3.CO;2-5</t>
  </si>
  <si>
    <t>WOS:000165680900001</t>
  </si>
  <si>
    <t>Cerda, E; Rojas, R; Tirapegui, E</t>
  </si>
  <si>
    <t>Asymptotic description of a viscous fluid layer</t>
  </si>
  <si>
    <t>JOURNAL OF STATISTICAL PHYSICS</t>
  </si>
  <si>
    <t>NATO Advanced Research Workshop on Nonlinear Science - Dynamics and Stochasticity</t>
  </si>
  <si>
    <t>JUN 30-JUL 03, 1999</t>
  </si>
  <si>
    <t>BRUSSELS, BELGIUM</t>
  </si>
  <si>
    <t>NATO,Belgian Fed Off Sci Tech &amp; Cultural Affairs,European Commiss,Fond Nat Rech Sci,Fonds Wetenschappelijk Onderzoek,ULB</t>
  </si>
  <si>
    <t>We prove that the exact non local equation derived by the present authors for the temporal linear evolution of the surface of a viscous incompressible fluid reduces asymptotically for high viscosity to a second order Mathieu type equation proposed recently by Cerda and Tirapegui. The equation describes a strongly damped pendulum and the conditions of validity of the asymptotic regime are given in terms of the relevant physical parameters.</t>
  </si>
  <si>
    <t>Rojas, René/C-4921-2009; Tirapegui, Enrique/G-8141-2016</t>
  </si>
  <si>
    <t>Rojas, Rene/0000-0002-5292-0816; Rojas, Rene/0000-0002-0012-3479</t>
  </si>
  <si>
    <t>0022-4715</t>
  </si>
  <si>
    <t>10.1023/A:1026411510531</t>
  </si>
  <si>
    <t>WOS:000165958100034</t>
  </si>
  <si>
    <t>Soto-Moyano, R; Alarcon, S; Hernández, A; Pérez, H; Ruiz, S; Carreño, P; Kusch, C; Belmar, J</t>
  </si>
  <si>
    <t>Prenatal malnutrition-induced functional alterations in callosal connections and in interhemispheric asymmetry in rats are prevented by reduction of noradrenaline synthesis during gestation</t>
  </si>
  <si>
    <t>JOURNAL OF NUTRITION</t>
  </si>
  <si>
    <t>Prenatal malnutrition results in increased concentration and release of central noradrenaline, a neurotransmitter that is an important regulator of normal regressive events such as axonal pruning and synaptic elimination. This suggests that some of the functional disturbances in brain induced by prenatal malnutrition could be due at least in part to increased noradrenaline activity that may enhance regressive events during early stages of development. To test this hypothesis we studied whether chronic administration of alpha-methyl-p-tyrosine, an inhibitor of tyrosine hydroxylase, to rats during gestation might prevent long-term deleterious effects of prenatal malnutrition on functional properties of interhemispheric connections of the visual cortex, and on asymmetry of visual evoked responses. The experiments were conducted on normal and malnourished rats 45-50 d of age. Prenatal malnutrition was induced by restricting the food consumption of pregnant rats to 40%, from d 8 postconception to parturition. At birth, prenatally malnourished rats had significantly greater whole-brain noradrenaline concentration as well as significantly enhanced noradrenaline release in the visual cortex. At 45-50 d of age, the malnourished group had a significantly smaller cortical area, exhibiting transcallosal evoked responses; in addition, the amplitude of these responses was significantly smaller. Malnourished rats showed a significant reduction of the normal interhemispheric asymmetry of visual evoked responses. The addition of 0.3% alpha-methyl-p-tyrosine to the diet of malnourished pregnant rats during the last 2 wk of gestation prevented functional disorders induced in the offspring by prenatal malnutrition on interhemispheric connectivity of visual areas and on interhemispheric bioelectrical asymmetry, probably by reducing the elevated brain noradrenaline activity and thereby restoring the normal trophic role of this neurotransmitter.</t>
  </si>
  <si>
    <t>0022-3166</t>
  </si>
  <si>
    <t>10.1093/jn/128.7.1224</t>
  </si>
  <si>
    <t>WOS:000074605600025</t>
  </si>
  <si>
    <t>MOYA, S; SARIEGO, R; AGUIRRE, P; SARTORI, R; DIXNEUF, P</t>
  </si>
  <si>
    <t>RUTHENIUM CARBONYL CLUSTERS AS CATALYSTS IN THE WATER-GAS SHIFT REACTIONS</t>
  </si>
  <si>
    <t>BULLETIN DES SOCIETES CHIMIQUES BELGES</t>
  </si>
  <si>
    <t>The catalytic activity of Ru-3(CO)(9) L(3) (L = arylphosphine) in the WGSR and in the reduction of nitro derivatives to amines is studied. The same complex is supported in polystyrene-divinylbenzene copolymer (PSDVB) and the catalytic activity of this heterogeneous material on the fore mentioned reactions is herein studied. In the same way, Ru-3(CO)(12) is reacted with PSDVB, previously functionalized with 1,2-ethylenediamine, giving an active catalyst for these reactions.</t>
  </si>
  <si>
    <t>0037-9646</t>
  </si>
  <si>
    <t>WOS:A1995QG66900004</t>
  </si>
  <si>
    <t>ENGEL, AB; BEZERRA, SJ; ARIE, S</t>
  </si>
  <si>
    <t>A MODEL FOR ACCURATE CARDIAC VOLUMETRY .1. THEORETICAL FOUNDATIONS</t>
  </si>
  <si>
    <t>The classical models for volumetry of the heart''s left ventricle are based upon the simplifying assumption that this chamber is an ellipsoid. This simplification is needed in oder to manually process radiographic images of the left ventricle. Computer processing of these images allows a much more realistic approach by associating with the left ventricle a topologically deformed ellipsoid, which approximately is its actual shape. This is the model proposed and analysed in this paper; from this model an algorithm is derived for accurately calculating left ventricle volumetry. This algorithm is simple enough to be implemented on most microcomputers provided with an analog-to-digital converter, like joystick, or a magic pen or digitzer. By this procedure the assessing of hemodynamical parameters can be performed in a few minutes with a great improvement in accuracy as compared with classical methods.</t>
  </si>
  <si>
    <t>10.1108/eb005767</t>
  </si>
  <si>
    <t>WOS:A1987J356700004</t>
  </si>
  <si>
    <t>Wahaia, F; Kasalynas, I; Pashnev, D; Valusis, G; Urbanowicz, A; Karaliunas, M; Singh, DP; Wallentowitz, S; Seifert, B</t>
  </si>
  <si>
    <t>Wahaia, Faustino; Kasalynas, Irmantas; Pashnev, Daniil; Valusis, Gintaras; Urbanowicz, Andrzej; Karaliunas, Mindaugas; Singh, Dinesh Pratap; Wallentowitz, Sascha; Seifert, Birger</t>
  </si>
  <si>
    <t>Optical properties of millimeter-size metal-organic framework single crystals using THz techniques</t>
  </si>
  <si>
    <t>JOURNAL OF MOLECULAR STRUCTURE</t>
  </si>
  <si>
    <t>Metal-organic frameworks (MOFs) crystals are promising emerging materials for terahertz (THz) photonics i.e., for THz wave generation through difference frequency or optical rectification and electrooptic detection, including optical components for THz beam steering. The present work reports optical properties of three different non-centrosymmetric single MOF crystals, grown by an innovative solvo-thermal technique with tunable morphology, termed MOF [Zn(3-ptz)2]n (MIRO-101). THz time-domain spectroscopy (TTDS) in the range of 0.25 - 1.5 THz has been used for the measurement of the transfer function, H(w) of these MOF crystals. Through this experimental function Hexp(w), optical parameters such as refractive index, nMOF(w) and absorption coefficient, aMOF(w) have been calculated for the analysis of the optical properties of this crystal. The results indicate that this MOF crystal offers opportunities for long-term exploration of properties toward the creation of novel nonlinear THz photonics materials, as a THz radiation emitter via Different Frequency Generation (DFG) or Optical Rectification (OR) and Electro-optic (EO) detection via optical sampling, including for its use in optoelectronics, and materials science.</t>
  </si>
  <si>
    <t>Pashnev, Daniil/HCH-3280-2022; Wallentowitz, Sascha/AAG-7173-2020; SINGH, DINESH/A-2509-2011</t>
  </si>
  <si>
    <t>SINGH, DINESH/0000-0002-2893-7749</t>
  </si>
  <si>
    <t>0022-2860</t>
  </si>
  <si>
    <t>1872-8014</t>
  </si>
  <si>
    <t>10.1016/j.molstruc.2024.140612</t>
  </si>
  <si>
    <t>WOS:001359351700001</t>
  </si>
  <si>
    <t>de Victo, ER; Ferrari, G; Drenowatz, C; Solé, D</t>
  </si>
  <si>
    <t>de Victo, Eduardo Rossato; Ferrari, Gerson; Drenowatz, Clemens; Sole, Dirceu</t>
  </si>
  <si>
    <t>Association of physical activity and sitting time with tobacco and alcohol use in 222,495 adolescents from 66 countries</t>
  </si>
  <si>
    <t>BMC PEDIATRICS</t>
  </si>
  <si>
    <t>BackgroundThe prevalence of tobacco and alcohol use among adolescents is alarming, and these substances are among the leading risk factors for current and future health among adolescents. Physical activity has the potential to help prevent substance use among adolescents. The objective of this study was to evaluate the association between physical activity, modes of transportation to or from school, and sitting time with tobacco and alcohol use among 222,495 adolescents.MethodsThis cross-sectional study used data from national surveys conducted in 66 countries, obtained through the Global School-based Student Health Survey, and included adolescents aged 11 to 17 years. Information on physical activity, transportation to or from school, sitting time, and tobacco and alcohol use was collected through self-report questionnaires. Generalized linear models were employed to estimate the associations between these variables.ResultsThe analysis, adjusted for sex, age, and region, revealed that being physically active was associated with lower odds of smoking (OR: 0.86, 95%CI: 0.83-0.89), alcohol use (OR: 0.74, 95%CI: 0.72-0.76), binge drinking (OR: 0.66, 95%CI: 0.62-0.69), and drunkenness (OR: 0.85, 95%CI: 0.83-0.88) compared to inactivity. Insufficiently active participants also had lower odds of tobacco use (OR: 0.83, 95%CI: 0.80-0.85), alcohol use (OR: 0.77, 95%CI: 0.75-0.79), binge drinking (OR: 0.91, 95%CI: 0.87-0.96), and drunkenness (OR: 0.88, 95%CI: 0.85-0.90) compared to inactive participants. Additionally, active transportation to or from school was associated with lower odds of tobacco use (OR: 0.97, 95%CI: 0.95-0.99), alcohol use (OR: 0.94, 95%CI: 0.92-0.96), and binge drinking (OR: 0.78, 95%CI: 0.75-0.81) compared to those using passive transportation. Participants with acceptable sitting time, however, were more likely to use tobacco (OR: 1.48, 95%CI: 1.45-1.52), use alcohol (OR: 1.68, 95%CI: 1.64-1.72), binge drink (OR: 1.68, 95%CI: 1.62-1.75), and experience drunkenness (OR: 1.66, 95%CI: 1.62-1.69) compared to those with excessive sitting time.ConclusionBeing physically active, even at insufficient levels, may have beneficial effects on tobacco and alcohol use in adolescents. Acceptable sedentary time, on the other hand, was positively associated with tobacco and alcohol use.</t>
  </si>
  <si>
    <t>Solé, Dirceu/JAO-0340-2023; Victo, Eduardo/JQI-9333-2023; Ferrari, Gerson/HHM-6173-2022</t>
  </si>
  <si>
    <t>Rossato de Victo, Eduardo/0000-0002-4409-741X</t>
  </si>
  <si>
    <t>1471-2431</t>
  </si>
  <si>
    <t>SEP 19</t>
  </si>
  <si>
    <t>10.1186/s12887-024-05079-1</t>
  </si>
  <si>
    <t>WOS:001315754800002</t>
  </si>
  <si>
    <t>Vásquez-Salgado, J; Figueroa, RL; Sotelo, J; Villalobos-Cid, M</t>
  </si>
  <si>
    <t>Vasquez-Salgado, Javiera; Figueroa, Rosa L.; Sotelo, Julio; Villalobos-Cid, Manuel</t>
  </si>
  <si>
    <t>Biomedical engineering research in Chilean universities - A bibliometric analysis</t>
  </si>
  <si>
    <t>Biomedical engineering (BME) combines engineering, biology, and medicine to develop innovative healthcare solutions. There is an increasing demand for BME professionals following technological and scientific advances. In Chile, only three universities offer undergraduate BME programs: Universidad de Valparaiso, Universidad de Concepcion, and Universidad de Santiago de Chile. Each institution has defined its curriculum, professional profile, and research focus based on its perspective of the country's needs. However, the scope of their research contribution has not been studied. In this work, we perform a comprehensive bibliometric analysis using data from the SCOPUS database to evaluate publications by researchers affiliated with Chilean undergraduate BME programs from 2000 to 2022. The objective is to identify the research areas of BME in Chile, understand the similarities and differences between universities, analyse their research areas, explore collaboration relationships, and characterise the discipline's evolution. The main contributions of this work are (1) a quantitative and qualitative analysis of BME research in Chile, (2) the identification of BME research areas and their development over time, (3) the creation of a dashboard-style web tool, and (4) proposing a robust methodology for bibliometric analysis applicable to BME literature in Chile and similar contexts. This work represents the first collaboration involving authors from all universities with undergraduate Chilean BME programs.</t>
  </si>
  <si>
    <t>Villalobos-Cid, Manuel/AFK-0866-2022; Sotelo, Julio/ADB-4131-2022; Figueroa, Rosa/IXN-4890-2023</t>
  </si>
  <si>
    <t>Sotelo Parraguez, Julio Andres/0000-0002-0915-5215; Villalobos-Cid, Manuel/0000-0002-1145-2016; Figueroa, Rosa/0000-0002-2021-0203</t>
  </si>
  <si>
    <t>10.1109/TLA.2024.10472960</t>
  </si>
  <si>
    <t>WOS:001185315900004</t>
  </si>
  <si>
    <t>Travieso-Torres, JC; Lee, SS; Veliz-Tejo, A; Leiva-Silva, F; Ricaldi-Morales, A</t>
  </si>
  <si>
    <t>Travieso-Torres, Juan Carlos; Lee, Sze Sing; Veliz-Tejo, Adolfo; Leiva-Silva, Felipe; Ricaldi-Morales, Abdiel</t>
  </si>
  <si>
    <t>Self-Commissioning Parameter Estimation Algorithm for Loaded Induction Motors</t>
  </si>
  <si>
    <t>IEEE TRANSACTIONS ON INDUSTRIAL ELECTRONICS</t>
  </si>
  <si>
    <t>Induction motor (IM) drive systems are pivotal in modern industrial and commercial applications, driving essential processes and systems across various sectors efficiently and reliably. The accurate estimation of IM and load parameters is challenging but vital to guarantee the optimal performance of the entire drive system. The IEEE Standard 112A and existing online methods take hours to estimate only IM parameters after shutting down, disconnecting, estimating, reconnecting, and realigning the motor and its load using specialized tools. Offline techniques assume a known IM manufacturer datasheet, which is often unavailable. Therefore, this article proposes a novel online self-commissioning algorithm that estimates the parameters of an IM and its load in a remarkably swift time frame of just 180 s without disconnecting the IM from the load or using the IM manufacturer datasheet. The proposed method only requires the IM nameplate information and employs a discrete normalized model reference adaptive system. In addition, its computational burden is minimal, making it suitable for practical real-time implementation using the commercial and cost-effective microcontroller for power electronics, i.e., c2000 TMS320F28388D control platform. Comprehensive experimental results for fan-type loads driven by 1.1- and 7.5-kW IMs are discussed to validate the proposal.</t>
  </si>
  <si>
    <t>Lee, Sze/AAE-3573-2019; Travieso Torres, Juan carlos/N-6437-2019</t>
  </si>
  <si>
    <t>Lee, Sze Sing/0000-0003-2455-5783; Ricaldi Morales, Abdiel Josadac/0009-0007-8354-3009; Leiva Silva, Felipe Ignacio/0000-0003-3589-5695; Travieso Torres, Juan carlos/0000-0002-9246-4827</t>
  </si>
  <si>
    <t>0278-0046</t>
  </si>
  <si>
    <t>1557-9948</t>
  </si>
  <si>
    <t>10.1109/TIE.2024.3357900</t>
  </si>
  <si>
    <t>MAR 2024</t>
  </si>
  <si>
    <t>WOS:001181555800001</t>
  </si>
  <si>
    <t>Cataño, FA; Moreno-Serna, V; Cament, A; Loyo, C; Yáñez-S, M; Ortiz, JA; Zapata, PA</t>
  </si>
  <si>
    <t>Catano, Francisco A.; Moreno-Serna, Viviana; Cament, Alejandro; Loyo, Carlos; Yanez-S, Mauricio; Ortiz, J. Andres; Zapata, Paula A.</t>
  </si>
  <si>
    <t>Green composites based on thermoplastic starch reinforced with micro- and nano-cellulose by melt blending - A review</t>
  </si>
  <si>
    <t>Starch is a biodegradable biopolymer, a sustainable material that can replace conventional petrochemical-based plastics. However, starch has some limitations, as it must be processed by heating and treated mechanically with a plasticizer to become thermoplastic starch (TPS). Different variables such as mixing speeds, amount, and kind of plasticizers play a vital role in preparing TPS by melting. Despite this, the properties of the TPS are not comparable with those of traditional plastics. To overcome this limitation, microcellulose or nanocellulose is added to TPS by melt mixing, including the extrusion and internal mixing process, which enables large-scale production. This review aims to compile several studies that evaluate the effect of plasticizers, as well as the relevance of incorporating different cellulosic fillers of different dimensions on the properties of TPS obtained by melt mixing. Potential applications of these materials in food packaging, biomedical applications, and other opportunities are also described.</t>
  </si>
  <si>
    <t>Loyo, Carlos/AAZ-6777-2021; Ortiz, J. Andrés/R-4060-2019; Moreno Serna, Viviana/LZI-3166-2025</t>
  </si>
  <si>
    <t>Zapata, Paula Andrea/0000-0003-3361-6226; Ortiz, J. Andres/0000-0002-3142-9470; Loyo Davila, Carlos David/0000-0003-4177-2958; Catano, Francisco/0009-0008-8736-4267; Moreno Serna, Viviana/0000-0001-9042-1738</t>
  </si>
  <si>
    <t>10.1016/j.ijbiomac.2023.125939</t>
  </si>
  <si>
    <t>WOS:001058247600001</t>
  </si>
  <si>
    <t>Córdova, P; Rivera-González, JP; Rojas-Martínez, V; Villarreal, P; Zamorano, A; Fiore, N; San Martín, D; Vera, F; Gálvez, E; Romero, J; Barrueto, J; Ilabaca-Díaz, C; Higuera, G</t>
  </si>
  <si>
    <t>Cordova, Pamela; Rivera-Gonzalez, Juan Pablo; Rojas-Martinez, Victoria; Villarreal, Pablo; Zamorano, Alan; Fiore, Nicola; San Martin, Daniel; Vera, Francisca; Galvez, Eduardo; Romero, Jaime; Barrueto, Jaime; Ilabaca-Diaz, Carolina; Higuera, Gaston</t>
  </si>
  <si>
    <t>Antimicrobial Multiresistant Phenotypes of Genetically Diverse Pseudomonas spp. Isolates Associated with Tomato Plants in Chilean Orchards</t>
  </si>
  <si>
    <t>HORTICULTURAE</t>
  </si>
  <si>
    <t>Tomatoes are susceptible to bacterial diseases, mainly related to some Pseudomonas syringae pathovars. Many Pseudomonas species are considered innocuous, but some have shown the ability to opportunistically infect tomato plants. Antimicrobial compounds have been used to control pathogenic organisms, and this can lead to environmental selection of phenotypically resistant bacteria. We assessed the diversity of Pseudomonas species associated with tomato plants from Chilean orchards and analyzed antimicrobial resistance among the isolated strains. A total of 64 Pseudomonas isolates (P. syringae, P. viridiflava, P. fluorescens, P. koreensis, P. gessardii, and P. azotoformans) were evaluated for their phenotypic resistance to seven antimicrobial compounds, including copper, streptomycin, and five other antibiotics typically not used in agriculture. The results showed that 95%, 86%, 70%, 53%, 45%, and 1.6% of the isolates were resistant to rifampin, ampicillin, copper, chloramphenicol, streptomycin, and tetracycline, respectively, with no isolates being resistant to gentamicin. A total of 96.9% of Pseudomonas isolates exhibited a multiresistant phenotype to at least two of the antimicrobials tested. The most frequent multiresistance phenotype was Cu-Str-Amp-Cm-Rif (23.4%). The presence of Pseudomonas strains tolerant to conventional bactericides, metals, and other antimicrobials makes these bacteria an emerging threat to the agriculture industry and to human health.</t>
  </si>
  <si>
    <t>Higuera Guajardo, Gastón/GLN-6797-2022; San Martin, Daniel/V-6543-2019; Fiore, Nicola/H-5580-2013; Romero, Jaime/KEJ-6600-2024; CORDOVA, PAMELA/JHT-8113-2023; Villarreal, Pablo/N-8921-2019; Romero, Jaime/I-2816-2013; Zamorano, Alan/J-3031-2013</t>
  </si>
  <si>
    <t>Rojas-Martinez, Victoria/0009-0000-5339-9076; Villarreal, Pablo/0000-0002-2254-0417; Fiore, Nicola/0000-0001-6494-2257; Romero, Jaime/0000-0001-9614-2393; Zamorano, Alan/0000-0003-2770-991X</t>
  </si>
  <si>
    <t>2311-7524</t>
  </si>
  <si>
    <t>10.3390/horticulturae8080750</t>
  </si>
  <si>
    <t>WOS:000845919400001</t>
  </si>
  <si>
    <t>Castro, JI; Llano, CHV; Tenorio, DL; Saavedra, M; Zapata, P; Navia-Porras, DP; Delgado-Ospina, J; Chaur, MN; Hernández, JHM; Grande-Tovar, CD</t>
  </si>
  <si>
    <t>Ivan Castro, Jorge; Valencia Llano, Carlos Humberto; Lopez Tenorio, Diego; Saavedra, Marcela; Zapata, Paula; Paola Navia-Porras, Diana; Delgado-Ospina, Johannes; Chaur, Manuel N.; Mina Hernandez, Jose Herminsul; David Grande-Tovar, Carlos</t>
  </si>
  <si>
    <t>Biocompatibility Assessment of Polylactic Acid (PLA) and Nanobioglass (n-BG) Nanocomposites for Biomedical Applications</t>
  </si>
  <si>
    <t>Scaffolds based on biopolymers and nanomaterials with appropriate mechanical properties and high biocompatibility are desirable in tissue engineering. Therefore, polylactic acid (PLA) nanocomposites were prepared with ceramic nanobioglass (PLA/n-BGs) at 5 and 10 wt.%. Bioglass nanoparticles (n-BGs) were prepared using a sol-gel methodology with a size of ca. 24.87 +/- 6.26 nm. In addition, they showed the ability to inhibit bacteria such as Escherichia coli (ATCC 11775), Vibrio parahaemolyticus (ATCC 17802), Staphylococcus aureus subsp. aureus (ATCC 55804), and Bacillus cereus (ATCC 13061) at concentrations of 20 w/v%. The analysis of the nanocomposite microstructures exhibited a heterogeneous sponge-like morphology. The mechanical properties showed that the addition of 5 wt.% n-BG increased the elastic modulus of PLA by ca. 91.3% (from 1.49 +/- 0.44 to 2.85 +/- 0.99 MPa) and influenced the resorption capacity, as shown by histological analyses in biomodels. The incorporation of n-BGs decreased the PLA crystallinity (from 7.1% to 4.98%) and increased the glass transition temperature (T-g) from 53 degrees C to 63 degrees C. In addition, the n-BGs increased the thermal stability due to the nanoparticle's intercalation between the polymeric chains and the reduction in their movement. The histological implantation of the nanocomposites and the cell viability with HeLa cells higher than 80% demonstrated their biocompatibility character with a greater resorption capacity than PLA. These results show the potential of PLA/n-BGs nanocomposites for biomedical applications, especially for long healing processes such as bone tissue repair and avoiding microbial contamination.</t>
  </si>
  <si>
    <t>Tovar, Carlos/J-9638-2019; Delgado, Johannes/ADH-0147-2022; Chaur Valencia, Manuel Noe/LDF-9448-2024; Valencia Llano, Carlos Humberto/KZU-6023-2024; Mina Hernandez, Jose Herminsul/HKV-3137-2023</t>
  </si>
  <si>
    <t>Chaur Valencia, Manuel Noe/0000-0002-9845-9252; Grande Tovar, Carlos David/0000-0002-6243-4571; castro castro, jorge ivan/0000-0003-1930-6598; Lopez Tenorio, Diego/0009-0002-5855-0497; Valencia Llano, Carlos Humberto/0000-0003-4892-9786; Delgado Ospina, Johannes/0000-0001-8095-4741; Saavedra Gonzalez, Marcela Andrea/0000-0001-6849-0796; Mina Hernandez, Jose Herminsul/0000-0003-3767-4431; Zapata, Paula Andrea/0000-0003-3361-6226; Navia Porras, Diana Paola/0000-0002-8448-174X</t>
  </si>
  <si>
    <t>10.3390/molecules27113640</t>
  </si>
  <si>
    <t>WOS:000809063200001</t>
  </si>
  <si>
    <t>Barreto, LBM; Aedo-Muñoz, EA; Sotto, DAS; Miarka, B; Brito, CJ</t>
  </si>
  <si>
    <t>Barreto, Lindsei Brabec Mota; Aedo-muNoz, Esteban Ariel; Sotto, Dany Alexis Sorbazo; Miarka, Bianca; Brito, Ciro Jose</t>
  </si>
  <si>
    <t>Judo combat time, scores, and penalties: Review of competition rules changes between 2010 and 2020</t>
  </si>
  <si>
    <t>REVISTA DE ARTES MARCIALES ASIATICAS</t>
  </si>
  <si>
    <t>This study aimed to describe and analyze the main changes in the official competitive rules of judo between 2010 and 2020, highlighting changes in combat time, scores and penalties. In this retrospective study, a search was performed for official documents which regulated judo rules between 2010 and 2020 on the websites of the International Judo Federation and the Brazilian Judo Confederation, as well as refereeing manuals of the Sergipe Judo Federation (Brazil) and on the Google platform. Over the years, regular combat time has been shortened (2015=5'-&gt; 4' for women; 2017=5'-4' for men), as well as osaekomi time (2013=25 ''-&gt; 20 ''). This change was intended to facilitate the public's understanding of judo scores, as well as to devalue the use of penalties to achieve the victory (2010=koka's exclusion; 2013=penalty was no longer worth scores; 2017=yuko's exclusion, shido no longer decided the winner in regular time; 2018=shido no longer decided the golden score winner). Attack actions were encouraged (ban on actions to flee combat) and there was an intention to reduce the risk of injuries in competitive judo (prohibition of some types of actions and grips). In other words, there was an attempt by the International Judo Federation to encourage positive judo through the rules from 2010 to 2020. However, these constant rule changes made the competitive training context unstable. Judo coaches and athletes must be aware at the end of each Olympic cycle for new changes which will eventually be introduced and adapt to them quickly to achieve high performance.</t>
  </si>
  <si>
    <t>Aedo-Muñoz, Esteban/R-5623-2019; Brito, Ciro/AAC-9104-2019; Brabec Mota Barreto, Lindsei/AAW-2501-2020; Miarka, Bianca/V-7395-2017</t>
  </si>
  <si>
    <t>Sobarzo-Soto, Dany Alexis/0000-0001-8479-7149; Brabec Mota Barreto, Lindsei/0000-0001-5941-4409; Aedo-Munoz, Esteban/0000-0003-1544-2824; Miarka, Bianca/0000-0002-7513-7605; brito, ciro/0000-0002-9678-1977</t>
  </si>
  <si>
    <t>2174-0747</t>
  </si>
  <si>
    <t>JAN-JUN</t>
  </si>
  <si>
    <t>10.18002/rama.v17i1.7122</t>
  </si>
  <si>
    <t>WOS:000740052000002</t>
  </si>
  <si>
    <t>El Aiss, H; Chaibi, R; El Hajjaji, A; Hmamed, A</t>
  </si>
  <si>
    <t>El Aiss, Hicham; Chaibi, Redouane; El Hajjaji, Ahmed; Hmamed, Abdelaziz</t>
  </si>
  <si>
    <t>Input-output stability and stabilisation conditions for discrete-time delayed fuzzy systems</t>
  </si>
  <si>
    <t>INTERNATIONAL JOURNAL OF SYSTEMS SCIENCE</t>
  </si>
  <si>
    <t>The problem of input-output stability analysis and stabilisation of discrete Takagi-Sugeno (T-S) fuzzy systems with a time-varying delay via an input-output (I-O) approach is investigated in this paper. Using a three-term approximation-based model, a forward subsystem with three constant delays and a feedback subsystem are presented. Two separate input-output stability criteria have been formulated, using an input-output approach and a scaled small gain theorem: a criterion based on the lifting method, a non-quadratic Lyapunov function, and bounded real lemma, another criterion based on a non-quadratic Lyapunov-krasovskii functional approach. Using this result, the input-output stabilisation problem is resolved through the so-called parallel distributed compensation (PDC) scheme. The conditions obtained are presented in terms of linear matrix inequalities (LMIs). Three numerical examples are provided to demonstrate the advantages and merit of the proposed method.</t>
  </si>
  <si>
    <t>El Aiss, Hicham/AAD-6510-2022; El Hajjaji, Ahmed/D-6459-2016</t>
  </si>
  <si>
    <t>EL AISS, hicham/0000-0003-1098-275X; El Hajjaji, Ahmed/0000-0002-7564-3620; El hajjaji, Ahmed/0000-0002-9380-9890</t>
  </si>
  <si>
    <t>0020-7721</t>
  </si>
  <si>
    <t>1464-5319</t>
  </si>
  <si>
    <t>OCT 3</t>
  </si>
  <si>
    <t>10.1080/00207721.2021.1895357</t>
  </si>
  <si>
    <t>WOS:000625730600001</t>
  </si>
  <si>
    <t>Labbe, TP; Montalba, C; Zurita, M; Ciampi, EL; Cruz, JP; Vasquez, M; Uribe, S; Crossley, N; Cárcamo, C</t>
  </si>
  <si>
    <t>Labbe, Tomas P.; Montalba, Cristian; Zurita, Mariana; Leslie Ciampi, Ethel; Pablo Cruz, Juan; Vasquez, Macarena; Uribe, Sergio; Crossley, Nicolas; Carcamo, Claudia</t>
  </si>
  <si>
    <t>Regional brain atrophy is related to social cognition impairment in multiple sclerosis</t>
  </si>
  <si>
    <t>Background: Multiple sclerosis exhibits specific neuropathological phenomena driving to both global and regional brain atrophy. At the clinical level, the disease is related to functional decline in cognitive domains as the working memory, processing speed, and verbal fluency. However, the compromise of social-cognitive abilities has concentrated some interest in recent years despite the available evidence suggesting the risk of disorganization in social life. Recent studies have used the MiniSEA test to assess the compromise of social cognition and have found relevant relationships with memory and executive functions, as well as with the level of global and regional brain atrophy. Objective: The present article aimed to identify structural changes related to socio-cognitive performance in a sample of patients with relapsing-remitting multiple sclerosis. Methods: 68 relapsing-remitting multiple sclerosis Chilean patients and 50 healthy control subjects underwent MRI scans and neuropsychological evaluation including social-cognition tasks. Total brain, white matter, and gray matter volumes were estimated. Also, voxel-based morphometry was applied to evaluate regional structural changes. Results: Patients exhibited lower scores in all neuropsychological tests. Social cognition exhibited a significant decrease in this group mostly related to the declining social perception. Normalized brain volume and white matter volume were significantly decreased when compared to healthy subjects. The regional brain atrophy analysis showed that changes in the insular cortex and medial frontal cortices are significantly related to the variability of social-cognitive performance among patients. Conclusions: In the present study, social cognition was only correlated with the deterioration of verbal fluency, despite the fact that previous studies have reported its link with memory and executive functions. The identification of specific structural correlates supports the comprehension of this phenomenon as an independent source of cognitive disability in these patients.</t>
  </si>
  <si>
    <t>URIBE Arancibia, SERGIO/GRR-3235-2022; Montalba, Cristian/AGW-6952-2022; Crossley, Nicolas/ACH-4174-2022; Cruz, Juan Pablo/Z-4098-2019</t>
  </si>
  <si>
    <t>Cruz, Juan Pablo/0000-0002-7524-7273; Labbe, Tomas/0000-0002-1566-5940; Ciampi, Ethel/0000-0002-7330-5433; Crossley, Nicolas A/0000-0002-3060-656X; Montalba, Cristian/0000-0003-3370-0233; Uribe, Sergio/0000-0002-4970-9710</t>
  </si>
  <si>
    <t>1678-4227</t>
  </si>
  <si>
    <t>10.1590/0004-282X-ANP-2020-0162</t>
  </si>
  <si>
    <t>WOS:000706741500003</t>
  </si>
  <si>
    <t>Beltrán-Castillo, S; Triviño, JJ; Eugenín, J; von Bernhardi, R</t>
  </si>
  <si>
    <t>Beltran-Castillo, Sebastian; Jose Trivino, Juan; Eugenin, Jaime; von Bernhardi, Rommy</t>
  </si>
  <si>
    <t>TGFβ1-Smad3 signaling mediates the formation of a stable serine racemase dimer in microglia</t>
  </si>
  <si>
    <t>BIOCHIMICA ET BIOPHYSICA ACTA-PROTEINS AND PROTEOMICS</t>
  </si>
  <si>
    <t>D-serine is synthesized by serine racemase (SR), a fold type II class of pyridoxal-5'-phosphate (PLP)-dependent enzyme. Whereas X-ray crystallography reveals that SR can be monomeric, reversible dimers having the highest racemase activity, or stable SR dimers resistant to both denaturation and reductive treatment, showing reduced racemase activity have been detected in microglia and astrocytes; the latter especially in oxidative or inflammatory environments. The microglial inflammatory environment depends largely on the TGF beta 1-mediated regulation of inflammatory cytokines such as TNF alpha and IL1 beta. Here we evaluated the participation of TGF beta 1 in the regulation of SR, and whether that regulation is associated with the induction of stable SR dimers in the microglia from adult mice. In contrast to the effect of lipopolysaccharide (LPS), TGF beta 1 increased the formation of stable SR dimers and reduced the detection of monomers in microglia in culture. LPS or TGF beta 1 did not change the amount of total SR. The increase of stable SR dimer was abolished when TGF beta 1 treatment was done in the presence of the Smad inhibitor SIS3, showing that Smad3 has a role in the induction of stable dimers. Treatment with TGF beta 1 + SIS3 also reduced total SR, indicating that the canonical TGF beta 1 pathway participates in the regulation of the synthesis or degradation of SR. In addition, the decrease of IL1 beta, but not the decrease of TNF alpha induced by TGF beta 1, was mediated by Smad3. Our results reveal a mechanism for the regulation of D-serine through the induction of stable SR dimers mediated by TGF beta 1-Smad3 signaling in microglia.</t>
  </si>
  <si>
    <t>von Bernhardi, Rommy/IAO-3764-2023; Beltran Castillo, Sebastian/AAT-2028-2021</t>
  </si>
  <si>
    <t>Beltran-Castillo, Sebastian/0000-0003-4550-6323; von Bernhardi, Rommy/0000-0002-9022-7676</t>
  </si>
  <si>
    <t>1570-9639</t>
  </si>
  <si>
    <t>1878-1454</t>
  </si>
  <si>
    <t>10.1016/j.bbapap.2020.140447</t>
  </si>
  <si>
    <t>WOS:000548146800004</t>
  </si>
  <si>
    <t>MacClure, O; Barozet, E; Valenzuela, AM</t>
  </si>
  <si>
    <t>MacClure, Oscar; Barozet, Emmanuelle; Valenzuela, Ana Maria</t>
  </si>
  <si>
    <t>Naming oneself in the social mirror: A vignette-based survey</t>
  </si>
  <si>
    <t>CURRENT SOCIOLOGY</t>
  </si>
  <si>
    <t>In order to understand the way in which people self-identify in society and as a contribution to debates about class identity in Latin America, in this article the authors assess how individuals categorize themselves and others socially, and discuss whether a significant portion of the population classifies itself as middle class. They address the question of whether or not individuals' representation of their social position is linked to social class, examining whether that position incorporates a socio-economic dimension, a hierarchical dimension, or even an element of moral value. The authors focus on how individuals name their own social position by means of a vignette-based survey applied in 2016 to a randomized sample of 2000 people in Chile. The results show that the theoretical notion of class is still of relevance to subjective positioning criteria, and that such criteria are specific to individuals who self-identify with lower or higher social positions.</t>
  </si>
  <si>
    <t>Barozet, Emmanuelle/LWH-8106-2024; Mac-Clure, Oscar/ABH-2626-2020</t>
  </si>
  <si>
    <t>0011-3921</t>
  </si>
  <si>
    <t>1461-7064</t>
  </si>
  <si>
    <t>10.1177/0011392120932953</t>
  </si>
  <si>
    <t>JUN 2020</t>
  </si>
  <si>
    <t>WOS:000543758600001</t>
  </si>
  <si>
    <t>Herrera, A; Rodríguez, FJ; Bruna, JE; Abarca, RL; Galotto, MJ; Guarda, A; Mascayano, C; Sandoval-Yáñze, C; Padula, M; Felipe, FRS</t>
  </si>
  <si>
    <t>Herrera, Andrea; Rodriguez, Francisco J.; Bruna, Julio E.; Abarca, Romina L.; Galotto, Maria J.; Guarda, Abel; Mascayano, Carolina; Sandoval-Yanze, Claudia; Padula, Marisa; Souza Felipe, Fabiana Ramos</t>
  </si>
  <si>
    <t>Antifungal and physicochemical properties of inclusion complexes based on β-cyclodextrin and essential oil derivatives</t>
  </si>
  <si>
    <t>Inclusion complexes based on beta-cyclodextrin (beta-CD) and antimicrobial compounds, were prepared by co-precipitation method, and characterized by entrapment efficiency (EE), thermal analysis, X-ray diffraction, H-1 NMR spectroscopy, and water sorption. In addition, experiments associated to evaluate the effect of relative humidity on the release of active compounds and antifungal tests were performed. The analysis evidenced the encapsulation of active compounds into the beta-CD structure with EE of 91 +/- 4.1% and 66 +/- 2.1% for beta-CD/cinnamaldehyde and beta-CD/eugenol complexes, respectively. Additionally, high relative humidities favored the release of active compounds from inclusion complexes. On the other hand, inclusion complexes were able to control the growth of B. cinerea, which was evidenced by a reduction of its mycelialradial growth. Finally, specific interactions between the active compounds and beta-CD were evaluated through molecular dynamics simulation techniques. According to the obtained results, these complexes could be applied as additives in the design of antifungal packaging.</t>
  </si>
  <si>
    <t>Rodríguez, Francisco/I-5283-2018; Abarca, Romina/AAF-9196-2019; bruna, julio/AAM-6867-2021</t>
  </si>
  <si>
    <t>Mascayano Collado, Carolina Lorena/0000-0002-3488-9309; Padula, Marisa/0000-0003-2892-2034; Bruna, Julio E./0000-0001-9656-6022; Rodriguez-Mercado, Francisco/0000-0002-0530-6653</t>
  </si>
  <si>
    <t>10.1016/j.foodres.2019.03.026</t>
  </si>
  <si>
    <t>WOS:000470048200014</t>
  </si>
  <si>
    <t>Carvallo, C; Contreras, D; Ugarte, G; Delgado, R; Pancetti, F; Rozas, C; Piña, R; Constandil, L; Zeise, ML; Morales, B</t>
  </si>
  <si>
    <t>Carvallo, Claudia; Contreras, Darwin; Ugarte, Gonzalo; Delgado, Ricardo; Pancetti, Floria; Rozas, Carlos; Pina, Ricardo; Constandil, Luis; Zeise, Marc L.; Morales, Bernardo</t>
  </si>
  <si>
    <t>Single and Repeated Administration of Methylphenidate Modulates Synaptic Plasticity in Opposite Directions via Insertion of AMPA Receptors in Rat Hippocampal Neurons</t>
  </si>
  <si>
    <t>Methylphenidate (MPH) is widely used in the treatment of Attention Deficit Hyperactivity Disorder. Several lines of evidence support that MPH can modulate learning and memory processes in different ways including improvement and impairment of test performances. A relevant factor in the efficacy of treatment is whether administration is performed once or several times. In this study we demonstrate opposite effects of MPH on performance of preadolescent rats in the Morris Water Maze test. Animals treated with a single dose (1 mg/kg) performed significantly better compared to controls, while in animals treated with repetitive administration at the same concentration performance was reduced. We found that hippocampal LTP in slices from rats treated with a single dose was increased, while LTP from rats treated with repetitive injections of MPH was lower than in controls. Using Western blot of CA1 areas from potentiated slices of rats treated with a single dose we found a significant increase of phosphorylation at Ser845 of GluA1 subunits, associated to an increased insertion of GluA1-containing AMPARs in the plasma membrane. These receptors were functional, because AMPA-dependent EPSCs recorded on CA1 were enhanced, associated to a significant increase in short-term plasticity. In contrast, CA1 samples from rats injected with MPH during six consecutive days, showed a significant decrease in the phosphorylation at Ser845 of GluA1 subunits associated to a lower insertion of GluA1-containing AMPARs. Accordingly, a reduction of the AMPA-mediated EPSCs and short-term plasticity was also observed. Taken together, our results demonstrate that single and repeated doses with MPH can induce opposite effects at behavioral, cellular, and molecular levels. The mechanisms demonstrated here in preadolescent rats are relevant to understand the effects of this psychostimulant in the treatment of ADHD.</t>
  </si>
  <si>
    <t>Muñoz, Ricardo/AAO-5249-2020; Pancetti, Floria/A-2491-2013; Morales Castañeda, Bernardo/GPP-1642-2022</t>
  </si>
  <si>
    <t>Constandil, Luis/0000-0002-2504-0119; Rozas, Carlos/0000-0002-6422-9600; Carvallo, Claudia/0009-0002-7111-2045; Pancetti, Floria/0000-0002-6990-9832; Pina, Ricardo/0000-0002-2316-8952</t>
  </si>
  <si>
    <t>10.3389/fphar.2018.01485</t>
  </si>
  <si>
    <t>WOS:000453861900001</t>
  </si>
  <si>
    <t>García-Rico, RO; Gil-Durán, C; Rojas-Aedo, JF; Vaca, I; Figueroa, L; Levicán, G; Chávez, R</t>
  </si>
  <si>
    <t>Garcia-Rico, Ramon O.; Gil-Duran, Carlos; Rojas-Aedo, Juan F.; Vaca, Inmaculada; Figueroa, Luis; Levican, Gloria; Chavez, Renato</t>
  </si>
  <si>
    <t>Heterotrimeric G protein alpha subunit controls growth, stress response, extracellular protease activity, and cyclopiazonic acid production in Penicillium camemberti</t>
  </si>
  <si>
    <t>FUNGAL BIOLOGY</t>
  </si>
  <si>
    <t>The fungus Penicillium camemberti is widely used in the ripening of various bloomy-rind cheeses. Several properties of P. camemberti are important in cheese ripening, including conidiation, growth and enzyme production, among others. However, the production of mycotoxins such as cyclopiazonic acid during the ripening process by P. camemberti has raised concerns among consumers that demand food with minimal contamination. Here we show that overexpressing an alpha-subunit from the subgroup I of the heterotrimeric G protein (G alpha i) influences several of these processes: it negatively affects growth in a media dependent manner, triggers conidial germination, reduces the rate of sporulation, affects thermal and osmotic stress resistance, and also extracellular protease and cyclopiazonic acid production. Our results contribute to understanding the biological determinants underlying these biological processes in the economically important fungus P. camemberti. (c) 2017 British Mycological Society. Published by Elsevier Ltd. All rights reserved.</t>
  </si>
  <si>
    <t>Levican, Gloria/R-5191-2019; Garcia-Rico, Ramon/N-4289-2019; Vaca, Inmaculada/I-2758-2013</t>
  </si>
  <si>
    <t>Levican, Gloria/0000-0002-1275-7399; Garcia-Rico, Ramon Ovidio/0000-0002-2451-7958; Vaca, Inmaculada/0000-0002-8952-9036; Gil-Duran, Carlos Andres/0000-0001-9638-6902; Chavez, Renato/0000-0003-1754-3610</t>
  </si>
  <si>
    <t>1878-6146</t>
  </si>
  <si>
    <t>1878-6162</t>
  </si>
  <si>
    <t>10.1016/j.funbio.2017.05.007</t>
  </si>
  <si>
    <t>WOS:000419930600002</t>
  </si>
  <si>
    <t>Guerrero, L; Aguirre, JP; Muñoz, MA; Barahona, A; Huiliñir, C; Montalvo, S; Borja, R</t>
  </si>
  <si>
    <t>Guerrero, Lorna; Aguirre, Juan P.; Munoz, Maria A.; Barahona, Andrea; Huilinir, Cesar; Montalvo, Silvio; Borja, Rafael</t>
  </si>
  <si>
    <t>Autotrophic and heterotrophic denitrification for simultaneous removal of nitrogen, sulfur and organic matter</t>
  </si>
  <si>
    <t>The aim of this investigation was to assess the startup and operation of a laboratory-scale hybrid UASB-Anaerobic Filter Reactor (UASFB) of 1L volume, kept at 30 degrees C, in order to carry out a simultaneous autotrophic and heterotrophic denitrification process. First, the heterotrophic and autotrophic populations were separately enriched, with specific cultures and subsequently the UASFB was inoculated with 2gL(-1) of volatile suspended solids (VSS), with a ratio of 1.5:1 (autotrophs: heterotrophs). The influent or synthetic wastewater used was composed of: Na(2)S(2)O(3)5H(2)O, CH3COOK, NaNO3, NaHCO3, K2HPO4, NH4Cl and saline solution. The concentrations varied depending on the organic loading rate (OLR), nitrogen loading rate (NLR) and sulfur loading rate (SLR) applied. In the UASFB reactor, two experimental conditions were tested and assessed: (i) COD/N ratio of 3.6 and SLR of 0.75kgSm(-3)d(-1); and (ii) COD/N ratio of 5.8 and SLR of 0.25kgSm(-3)d(-1). The results obtained demonstrated that an inoculum coming from an anaerobic reactor was able to carry out the process, obtaining a maximum nitrate removal of 85.3% in the first stage of operation and 99.5% in the second stage. The recovery of sulfur in form of sulfate in the effluent did not present a tendency to stabilize during the measured time, with a maximum thiosulfate removal of 32.5%, when the SLR was lowered to 0.25kgSm(-3)d(-1). The maximum organic matter elimination, measured as COD, was 75.8%, which indicates the relatively good performance and behavior of the heterotrophic microorganisms.</t>
  </si>
  <si>
    <t>Huilinir, Cesar/0000-0002-3487-684X; Borja, Rafael/0000-0002-3699-7223</t>
  </si>
  <si>
    <t>10.1080/10934529.2016.1159875</t>
  </si>
  <si>
    <t>WOS:000375849900007</t>
  </si>
  <si>
    <t>Chávez, R; Fierro, F; García-Rico, RO; Vaca, I</t>
  </si>
  <si>
    <t>Chavez, Renato; Fierro, Francisco; Garcia-Rico, Ramon O.; Vaca, Inmaculada</t>
  </si>
  <si>
    <t>Filamentous fungi from extreme environments as a promising source of novel bioactive secondary metabolites</t>
  </si>
  <si>
    <t>Natural product search is undergoing resurgence upon the discovery of a huge previously unknown potential for secondary metabolite (SM) production hidden in microbial genomes. This is also the case for filamentous fungi, since their genomes contain a high number of orphan SM gene clusters. Recent estimates indicate that only 5% of existing fungal species have been described, thus the potential for the discovery of novel metabolites in fungi is huge. In this context, fungi thriving in harsh environments are of particular interest since they are outstanding producers of unusual chemical structures. At present, there are around 16 genomes from extreme environment-isolated fungi in databases. In a preliminary analysis of three of these genomes we found that several of the predicted SM gene clusters are probably involved in the biosynthesis of compounds not yet described. Genome mining strategies allow the exploitation of the information in genome sequences for the discovery of new natural compounds. The synergy between genome mining strategies and the expected abundance of SMs in fungi from extreme environments is a promising path to discover new natural compounds as a source of medically useful drugs.</t>
  </si>
  <si>
    <t>Garcia-Rico, Ramon/N-4289-2019; Vaca, Inmaculada/I-2758-2013</t>
  </si>
  <si>
    <t>Garcia-Rico, Ramon Ovidio/0000-0002-2451-7958; Fierro, Francisco/0000-0002-2582-5362; Vaca, Inmaculada/0000-0002-8952-9036; Chavez, Renato/0000-0003-1754-3610</t>
  </si>
  <si>
    <t>SEP 9</t>
  </si>
  <si>
    <t>10.3389/fmicb.2015.00903</t>
  </si>
  <si>
    <t>WOS:000361157000001</t>
  </si>
  <si>
    <t>Escobar, RA; Vargas, NM; Castillo-Sepúlveda, S; Allende, S; Altbir, D; Castro, JDE</t>
  </si>
  <si>
    <t>Escobar, R. A.; Vargas, N. M.; Castillo-Sepulveda, S.; Allende, S.; Altbir, D.; d'Albuquerque e Castro, J.</t>
  </si>
  <si>
    <t>Complex magnetic reversal modes in low-symmetry nanoparticles</t>
  </si>
  <si>
    <t>A detailed numerical analysis of the magnetization reversal processes in T-shaped nanoparticles has been carried out. Attention has been focused on the influence of the symmetry of the particle on the formation, propagation, and interaction of internal magnetic structures such as domain walls, vortices, and antivortices. Results show that the lower the degree of symmetry of the particle, the more complex the reversal process is. Thus, symmetry represents an additional ingredient to control the magnetic properties of ferromagnetic nanoparticles. (C) 2014 AIP Publishing LLC.</t>
  </si>
  <si>
    <t>Castro, João/AAR-4444-2021; Vargas, Nicolas/AAP-5975-2020; Altbir, Dora/R-6781-2018</t>
  </si>
  <si>
    <t>Altbir, Dora/0000-0002-2945-4909; Castillo, Sebastian/0000-0001-7730-8773; Vargas, Nicolas/0000-0002-9922-6311</t>
  </si>
  <si>
    <t>1077-3118</t>
  </si>
  <si>
    <t>10.1063/1.4869549</t>
  </si>
  <si>
    <t>WOS:000334078500061</t>
  </si>
  <si>
    <t>Valdivia, JA; Rogan, J; Muñoz, V; Toledo, BA; Stepanova, M</t>
  </si>
  <si>
    <t>Alejandro Valdivia, Juan; Rogan, Jose; Munoz, Victor; Toledo, Benjamin A.; Stepanova, Marina</t>
  </si>
  <si>
    <t>The magnetosphere as a complex system</t>
  </si>
  <si>
    <t>ADVANCES IN SPACE RESEARCH</t>
  </si>
  <si>
    <t>The magnetosphere is a multi-scale spatio-temporal complex dynamical system. In this context, we have analyzed the multifractal behavior of the AL index, as a proxy for an energy dissipation rate, using discrete wavelet leaders. This technique allows the calculation of the spectrum for both positive and negative values of q, giving a robust peak at h approximate to 0.5. The same technique is applied to the dissipation rate of a simple 1D model of intermittent magnetic field annihilation, showing a clear multifractal behavior, but with a peak at h approximate to 0.2. Even though this intuitive 1D model, because of its simplicity, is not expected to reproduce all the complex dynamics that occur in the Earth's magnetotail, it suggests that the existence of a multifractal dissipation dynamics is necessary to the establishment of the self-organized state, as shown in a 2D simulation of intermittent plasma dynamics. (C) 2012 COSPAR. Published by Elsevier Ltd. All rights reserved.</t>
  </si>
  <si>
    <t>Rogan, José/B-8819-2008; Toledo, Benjamin/HZH-2787-2023; Valdivia, Juan/A-3631-2008; Munoz, Victor/A-2255-2008; Stepanova, Marina/D-6329-2011; Toledo, Benjamin/A-1136-2008</t>
  </si>
  <si>
    <t>Rogan, Jose/0000-0003-1080-2739; Valdivia, Juan Alejandro/0000-0003-3381-9904; Munoz, Victor/0000-0003-1746-4875; Stepanova, Marina/0000-0002-1053-3375; Toledo, Benjamin/0000-0001-5928-2290</t>
  </si>
  <si>
    <t>0273-1177</t>
  </si>
  <si>
    <t>1879-1948</t>
  </si>
  <si>
    <t>10.1016/j.asr.2012.04.004</t>
  </si>
  <si>
    <t>WOS:000318745800015</t>
  </si>
  <si>
    <t>Fernández, AM; Dufey, M; Kramp, U</t>
  </si>
  <si>
    <t>Maria Fernandez, Ana; Dufey, Michele; Kramp, Uwe</t>
  </si>
  <si>
    <t>Testing the Psychometric Properties of the Interpersonal Reactivity Index (IRI) in Chile Empathy in a Different Cultural Context</t>
  </si>
  <si>
    <t>EUROPEAN JOURNAL OF PSYCHOLOGICAL ASSESSMENT</t>
  </si>
  <si>
    <t>The psychometric properties of Davis' (1980) Interpersonal Reactivity Index (IRI) in Chile were assessed. The IRI was applied to a sample of 435 college students. Appropriate internal consistencies and test-retest stability resulted. The instrument's validity was evidenced by the interrelations among the scales, in addition to its correlations in the predicted direction to other related psychological constructs, and sex differences emerged in three of its dimensions. A confirmatory factor analysis corroborated the theoretical structure of the IRI in Chile, and the suitability of both the four-factor model and a second order factor that integrates three of the dimensions. The implications and comparison of the results with other adaptations of the IRI are discussed.</t>
  </si>
  <si>
    <t>1015-5759</t>
  </si>
  <si>
    <t>2151-2426</t>
  </si>
  <si>
    <t>10.1027/1015-5759/a000065</t>
  </si>
  <si>
    <t>WOS:000293384900007</t>
  </si>
  <si>
    <t>Molina, RC; Burra, R; Pérez-Donoso, JM; Elías, AO; Muñoz, C; Montes, RA; Chasteen, TG; Vásquez, CC</t>
  </si>
  <si>
    <t>Molina, Roberto C.; Burra, Radhika; Perez-Donoso, Jose M.; Elias, Alex O.; Munoz, Claudia; Montes, Rebecca A.; Chasteen, Thomas G.; Vasquez, Claudio C.</t>
  </si>
  <si>
    <t>Simple, Fast, and Sensitive Method for Quantification of Tellurite in Culture Media</t>
  </si>
  <si>
    <t>APPLIED AND ENVIRONMENTAL MICROBIOLOGY</t>
  </si>
  <si>
    <t>A fast, simple, and reliable chemical method for tellurite quantification is described. The procedure is based on the NaBH(4)-mediated reduction of TeO(3)(2-) followed by the spectrophotometric determination of elemental tellurium in solution. The method is highly reproducible, is stable at different pH values, and exhibits linearity over a broad range of tellurite concentrations.</t>
  </si>
  <si>
    <t>Chasteen, Thomas/B-6601-2009; Molina-Quiroz, Roberto/H-4696-2019; Perez-Donoso, Jose/G-3668-2013</t>
  </si>
  <si>
    <t>Perez-Donoso, Jose/0000-0002-9506-1716</t>
  </si>
  <si>
    <t>0099-2240</t>
  </si>
  <si>
    <t>10.1128/AEM.00598-10</t>
  </si>
  <si>
    <t>WOS:000279611500042</t>
  </si>
  <si>
    <t>Escrig, J; Landeros, P; Altbir, D; Vogel, EE; Vargas, P</t>
  </si>
  <si>
    <t>Escrig, J.; Landeros, P.; Altbir, D.; Vogel, E. E.; Vargas, P.</t>
  </si>
  <si>
    <t>Phase diagrams of magnetic nanotubes</t>
  </si>
  <si>
    <t>Analytical expressions for the total magnetic energy of two characteristic internal configurations of nanometric tubes are calculated. A magnetic phase diagram with respect to the aspect ratio of the tubes is obtained which allows a discussion about the possibility of getting ensembles of nanotubes with low coercive fields. A comparison with recently reported coercive fields of three different cobalt nanotube arrays agrees well with the phase diagram derived here. (c) 2006 Elsevier B.V. All rights reserved.</t>
  </si>
  <si>
    <t>Vargas, Patricio/AAL-2633-2020; Landeros, Pedro/B-4603-2012; Escrig, Juan/N-4304-2015; Altbir, Dora/R-6781-2018</t>
  </si>
  <si>
    <t>Landeros, Pedro/0000-0002-0927-1419; Escrig, Juan/0000-0002-3958-8185; Vogel, Eugenio/0000-0002-1701-3030; Altbir, Dora/0000-0002-2945-4909; vargas, patricio/0000-0001-9235-9747</t>
  </si>
  <si>
    <t>10.1016/j.jmmm.2006.05.019</t>
  </si>
  <si>
    <t>WOS:000241713600009</t>
  </si>
  <si>
    <t>López-Sarrión, J; Moreno, EF; Schaposnik, FA; Slobinsky, D</t>
  </si>
  <si>
    <t>Lopez-Sarrion, J.; Moreno, E. F.; Schaposnik, F. A.; Slobinsky, D.</t>
  </si>
  <si>
    <t>String solutions in Chern-Simons-Higgs model coupled to an axion</t>
  </si>
  <si>
    <t>We study a d=2+1 dimensional Chern-Simons gauge theory coupled to a Higgs scalar and an axion field, finding the form of the potential that allows the existence of self-dual equations and the corresponding Bogomolny bound for the energy of static configurations. We show that the same conditions allow for the N=2 supersymmetric extension of the model, reobtaining the BPS equations from the supersymmetry requirement. Explicit electrically charged vortexlike solutions to these equations are presented.</t>
  </si>
  <si>
    <t>Lopez Sarrion, Justo Javier/0000-0002-2868-194X</t>
  </si>
  <si>
    <t>10.1103/PhysRevD.73.125007</t>
  </si>
  <si>
    <t>WOS:000238698900087</t>
  </si>
  <si>
    <t>Villanueva, RA; Galaz, JL; Valdés, JA; Jashés, MM; Sandino, AM</t>
  </si>
  <si>
    <t>Genome assembly and particle maturation of the birnavirus infectious pancreatic necrosis virus</t>
  </si>
  <si>
    <t>JOURNAL OF VIROLOGY</t>
  </si>
  <si>
    <t>In this study, we have analyzed the morphogenesis of the birnavirus infectious pancreatic necrosis virus throughout the infective cycle in CHSE-214 cells by using a native agarose electrophoresis system. Two types of viral particles (designated A and B) were identified, isolated, and characterized both molecularly and biologically. Together, our results are consistent with a model of morphogenesis in which the genomic double-stranded RNA is immediately assembled, after synthesis, into a large (66-nm diameter) and uninfectious particle A, where the capsid is composed of both mature and immature viral polypeptides. Upon maturation, particles A yield particles B through the proteolytic cleavage of most of the remaining viral precursors within the capsid, the compaction of the particle (60-nm diameter), and the acquisition of infectivity. These studies will provide the foundation for further analyses of birnavirus particle assembly and RNA replication.</t>
  </si>
  <si>
    <t>Villanueva, PhD., Rodrigo A/0000-0001-5611-0354; SANDINO, ANA MARIA/0000-0002-3862-3743</t>
  </si>
  <si>
    <t>0022-538X</t>
  </si>
  <si>
    <t>1098-5514</t>
  </si>
  <si>
    <t>10.1128/JVI.78.24.13829-13838.2004</t>
  </si>
  <si>
    <t>WOS:000225409900042</t>
  </si>
  <si>
    <t>Louisnard, O; Gomez, F</t>
  </si>
  <si>
    <t>Growth by rectified diffusion of strongly acoustically forced gas bubbles in nearly saturated liquids</t>
  </si>
  <si>
    <t>The growth or dissolution of small gas bubbles (R-0&lt;15 mu m) by rectified diffusion in nearly saturated liquids, subject to low frequencies (20 kHz&lt;100 kHz) and high driving acoustic fields (1 bar &lt;5 bars), is investigated theoretically. It is shown that, in such conditions, the rectified diffusion threshold radius merges with the Blake threshold radius, which means that a growing bubble is also an inertially oscillating bubble. On the assumption that such a bubble keeps its integrity up to the shape instability threshold predicted by single-bubble theory, a numerical estimation and a fully analytical approximation of its growth rate are derived. On the one hand, the merging of the two thresholds raises the problem of the construction and self-sustainment of acoustic cavitation fields. On the other hand, the lifetime of the growing inertial bubbles calculated within the present theory is found to be much shorter than the time necessary to rectify argon. This allows an alternative interpretation of the absence of single-bubble sonoluminescence emission in multibubble fields, without resorting to the conventional picture of shape instabilities caused by the presence of other bubbles.</t>
  </si>
  <si>
    <t>LOUISNARD, Olivier/G-5304-2015; Gómez, Fernando/KBA-2090-2024</t>
  </si>
  <si>
    <t>LOUISNARD, Olivier/0000-0002-3151-5192</t>
  </si>
  <si>
    <t>10.1103/PhysRevE.67.036610</t>
  </si>
  <si>
    <t>WOS:000182020900064</t>
  </si>
  <si>
    <t>García-Salirrosas, EE; Yong-Chung, FE; Jauregui-Arroyo, RR; Escobar-Farfán, M; Acevedo-Duque, A</t>
  </si>
  <si>
    <t>Garcia-Salirrosas, Elizabeth Emperatriz; Yong-Chung, Felipe Eduardo; Jauregui-Arroyo, Ralphi Ricardo; Escobar-Farfan, Manuel; Acevedo-Duque, Angel</t>
  </si>
  <si>
    <t>Impact of Leader Behavior on Employee Experience and Job Satisfaction in Educational Institutions</t>
  </si>
  <si>
    <t>ADMINISTRATIVE SCIENCES</t>
  </si>
  <si>
    <t>Given the relevance of leadership in the educational environment, there is a need to identify the key elements that influence teacher well-being. Therefore, the present study addresses the impact of leader behavior, specifically initial structure and consideration, on employee experience and job satisfaction in Peruvian educational institutions. The research included a sample of 651 regular basic education teachers in Peru and used a structural equation model using PLS-SEM to evaluate the hypotheses. The following were measured: three dimensions of the employee experience: sensorial, intellectual, and emotional, using validated and reliable instruments. The results indicated that the initial structure positively impacts the three dimensions of the employee experience, while consideration significantly influences the sensorial and emotional experiences but not the intellectual ones. Likewise, it was proven that the three dimensions of the employee experience positively impact job satisfaction. It is concluded that effective leadership, which combines structural clarity and emotional support, improves the work environment and increases staff satisfaction. Finally, implementing leadership training programs is suggested to strengthen these competencies in educational leaders.</t>
  </si>
  <si>
    <t>2076-3387</t>
  </si>
  <si>
    <t>10.3390/admsci15040119</t>
  </si>
  <si>
    <t>WOS:001474651000001</t>
  </si>
  <si>
    <t>Chocotea-Poca, O; Nicolis, O; Ibacache-Pulgar, G</t>
  </si>
  <si>
    <t>Chocotea-Poca, Omar; Nicolis, Orietta; Ibacache-Pulgar, German</t>
  </si>
  <si>
    <t>Maximum Penalized Likelihood Estimation of the Skew-t Link Model for Binomial Response Data</t>
  </si>
  <si>
    <t>A critical aspect of modeling binomial response data is selecting an appropriate link function, as an improper choice can significantly affect model precision. This paper introduces the skew-t link model, an extension of the skew-probit model, offering increased flexibility by incorporating both asymmetry and heavy tails, making it suitable for asymmetric and complex data structures. A penalized likelihood-based estimation method is proposed to stabilize parameter estimation, particularly for the asymmetry parameter. Extensive simulation studies demonstrate the model's superior performance in terms of lower bias, root mean squared error (RMSE), and robustness compared to traditional symmetric models like probit and logit. Furthermore, the model is applied to two real-world datasets: one concerning women's labor participation and another related to cardiovascular disease outcomes, both showing superior fitting capabilities compared to more traditional models (with probit and the skew-probit links). These findings highlight the model's applicability to socioeconomic and medical research, characterized by skew and asymmetric data. Moreover, the proposed model could be applied in various domains where data exhibit asymmetry and complex structures.</t>
  </si>
  <si>
    <t>10.3390/axioms13110749</t>
  </si>
  <si>
    <t>WOS:001366683100001</t>
  </si>
  <si>
    <t>Quintriqueo-Cid, A; Giménez, B; Romero-Hasler, P; Soto-Bustamante, E; Lozano-Sánchez, J; Robert, P</t>
  </si>
  <si>
    <t>Quintriqueo-Cid, Alejandra; Gimenez, Begona; Romero-Hasler, Patricio; Soto-Bustamante, Eduardo; Lozano-Sanchez, Jesus; Robert, Paz</t>
  </si>
  <si>
    <t>Influence of the crystallinity on the physicochemical properties of spray-dried quercetin-inulin microparticles and their performance during in vitro digestion (vol 434, 137325, 2024)</t>
  </si>
  <si>
    <t>LOZANO-SANCHEZ, JESUS/K-8987-2014; Quintriqueo, Alejandra/KHY-0240-2024; Romero-Hasler, Patricio/T-7993-2019</t>
  </si>
  <si>
    <t>10.1016/j.foodchem.2024.139040</t>
  </si>
  <si>
    <t>WOS:001223313800001</t>
  </si>
  <si>
    <t>Somma, NM; Disi, R; Medel, RM</t>
  </si>
  <si>
    <t>Somma, Nicolas M.; Disi, Rodolfo; Medel, Rodrigo M.</t>
  </si>
  <si>
    <t>PROFILE: understanding the 2022-23 Peruvian uprising</t>
  </si>
  <si>
    <t>SOCIAL MOVEMENT STUDIES</t>
  </si>
  <si>
    <t>This profile examines Peru's unexpected popular uprising of 2022-23, which is distinct from its neighbors due to decades of relative calm. We combine three concepts emphasizing time-varying processes: deep-rooted societal inequality across class, ethnicity, and regions resulting in a fragmented civil society (long term); a mounting crisis in political representation (medium term); and the immediate trigger, namely, the removal of President Pedro Castillo (short term), which incited his supporters and sparked widespread protests.</t>
  </si>
  <si>
    <t>Disi Pavlic, Rodolfo/X-6376-2019; Medel Sierralta, Rodrigo/N-5307-2017</t>
  </si>
  <si>
    <t>Disi Pavlic, Rodolfo/0000-0003-4655-153X; Medel Sierralta, Rodrigo/0000-0002-6610-3809</t>
  </si>
  <si>
    <t>1474-2837</t>
  </si>
  <si>
    <t>1474-2829</t>
  </si>
  <si>
    <t>2024 MAR 18</t>
  </si>
  <si>
    <t>10.1080/14742837.2024.2330582</t>
  </si>
  <si>
    <t>WOS:001187239700001</t>
  </si>
  <si>
    <t>Dintrans, PV; Oliveira, D; Stampini, M</t>
  </si>
  <si>
    <t>Dintrans, Pablo Villalobos; Oliveira, Deborah; Stampini, Marco</t>
  </si>
  <si>
    <t>Human Resources for Care in Latin America and the Caribbean: Current Needs and Future Demands</t>
  </si>
  <si>
    <t>JOURNAL OF THE AMERICAN MEDICAL DIRECTORS ASSOCIATION</t>
  </si>
  <si>
    <t>Objectives: To estimate the current gap and the necessary supply of human resources for care (HRC) for older people experiencing severe care dependence in Latin America and the Caribbean (LAC). Design: Simulation study using previous estimations of severe care dependence for LAC countries. Setting and Participants: Older people (aged 65+) experiencing severe care dependence in 26 countries of LAC. Methods: We calculated the current gap and the necessary supply of HRC in 2020, 2035, and 2050 assuming a mix of complementary human resources, in line with regional standards for long-term care (LTC) schemes, and differing levels of care coverage. Results: Considering 100% coverage of LTC services for the population aged 65+ experiencing severe care dependence, the region will need almost 5 million people working full-time in the sector. This figure is expected to increase to more than 14 million by 2050. Nurse assistants and nurses will be the professional profiles in highest demand. In addition, the region requires 2 million rehabilitation professionals in 2020, and this figure will increase to more than 6 million in 2050. Conclusions and Implications: The rapid aging process in LAC will bring several challenges and opportunities to the region. Countries should start designing strategies to reduce the current gaps of HRC to meet older people's care needs in the coming years, in terms of both quantity and competencies, to help ensure that their human rights are met. (c) 2023 AMDA - The Society for Post-Acute and Long-Term Care Medicine.</t>
  </si>
  <si>
    <t>Dintrans, Pablo/AAM-6248-2020; Stampini, Marco/GVT-9917-2022; Oliveira, Deborah/E-8240-2013</t>
  </si>
  <si>
    <t>Villalobos Dintrans, Pablo/0000-0002-2236-6447; Oliveira, Deborah/0000-0002-6616-533X</t>
  </si>
  <si>
    <t>1525-8610</t>
  </si>
  <si>
    <t>1538-9375</t>
  </si>
  <si>
    <t>10.1016/j.jamda.2023.08.026</t>
  </si>
  <si>
    <t>FEB 2024</t>
  </si>
  <si>
    <t>WOS:001168238000001</t>
  </si>
  <si>
    <t>Soto, JB; Navia, P; Osorio, R</t>
  </si>
  <si>
    <t>Soto, Jorge Belmar; Navia, Patricio; Osorio, Rodrigo</t>
  </si>
  <si>
    <t>Partial Presidential Vetoes and Executive-Legislative Bargaining: Chile, 1990-2018</t>
  </si>
  <si>
    <t>LATIN AMERICAN POLITICS AND SOCIETY</t>
  </si>
  <si>
    <t>Defined as a credible threat that strengthens the bargaining position of the executive, presidential vetoes, widely understudied, carry a stigma of confrontation between state powers. But under some institutional setups, partial vetoes can be an additional step in the executive-legislative bargaining process. After a discussion of whether partial vetoes are a proactive legislative tool or a bargaining tool to induce executive-legislative cooperation, we test four hypotheses using the 2,346 bills introduced in Chile between 1990 and 2018 that reached a vetoable stage. We identified 97 partial vetoes (4.2 percent) and one total veto. Presidents are more likely to veto bills with more complex legislative processes and when they have stronger support in at least one chamber, but more popular presidents do not veto more bills. As most presidential vetoes in Chile are partial, they are an additional executive-legislative bargaining step in the lawmaking process rather than evidence of hyperpresidentialism.</t>
  </si>
  <si>
    <t>Navia, Patricio/B-1052-2009</t>
  </si>
  <si>
    <t>Navia, Patricio/0000-0001-9398-8393; Osorio, Rodrigo/0000-0002-7365-5054; Belmar, Jorge/0000-0002-1079-0232</t>
  </si>
  <si>
    <t>1531-426X</t>
  </si>
  <si>
    <t>1548-2456</t>
  </si>
  <si>
    <t>10.1017/lap.2023.33</t>
  </si>
  <si>
    <t>DEC 2023</t>
  </si>
  <si>
    <t>WOS:001123700500001</t>
  </si>
  <si>
    <t>Faba, S; Arrieta, MP; Romero, J; Agüero, A; Torres, A; Martínez, S; Rayón, E; Galotto, MJ</t>
  </si>
  <si>
    <t>Faba, Simon; Arrieta, Marina P.; Romero, Julio; Aguero, Angel; Torres, Alejandra; Martinez, Sara; Rayon, Emilio; Galotto, Maria Jose</t>
  </si>
  <si>
    <t>Biodegradable nanocomposite poly(lactic acid) foams containing carvacrol-based cocrystal prepared by supercritical CO2 processing for controlled release in active food packaging</t>
  </si>
  <si>
    <t>Compounds derived from essential oils have been used in active packaging, but their volatility and degradability negatively affect stability and leads to high release rates. The present study aimed to develop PLA bionanocomposite foams loaded with carvacrol cocrystal by supercritical CO2 and its release into a food simulant for control release in food packaging. For this purpose, 4,4 '-bipyridine was used as coformer and carvacrol as active agent. Cocrystallized closed cell foams were obtained using supercritical CO2 and were characterized in terms of their physicochemical and mechanical properties, and release kinetics to a D1 simulant were evaluated as well as the antioxidant ability. A better overall mechanical behavior due to the nanoclay promoting a higher interfacial adhesion with the polymeric matrix was revealed. A higher incorporation of carvacrol was observed in samples with higher C30B content. The incorporated cocrystals showed a decrease of one order of magnitude in the estimated effective diffusion coefficient of carvacrol and showed antioxidant activity. These results suggest that the nanocomposite foam containing carvacrol-based cocrystals could be used in active packaging systems with controlled release characteristics, especially with highly volatile compounds, and can be proposed for other fields such as biomedical applications.</t>
  </si>
  <si>
    <t>Arrieta Dillon, Marina/F-9067-2016; Faba, Simón/MTD-2779-2025; Romero, Julio/I-6705-2013; Rodriguez, Angel/AAC-7501-2019</t>
  </si>
  <si>
    <t>Faba, Simon/0000-0002-4299-0052; Romero, Julio/0000-0002-1229-1592</t>
  </si>
  <si>
    <t>10.1016/j.ijbiomac.2023.127793</t>
  </si>
  <si>
    <t>WOS:001111016200001</t>
  </si>
  <si>
    <t>Quezada, LE; López-Ospina, H; González, MA; Oddershede, A; Palominos, P</t>
  </si>
  <si>
    <t>Quezada, Luis E.; Lopez-Ospina, Hector; Gonzalez, Miguel Angel; Oddershede, Astrid; Palominos, Pedro</t>
  </si>
  <si>
    <t>Identifying Causal Relationships in a Strategy Map Using ANP and Multi-Objective Integer Optimization Model</t>
  </si>
  <si>
    <t>INTERNATIONAL JOURNAL OF INFORMATION TECHNOLOGY &amp; DECISION MAKING</t>
  </si>
  <si>
    <t>This paper presents a method for identifying causal relationships between strategic objectives within a strategy map of a Balanced Scorecard. Strategy maps are modeled as a network of strategic objectives (nodes) and causal relationships (directed arcs). The nodes are also grouped into clusters that represent the perspectives of a Balanced Scorecard: (a) Finances, Clients, Internal Processes and Growth and Learning. The method uses the Analytic Network Process (ANP) to establish the importance of every relationship and uses a multi-objective integer linear programming model to select the relationships to be included within a strategy map of a company. The method provides a method that optimizes the selection of the relationships to be included in a strategy map. An illustration of the application of the method in a manufacturing company is presented.</t>
  </si>
  <si>
    <t>Quezada, Luis/W-8168-2019</t>
  </si>
  <si>
    <t>Quezada, Luis/0000-0003-1364-9266; Palominos, Pedro/0000-0002-5695-3025</t>
  </si>
  <si>
    <t>0219-6220</t>
  </si>
  <si>
    <t>1793-6845</t>
  </si>
  <si>
    <t>10.1142/S0219622023500396</t>
  </si>
  <si>
    <t>WOS:000980464600001</t>
  </si>
  <si>
    <t>Alarcón-Moyano, J; Acuña, D; Matiacevich, S; Caballero, L; Melo, F; Quero, F; Díaz-Calderón, P</t>
  </si>
  <si>
    <t>Alarcon-Moyano, J.; Acuna, D.; Matiacevich, S.; Caballero, L.; Melo, F.; Quero, F.; Diaz-Calderon, P.</t>
  </si>
  <si>
    <t>Physico-chemical and structural characterization of cellulose nanocrystals obtained by two drying methods: Freeze-drying and spray-drying</t>
  </si>
  <si>
    <t>This study evaluated the physical-chemical properties and structure of cellulose nanocrystals (CNC) produced from pine cellulose pulp, and dried by two different methods: Spray-Drying (SD) or Freeze-Drying (FD). After drying, CNC were characterized in terms of size, z-potential, elemental analysis, conductometric titration, crystallinity and thermogravimetry. Complementary, analysis by force microscopy, dynamic sorption and infrared spectroscopy were carried out. Results showed that different drying methods did not produce significant differences in zeta potential, crys-tallinity and degradation temperature. However, CNC dried by FD showed smaller size but higher aspect ratio, and higher sulfur content, which would explain the significant higher sorption observed in CNC-FD at relative humidity higher than 80%. Drying method does not influence the formation or modification of cellulose bonds as FTIR suggested. Our study suggests that how CNC is dried will influence the CNC's structure and will modify some of their physico-chemical properties. This information is relevant since it can be used as an input for the scale-up pro-cessing of CNC and would define the performance in some of their technological applications.</t>
  </si>
  <si>
    <t>Quero, Franck/AAV-4341-2020; Melo, Francisco/M-3923-2014</t>
  </si>
  <si>
    <t>Alarcon Moyano, Jessica Katherine/0000-0003-3262-4312; Melo, Francisco Esteban/0000-0001-6818-5476; Diaz-Calderon, Paulo/0000-0002-8375-2210; Acuna Conejeros, Daniela del Carmen/0009-0004-4702-8227</t>
  </si>
  <si>
    <t>10.1016/j.foodhyd.2023.108571</t>
  </si>
  <si>
    <t>WOS:000947351700001</t>
  </si>
  <si>
    <t>Rajendran, S; Jena, D; Diaz, M; Rodríguez, J</t>
  </si>
  <si>
    <t>Rajendran, Saravanakumar; Jena, Debashisha; Diaz, Matias; Rodriguez, Jose</t>
  </si>
  <si>
    <t>Terminal Integral Synergetic Control for Wind Turbine at Region II Using a Two-Mass Model</t>
  </si>
  <si>
    <t>Mechanical loads considerably impact wind turbine lifetime, and a reduction in this load is crucial while designing a controller for maximum power extraction at below-rated speed (region II). A trade-off between maximum energy extraction and minimum load on the drive train shaft is a big challenge. Some conventional controllers extract the maximum power with a cost of high fluctuations in the generator torque and transient load. Therefore, to overcome the above issues, this work proposes four different integral synergetic control schemes for a wind turbine at region II using a two-mass model with a wind speed estimator. In addition, the proposed controllers have been developed to enhance the maximum power extraction from the wind whilst reducing the control input and drive train oscillations. Moreover, a terminal manifold has been considered to improve the finite time convergence rate. The effectiveness of the proposed controllers is validated through a 600 kW Fatigue, Aerodynamics, Structures, and Turbulence simulator. Further, the proposed controllers were tested by different wind spectrums, such as Kaimal, Von Karman, Smooth-Terrain, and NWTCUP, with different turbulent intensities (10% and 20%). The overall performance of the proposed and conventional controller was examined with 24 different wind speed profiles. A detailed comparative analysis was carried out based on power extraction and reduction in mechanical loads.</t>
  </si>
  <si>
    <t>Jena, Debashisha/AAU-6450-2021; Rodriguez-Perez, Jose/A-2534-2013; Rajendran, SaravanaKumar/ABI-6522-2020; Diaz, Matias/R-7570-2018</t>
  </si>
  <si>
    <t>Diaz, Matias/0000-0003-4489-9532</t>
  </si>
  <si>
    <t>10.3390/pr11020616</t>
  </si>
  <si>
    <t>WOS:000942268300001</t>
  </si>
  <si>
    <t>Sandoval-Altamirano, C; Berrios, E; Morales, J; Silva, C; Gunther, G</t>
  </si>
  <si>
    <t>Sandoval-Altamirano, Catalina; Berrios, Eduardo; Morales, Javier; Silva, Christian; Gunther, German</t>
  </si>
  <si>
    <t>Phenalenone derivatives: The voyage from photosensitizers to push-pull fluorescent molecules</t>
  </si>
  <si>
    <t>Phenalenone and several phenalenone derivatives have the remarkable capacity to produce singlet oxygen (1O2), via photosensitization, with singlet oxygen quantum yield values close to unity in most solvents. Considerable efforts have been made to obtain phenalenones that red-shifted their absorption but maintaining the high capacity of generation of singlet oxygen.The presence of electron donors on specific positions of the aromatic ring promotes important changes. Herein, with the presence of a dimethylamino substituent in position 3 or 6, we were able to modulate singlet oxygen generation capacity and fluorescence. Both, 3DMAPNF and 6DMAPNF show red-shifted absorption (compared with phenalenone) associated with &amp; pi;&amp; pi;* transitions. Solvent effect in absorption and emission properties were observed for 6DMAPNF, while that for 3DMAPNF no fluorescence response was observed. Both, show a decrease in singlet oxygen quantum yield with polarity of solvent, always with 3DMAPNF singlet oxygen quantum yield values greater than for 6DMAPN. No singlet oxygen generation was observed for both compounds in H2O.</t>
  </si>
  <si>
    <t>Gunther, German/I-1028-2013</t>
  </si>
  <si>
    <t>Sandoval-Altamirano, Catalina/0000-0002-8550-3218</t>
  </si>
  <si>
    <t>1873-2666</t>
  </si>
  <si>
    <t>10.1016/j.jphotochem.2023.114587</t>
  </si>
  <si>
    <t>JAN 2023</t>
  </si>
  <si>
    <t>WOS:001029316800001</t>
  </si>
  <si>
    <t>Barahona, A; Rubio, J; Gómez, R; Huiliñir, C; Borja, R; Guerrero, L</t>
  </si>
  <si>
    <t>Barahona, A.; Rubio, J.; Gomez, R.; Huilinir, C.; Borja, R.; Guerrero, L.</t>
  </si>
  <si>
    <t>Sequential Nitrification-Autotrophic Denitrification Using Sulfur as an Electron Donor and Chilean Zeolite as Microbial Support</t>
  </si>
  <si>
    <t>Sequential nitrification-autotrophic denitrification (SNaD) was carried out for ammonium removal in synthetic wastewater (SWW) using sulfur as an electron donor in denitrification. Four reactors were operated in batch mode, two with zeolite (1 mm size) used as microbial support and two without support, to assess the effect of the zeolite addition in the SNaD. Aeration, anoxic, and anaerobic cycles were established, where 96% removal of NH4+-N (oxidized to nitrite or nitrate) was achieved in nitrification, along with 93% removal of NO3--N in denitrification for the SNaD with zeolite. It was observed that the use of zeolite assists in buffering reactor load changes. Inhibition caused by nitrite accumulation in the denitrification stage was minimized by increasing the nitrogen concentration in the SWW. The results obtained in this study are the basis for the development of ammonium removal by simultaneous nitrification-autotrophic denitrification using a single reactor.</t>
  </si>
  <si>
    <t>Huilinir, Cesar/IYS-6899-2023; Borja, Rafael/AAK-2746-2020; Borja, Rafael/P-5314-2016</t>
  </si>
  <si>
    <t>Borja, Rafael/0000-0002-3699-7223; Barahona, Andrea/0000-0001-6574-9600</t>
  </si>
  <si>
    <t>10.3390/w15010095</t>
  </si>
  <si>
    <t>WOS:000909198100001</t>
  </si>
  <si>
    <t>Nilson, EAF; Ferrari, G; Louzada, MLC; Levy, RB; Monteiro, CA; Rezende, LFM</t>
  </si>
  <si>
    <t>Nilson, Eduardo A. F.; Ferrari, Gerson; Louzada, Maria Laura C.; Levy, Renata B.; Monteiro, Carlos A.; Rezende, Leandro F. M.</t>
  </si>
  <si>
    <t>Premature Deaths Attributable to the Consumption of Ultraprocessed Foods in Brazil</t>
  </si>
  <si>
    <t>AMERICAN JOURNAL OF PREVENTIVE MEDICINE</t>
  </si>
  <si>
    <t>Introduction: Ultraprocessed foods have been associated with an increased risk of noncommuni-cable diseases, such as diabetes, cardiovascular diseases, and cancer as well as all-cause mortality. The study aimed to estimate premature deaths attributable to the consumption of ultraprocessed food in Brazil.Methods: A comparative risk assessment model was developed on the basis of RRs from a recent meta-analysis, national food consumption for 2017-2018, and demographic and mortality data for 2019. Population attributable fractions for all-cause mortality were then estimated within each sex and age stratum according to the distribution of the ultraprocessed food contribution to the total energy of the diet. Analysis was conducted in February 2022-April 2022.Results: The contribution of ultraprocessed foods to the total energy intake of the diet across sex and age stratum of Brazilian adults ranged from 13% to 21% of the total energy intake. A total of 541,160 adults aged 30-69 years died in 2019. The consumption of ultraprocessed foods was responsible for approximately 57,000 premature deaths (95% uncertainty interval=33,493, 82,570) or 10.5% of all pre-mature deaths in adults aged 30-69 years. Reducing the contribution of ultraprocessed foods to the total energy intake by 10%-50% could potentially prevent 5,900 deaths (95% uncertainty inter-val=2,910, 10,613) to 29,300 deaths (95% uncertainty interval=16,514, 44,226), respectively.Conclusions: The consumption of ultraprocessed foods represents a significant cause of prema-ture death in Brazil. Reducing ultraprocessed food intake would promote substantial health gains for the population and should be a food policy priority to reduce premature mortality. Am J Prev Med 2023;64(1):129-136. (c) 2022 American Journal of Preventive Medicine. Published by Elsevier Inc. All rights reserved.</t>
  </si>
  <si>
    <t>Louzada, Maria Laura/G-1851-2012; Nilson, Eduardo/AAW-5074-2021; Ferrari, Gerson/HHM-6173-2022; Bertazzi Levy, Renata/F-8931-2012; Rezende, Leandro/C-1724-2012; Monteiro, Carlos/F-9892-2012; Ferrari, Gerson/P-1152-2014</t>
  </si>
  <si>
    <t>Louzada, Maria Laura/0000-0002-3756-2301; Bertazzi Levy, Renata/0000-0001-5388-7002; Rezende, Leandro/0000-0002-7469-1399; Monteiro, Carlos/0000-0002-3777-1533; Ferrari, Gerson/0000-0003-3177-6576</t>
  </si>
  <si>
    <t>0749-3797</t>
  </si>
  <si>
    <t>1873-2607</t>
  </si>
  <si>
    <t>10.1016/j.amepre.2022.08.013</t>
  </si>
  <si>
    <t>WOS:000906109800001</t>
  </si>
  <si>
    <t>Vidal, M; Fraga, M; Llerena, F; Vera, A; Hernández, M; Koch, E; Reyes-López, F; Vallejos-Vidal, E; Cabrera-Vives, G; Nova-Lamperti, E</t>
  </si>
  <si>
    <t>Vidal, Mabel; Fraga, Marco; Llerena, Faryd; Vera, Agustin; Hernandez, Mauricio; Koch, Elard; Reyes-Lopez, Felipe; Vallejos-Vidal, Eva; Cabrera-Vives, Guillermo; Nova-Lamperti, Estefania</t>
  </si>
  <si>
    <t>Analysis of Tumor-Infiltrating T-Cell Transcriptomes Reveal a Unique Genetic Signature across Different Types of Cancer</t>
  </si>
  <si>
    <t>CD8+ and CD4+ T-cells play a key role in cellular immune responses against cancer by cytotoxic responses and effector lineages differentiation, respectively. These subsets have been found in different types of cancer; however, it is unclear whether tumor-infiltrating T-cell subsets exhibit similar transcriptome profiling across different types of cancer in comparison with healthy tissue-resident T-cells. Thus, we analyzed the single cell transcriptome of five tumor-infiltrating CD4-T, CD8-T and Treg cells obtained from different types of cancer to identify specific pathways for each subset in malignant environments. An in silico analysis was performed from single-cell RNA-sequencing data available in public repositories (Gene Expression Omnibus) including breast cancer, melanoma, colorectal cancer, lung cancer and head and neck cancer. After dimensionality reduction, clustering and selection of the different subpopulations from malignant and nonmalignant datasets, common genes across different types of cancer were identified and compared to nonmalignant genes for each T-cell subset to identify specific pathways. Exclusive pathways in CD4+ cells, CD8+ cells and Tregs, and common pathways for the tumor-infiltrating T-cell subsets were identified. Finally, the identified pathways were compared with RNAseq and proteomic data obtained from T-cell subsets cultured under malignant environments and we observed that cytokine signaling, especially Th2-type cytokine, was the top overrepresented pathway in Tregs from malignant samples.</t>
  </si>
  <si>
    <t>Koch, Elard/A-6835-2008; Reyes-López, Felipe/S-1760-2018; Cabrera-Vives, Guillermo/AHA-0641-2022; Vidal, Mabel/F-9968-2016; Vallejos-Vidal, Eva/R-9606-2019</t>
  </si>
  <si>
    <t>Koch, Elard/0000-0002-1244-3007; Vidal, Mabel/0000-0002-0800-1353; Cabrera-Vives, Guillermo/0000-0002-2720-7218; Reyes-Lopez, Felipe E./0000-0002-5001-457X; Nova-Lamperti, Estefania/0000-0002-7673-0013; Hernandez, Mauricio/0000-0002-2277-0132; Vallejos-Vidal, Eva/0000-0002-3091-2700</t>
  </si>
  <si>
    <t>10.3390/ijms231911065</t>
  </si>
  <si>
    <t>WOS:000867840200001</t>
  </si>
  <si>
    <t>Villarroel, CA; Bastías, M; Canessa, P; Cubillos, FA</t>
  </si>
  <si>
    <t>Villarroel, Carlos A.; Bastias, Macarena; Canessa, Paulo; Cubillos, Francisco A.</t>
  </si>
  <si>
    <t>Uncovering Divergence in Gene Expression Regulation in the Adaptation of Yeast to Nitrogen Scarcity</t>
  </si>
  <si>
    <t>MSYSTEMS</t>
  </si>
  <si>
    <t>Saccharomyces cerevisiae rewires its transcriptional output to survive stressful environments, such as nitrogen scarcity under fermentative conditions. Although divergence in nitrogen metabolism among natural yeast populations has been reported, the impact of regulatory genetic variants modulating gene expression and nitrogen consumption remains to be investigated. Here, we employed an F1 hybrid from two contrasting S. cerevisiae strains, providing a controlled genetic environment to map cis factors involved in the divergence of gene expression regulation in response to nitrogen scarcity. We used a dual approach to obtain genome-wide allele-specific profiles of chromatin accessibility, transcription factor binding, and gene expression through ATAC-seq (assay for transposase accessible chromatin) and RNA-seq (transcriptome sequencing). We observed large variability in allele-specific expression and accessibility between the two genetic backgrounds, with a third of these differences specific to a deficient nitrogen environment. Furthermore, we discovered events of allelic bias in gene expression correlating with allelic bias in transcription factor binding solely under nitrogen scarcity, where the majority of these transcription factors orchestrates the nitrogen catabolite repression regulatory pathway and demonstrates a cis x environment-specific response. Our approach allowed us to find cis variants modulating gene expression, chromatin accessibility, and allelic differences in transcription factor binding in response to low nitrogen culture conditions. IMPORTANCE Historically, coding variants were prioritized when searching for causal mechanisms driving adaptation of natural populations to stressful environments. However, the recent focus on noncoding variants demonstrated their ubiquitous role in adaptation. Here, we performed genome-wide regulatory variation profiles between two divergent yeast strains when facing nitrogen nutritional stress. The open chromatin availability of several regulatory regions changes in response to nitrogen scarcity. Importantly, we describe regulatory events that deviate between strains. Our results demonstrate a widespread variation in gene expression regulation between naturally occurring populations in response to stressful environments.</t>
  </si>
  <si>
    <t>Cubillos, Francisco/MIT-2389-2025; Cubillos, Francisco/G-5195-2019</t>
  </si>
  <si>
    <t>Villarroel, Carlos/0000-0002-6089-3088; Cubillos, Francisco/0000-0003-3022-469X; Canessa, Paulo/0000-0003-3138-8223</t>
  </si>
  <si>
    <t>2379-5077</t>
  </si>
  <si>
    <t>e00466-21</t>
  </si>
  <si>
    <t>10.1128/mSystems.00466-21</t>
  </si>
  <si>
    <t>WOS:000709924400003</t>
  </si>
  <si>
    <t>Doebeli, M; Jaque, EC; Ispolatov, Y</t>
  </si>
  <si>
    <t>Doebeli, Michael; Jaque, Eduardo Cancino; Ispolatov, Yaroslav</t>
  </si>
  <si>
    <t>Boom-bust population dynamics increase diversity in evolving competitive communities</t>
  </si>
  <si>
    <t>The processes and mechanisms underlying the origin and maintenance of biological diversity have long been of central importance in ecology and evolution. The competitive exclusion principle states that the number of coexisting species is limited by the number of resources, or by the species' similarity in resource use. Natural systems such as the extreme diversity of unicellular life in the oceans provide counter examples. It is known that mathematical models incorporating population fluctuations can lead to violations of the exclusion principle. Here we use simple eco-evolutionary models to show that a certain type of population dynamics, boom-bust dynamics, can allow for the evolution of much larger amounts of diversity than would be expected with stable equilibrium dynamics. Boom-bust dynamics are characterized by long periods of almost exponential growth (boom) and a subsequent population crash due to competition (bust). When such ecological dynamics are incorporated into an evolutionary model that allows for adaptive diversification in continuous phenotype spaces, desynchronization of the boom-bust cycles of coexisting species can lead to the maintenance of high levels of diversity. Michael Doebeli et al. introduce a discrete-time competition model with multi-dimensional evolving phenotypes to explore the effect of boom-bust population dynamics on the evolution of diversity. Their models show that long periods of near-exponential growth, followed by a population crash due to competition, can lead to the origin and maintenance of high levels of diversity in competitive communities.</t>
  </si>
  <si>
    <t>Ispolatov, Iaroslav/E-8544-2010; Cancino, Eduardo/C-8669-2015</t>
  </si>
  <si>
    <t>Ispolatov, Iaroslav/0000-0002-0201-3396; Cancino, Eduardo/0000-0002-6920-2335</t>
  </si>
  <si>
    <t>10.1038/s42003-021-02021-4</t>
  </si>
  <si>
    <t>WOS:000642916700005</t>
  </si>
  <si>
    <t>Márquez, P; Alburquenque, D; Celis, F; Freire, RM; Escrig, J</t>
  </si>
  <si>
    <t>Marquez, Paulina; Alburquenque, Daniela; Celis, Freddy; Freire, Rafael M.; Escrig, Juan</t>
  </si>
  <si>
    <t>Structural, morphological and magnetic properties of iron oxide thin films obtained by atomic layer deposition as a function of their thickness</t>
  </si>
  <si>
    <t>Hematite (?-Fe2O3) thin films with different thicknesses between 4 and 16 nm were synthesized by atomic layer deposition, employing 500 to 2000 cycles of FeCp2/O3. After a thermal reduction process, under a controlled atmosphere of hydrogen, it was possible to convert hematite to magnetite (Fe3O4). SEM images of the iron oxide thin films showed that they are macroscopically homogeneous, although the magnetic measurements by MOKE indicated that the samples should present holes that are responsible for pinning the domain walls, raising the coercivity to values that vary between 0.3 and 0.7 kOe. XRD revealed the presence of the Fe3O4 phase by identifying the main peaks. The signal obtained by Raman spectroscopy was identified at 667 cm-1, which suggests the presence of the phonon mode A1g of Fe3O4 in the reduced sample. Controlling the thickness of Fe3O4 thin films allows adjusting their magnetic properties, coercivity and remanence, so that they can be used in potential technological applications.</t>
  </si>
  <si>
    <t>Freire, Tiago/AED-7512-2022; Celis, Freddy/GPT-0287-2022; Escrig, Juan/N-4304-2015</t>
  </si>
  <si>
    <t>Alburquenque, Daniela/0000-0001-9236-3308; Escrig, Juan/0000-0002-3958-8185; Marquez, Paulina/0000-0002-8020-6273; Celis, Freddy/0000-0003-3195-3018</t>
  </si>
  <si>
    <t>10.1016/j.jmmm.2021.167914</t>
  </si>
  <si>
    <t>WOS:000643888500005</t>
  </si>
  <si>
    <t>Duch, R; Granados, P; Laroze, D; López, M; Ormeño, M; Quintanilla, X</t>
  </si>
  <si>
    <t>Duch, Raymond; Granados, Paulina; Laroze, Denise; Lopez, Mauricio; Ormeno, Marian; Quintanilla, Ximena</t>
  </si>
  <si>
    <t>Choice architecture improves pension selection</t>
  </si>
  <si>
    <t>APPLIED ECONOMICS</t>
  </si>
  <si>
    <t>Consumers in Chile of private and semi-private pension systems are not selecting the pension providers that give them the largest Net Present Value. Regulators present retirees with a comparison report of pension plan offerings ranked by the amount offered and the risk classification of the provider. A field experiment implemented in Chile explores alternative presentations of provider performance. We treat respondents by modifying the status quo information 'package' (that exactly replicate what is currently provided by the regulator). Two design choices clearly enhanced consumer welfare in this experiment: Reducing the amount of information improved choice - specifically eliminating the risk profiles of providers leads to better decisions by our respondents. Second, adopting a loss frame also resulted in respondents selecting providers that generated higher returns. These gains from modifying information presentation were considerably higher for those with lower levels of financial literacy. This study is conducted in association with the Superintendencia de Pensiones (SP) and the Comision para el Mercado Financiero (CMF), two of the public offices that oversee the pensions market in Chile.</t>
  </si>
  <si>
    <t>Lopez-Tapia, Mauricio/0000-0003-4459-2768</t>
  </si>
  <si>
    <t>0003-6846</t>
  </si>
  <si>
    <t>1466-4283</t>
  </si>
  <si>
    <t>APR 27</t>
  </si>
  <si>
    <t>10.1080/00036846.2020.1817845</t>
  </si>
  <si>
    <t>WOS:000632023400001</t>
  </si>
  <si>
    <t>Gómez, J; Corsi, G; Pino-Cortés, E; Díaz-Robles, LA; Campos, V; Cubillos, F; Pelz, SK; Paczkowski, S; Carrasco, S; Silva, J; Lapuerta, M; Pazo, A; Monedero, E</t>
  </si>
  <si>
    <t>Gomez, Jaime; Corsi, Giancarlo; Pino-Cortes, Ernesto; Diaz-Robles, Luis A.; Campos, Valeria; Cubillos, Francisco; Pelz, Stefan K.; Paczkowski, Sebastian; Carrasco, Samuel; Silva, Javier; Lapuerta, Magin; Pazo, Amparo; Monedero, Esperanza</t>
  </si>
  <si>
    <t>Modeling and simulation of a continuous biomass hydrothermal carbonization process</t>
  </si>
  <si>
    <t>CHEMICAL ENGINEERING COMMUNICATIONS</t>
  </si>
  <si>
    <t>This work evaluates a continuous biomass hydrothermal carbonization process through modeling and steady state simulation using the UniSim Design process simulator. The reactive process was divided into four stages: biomass hydrolysis, intermediate compounds degradation, aromatics formation, and polymerization process, which make it possible to obtain the solid product or hydrochar. Pure biomass types and their mixtures were compared, considering hydrochar and carbon yields, H/C, and O/C ratios, and their deviation from the batch process. The results of hydrochar yield indicated that biomass with high cellulose content can perform satisfactorily in the proposed model. In addition, the possibility of carrying out the process in reactive stages together with the recirculation of liquid product, allowed a greater yield with respect to the batch process. It is concluded that the proposed model improves the characteristics of the obtained hydrochar compared to its crude biomass, achieving lower proportions of hydrogen and oxygen in the solid product.</t>
  </si>
  <si>
    <t>Cortés, Ernesto/Z-2777-2019; Pelz, Stefan/HMV-9809-2023; Monedero Villalba, Maria Esperanza/C-9062-2016; Pazo, Amparo/R-4278-2017; Diaz-Robles, Luis/D-3450-2013</t>
  </si>
  <si>
    <t>Silva, Javier/0000-0001-6763-4524; Monedero Villalba, Maria Esperanza/0000-0002-0288-7261; Gomez Lopez, Jaime Eduardo/0000-0002-6175-1583; Pino-Cortes, Ernesto/0000-0001-5133-2812; CUBILLOS, FRANCISCO/0000-0001-7863-4394; Pelz, Stefan/0000-0003-3205-7282; Pazo, Amparo/0000-0002-5045-2596; Diaz-Robles, Luis/0000-0002-6098-7746</t>
  </si>
  <si>
    <t>0098-6445</t>
  </si>
  <si>
    <t>1563-5201</t>
  </si>
  <si>
    <t>JUN 2</t>
  </si>
  <si>
    <t>10.1080/00986445.2019.1621858</t>
  </si>
  <si>
    <t>WOS:000471458900001</t>
  </si>
  <si>
    <t>Bautista, S; Espinoza, A; Narvaez, P; Camargo, M; Morel, L</t>
  </si>
  <si>
    <t>Bautista, Sandra; Espinoza, Andrea; Narvaez, Paulo; Camargo, Mauricio; Morel, Laure</t>
  </si>
  <si>
    <t>A system dynamics approach for sustainability assessment of biodiesel production in Colombia. Baseline simulation</t>
  </si>
  <si>
    <t>JOURNAL OF CLEANER PRODUCTION</t>
  </si>
  <si>
    <t>The issue of sustainability assessment of biodiesel production has increasingly gained importance due to the interest of governments in drawing up sovereignty strategies, to diversify their energy matrix and to determine the impact of biofuels production. In this context, this work proposes a system dynamics model to assess biodiesel production in a specific context. A System Dynamics model was developed and applied to assess the sustainability of the conditions in the baseline scenario of biodiesel production in Colombia. Simulation of current biodiesel production showed that a strong support from government policies is required related to the promotion of an increase of the contents of biodiesel in the biodiesel-diesel blend, as well as of the production capacity. Certain dynamics were observed as a result of the modeling, the increase oil palm cultivation, can be related to a lesser rate of displacement of the population, of poverty and of emissions of pollutants affecting air quality (hydrocarbons, carbon monoxide and particulate matter). Results also predicted that the increase in oil palm cultivation under baseline scenario could boost inequitable distribution of land ownership and increase greenhouse gas emissions (GHGE) in palm oil cultivation, and reduce food security. (C) 2018 Elsevier Ltd. All rights reserved.</t>
  </si>
  <si>
    <t>CAMARGO, Mauricio/HJP-7111-2023; Narvaez, Paulo/I-4635-2019; Espinoza Perez, Andrea Teresa/M-4426-2014</t>
  </si>
  <si>
    <t>Camargo, Mauricio/0000-0003-3867-2438; Espinoza Perez, Andrea Teresa/0000-0002-6362-9100; Bautista Rodriguez, Sandra Cecilia/0000-0002-9856-4706; Narvaez Rincon, Paulo Cesar/0000-0003-4865-4540</t>
  </si>
  <si>
    <t>0959-6526</t>
  </si>
  <si>
    <t>1879-1786</t>
  </si>
  <si>
    <t>10.1016/j.jclepro.2018.12.111</t>
  </si>
  <si>
    <t>WOS:000461132600001</t>
  </si>
  <si>
    <t>Silva, W; Torres-Gatica, MF; Oyarzun-Ampuero, F; Silva-Weiss, A; Robert, P; Cofrades, S; Giménez, B</t>
  </si>
  <si>
    <t>Silva, Wladimir; Fernanda Torres-Gatica, Maria; Oyarzun-Ampuero, Felipe; Silva-Weiss, Andrea; Robert, Paz; Cofrades, Susana; Gimenez, Begona</t>
  </si>
  <si>
    <t>Double emulsions as potential fat replacers with gallic acid and quercetin nanoemulsions in the aqueous phases</t>
  </si>
  <si>
    <t>The development of fat replacers to obtain healthier/functional foods is a constant challenge. With this aim, double emulsions (DE) with a blend of olive, linseed and fish oils as oil phase were developed. To prevent the oxidation of these oils, gallic acid and quercetin were incorporated in the internal and the external aqueous phase (W-2), respectively, according to a factorial design. Considering the low solubility of quercetin in water, it was included in O/W nanoemulsions (QN), thus being freely dispersible in W-2. The antioxidant activity in DE was attributed to QN, which significantly improved the oxidative stability of DE/QN. Furthermore, DE/QN showed good physical stability with a limited coalescence during storage at 4 degrees C for 28 days, significantly longer than time usually required for food ingredients. Therefore, DE/QN could be used as potential fat replacer in a variety of food formulations, providing blends of fatty acids consistent with dietary recommendations.</t>
  </si>
  <si>
    <t>Silva-Weiss, Andrea/AAL-3271-2021; Cofrades, Susana/K-5859-2014; Robert, Paz/G-8198-2014</t>
  </si>
  <si>
    <t>Oyarzun-Ampuero, Felipe/0000-0002-4951-0701; Cofrades, Susana/0000-0002-0348-451X</t>
  </si>
  <si>
    <t>10.1016/j.foodchem.2018.01.128</t>
  </si>
  <si>
    <t>WOS:000426649300010</t>
  </si>
  <si>
    <t>Gil-Costa, V; Marin, M; Bonacic, C; Solar, R</t>
  </si>
  <si>
    <t>Gil-Costa, Veronica; Marin, Mauricio; Bonacic, Carolina; Solar, Roberto</t>
  </si>
  <si>
    <t>A graph-based cache for large-scale similarity search engines</t>
  </si>
  <si>
    <t>JOURNAL OF SUPERCOMPUTING</t>
  </si>
  <si>
    <t>Large-scale similarity search engines are complex systems devised to process unstructured data like images and videos. These systems are deployed on clusters of distributed processors communicated through high-speed networks. To process a new query, a distance function is evaluated between the query and the objects stored in the database. This process relays on a metric space index distributed among the processors. In this paper, we propose a cache-based strategy devised to reduce the number of computations required to retrieve the top-k object results for user queries by using pre-computed information. Our proposal executes an approximate similarity search algorithm, which takes advantage of the links between objects stored in the cache memory. Those links form a graph of similarity among pre-computed queries. Compared to the previous methods in the literature, the proposed approach reduces the number of distance evaluations up to 60%.</t>
  </si>
  <si>
    <t>Marin, Mauricio/GLR-7700-2022; Gil-Costa, Veronica/GPT-4785-2022</t>
  </si>
  <si>
    <t>Gil-Costa, Veronica/0000-0003-4637-9725; Marin, Mauricio/0000-0003-0662-7149</t>
  </si>
  <si>
    <t>0920-8542</t>
  </si>
  <si>
    <t>1573-0484</t>
  </si>
  <si>
    <t>10.1007/s11227-017-2207-3</t>
  </si>
  <si>
    <t>WOS:000430412400012</t>
  </si>
  <si>
    <t>Gordillo, L; Sun, TP; Cheng, X</t>
  </si>
  <si>
    <t>Gordillo, Leonardo; Sun, Ting-Pi; Cheng, Xiang</t>
  </si>
  <si>
    <t>Dynamics of drop impact on solid surfaces: evolution of impact force and self-similar spreading</t>
  </si>
  <si>
    <t>JOURNAL OF FLUID MECHANICS</t>
  </si>
  <si>
    <t>We investigate the dynamics of drop impacts on dry solid surfaces. By synchronising high-speed photography with fast force sensing, we simultaneously measure the temporal evolution of the shape and impact force of impacting drops over a wide range of Reynolds numbers (Re). At high Re, when inertia dominates the impact processes, we show that the early time evolution of impact force follows a square-root scaling, quantitatively agreeing with a recent self-similar theory. This observation provides direct experimental evidence on the existence of upward propagating self-similar pressure fields during the initial impact of liquid drops at high Re. When viscous forces gradually set in with decreasing Re, we analyse the early time scaling of the impact force of viscous drops using a perturbation method. The analysis quantitatively matches our experiments and successfully predicts the trends of the maximum impact force and the associated peak time with decreasing Re. Furthermore, we discuss the influence of viscoelasticity on the temporal signature of impact forces. Last but not least, we also investigate the spreading of liquid drops at high Re following the initial impact. Particularly, we find an exact parameter-free self-similar solution for the inertia-driven drop spreading, which quantitatively predicts the height of spreading drops at high Re. The limit of the self-similar approach for drop spreading is also discussed. As such, our study provides a quantitative understanding of the temporal evolution of impact forces across the inertial, viscous and viscoelastic regimes and sheds new light on the self-similar dynamics of drop-impact processes.</t>
  </si>
  <si>
    <t>0022-1120</t>
  </si>
  <si>
    <t>1469-7645</t>
  </si>
  <si>
    <t>FEB 8</t>
  </si>
  <si>
    <t>10.1017/jfm.2017.901</t>
  </si>
  <si>
    <t>WOS:000424742400002</t>
  </si>
  <si>
    <t>de Dicastillo, CL; Bustos, F; Valenzuela, X; López-Carballo, G; Vilariño, JM; Galotto, MJ</t>
  </si>
  <si>
    <t>Lopez de Dicastillo, Carol; Bustos, Fernanda; Valenzuela, Ximena; Lopez-Carballo, Gracia; Vilarino, Jose M.; Jose Galotto, Maria</t>
  </si>
  <si>
    <t>Chilean berry Ugni molinae Turcz. fruit and leaves extracts with interesting antioxidant, antimicrobial and tyrosinase inhibitory properties</t>
  </si>
  <si>
    <t>The knowledge of the biological properties of fruits and leaves of murta (Ugni molinae Turcz.) has been owned by native Chilean culture. The present study investigated the phenolic content, the antioxidant, antimicrobial and anti-tyrosinase activities of different murta fruit and leaves extracts to approach their uses on future food, pharmaceutical and cosmetic applications. Extractions of murta fruit and leaves were carried out under water, ethanol and ethanol 50%. Phenolic content of these extracts was measured through Folin Ciocalteu test and the antioxidant power by four different antioxidant systems (ORAC, FRAP, DPPH and TEAC assays) owing to elucidate the main mechanism of antioxidant. Some flavonoids, such as rutin, isoquercitrin and quercitrin hydrate were identified and quantified through HPLC analysis. Antimicrobial activity was determined measuring minimum inhibition concentration (MIC) and minimum bactericidal concentration (MBC) values against Escherichia coil and Listeria monocytogenes, and the effect of these extracts on L. monocytogenes was confirmed by flow cytometry. Highest contents of polyphenol compounds were obtained in hydroalcoholic extracts (28 +/- 1 mg gallic acid/g dry fruit, and 128 +/- 6 mg gallic acid/g dry leaves). The same trend was found for the values of biological properties: hydroalcoholic extracts showed the strongest activities. Leaves presented higher antioxidant, antimicrobial and anti-tyrosinase properties than murta fruit. Highest antioxidant activity values according to ORAC, FRAP, TEAC and DPPH were 80 +/- 8 mg Trolox/g, 70 +/- 2 mg Trolox/g, 87 +/- 8 mg Trolox/g and 110 +/- 12 mg Trolox/g, respectively, for murta fruit samples, and 280 +/- 10 mg Trolox/g, 192 +/- 4 mg Trolox/g, 286 +/- 13 mg Trolox/g and 361 +/- 13 mg Trolox/g, respectively, for murta leaves. These activities were confirmed by HPLC analysis that revealed highest presence of analyzed compounds on leaves hydroalcoholic extract. Regarding to antimicrobial analysis, hydroalcoholic leaves extract presented the highest activity presenting the lowest MIC value for L. monocytogenes (0.07 mg/mL). This extract also performed the highest anti-tyrosinase activity (CE50 values of 1.6 +/- 0.3 (g/L) and 8.9 +/- 1.2 (g/L) for leaves and fruit, respectively).</t>
  </si>
  <si>
    <t>; Lopez-de-Dicastillo, Carol/C-6347-2019</t>
  </si>
  <si>
    <t>Lopez-Carballo, Gracia/0000-0003-2534-9420; Lopez-de-Dicastillo, Carol/0000-0003-0067-9765</t>
  </si>
  <si>
    <t>10.1016/j.foodres.2017.09.073</t>
  </si>
  <si>
    <t>WOS:000419418100015</t>
  </si>
  <si>
    <t>Sepulveda, V; Solar, R; Inostrosa-Psijas, A; Gil-Costa, V; Marin, M</t>
  </si>
  <si>
    <t>Chan, V; DAmbrogio, A; Zacharewicz, G; Mustafee, N</t>
  </si>
  <si>
    <t>Sepulveda, Victor; Solar, Roberto; Inostrosa-Psijas, Alonso; Gil-Costa, Veronica; Marin, Mauricio</t>
  </si>
  <si>
    <t>TOWARDS RAPID POPULATION GENETICS FORWARD-IN-TIME SIMULATIONS</t>
  </si>
  <si>
    <t>2017 WINTER SIMULATION CONFERENCE (WSC)</t>
  </si>
  <si>
    <t>Winter Simulation Conference Proceedings</t>
  </si>
  <si>
    <t>Winter Simulation Conference (WSC)</t>
  </si>
  <si>
    <t>DEC 03-06, 2017</t>
  </si>
  <si>
    <t>Las Vegas, NV</t>
  </si>
  <si>
    <t>AnyLogic Co,OLD DOMIN UNIV,IDEA FUS,Modelling Simulat &amp; Visualizat Engn,Simio,FlexSim,sas,Operat Res Soc, Journal of Simulat,Springer,Assoc Comp Machinery - Special Interest Grp Simulat,Amer Statist Assoc,Arbeitsgemeinschaft Simulat,Inst Elect &amp; Elect Engn, Syst Man &amp; Cybernet Soc,Inst Ind &amp; Syst Engineers,Inst Operat Res &amp; Management Sci - Simulat Soc,Natl Inst Standards &amp; Technol,Soc Modeling &amp; Simulat Int</t>
  </si>
  <si>
    <t>Computer simulations are an important tool for the current research in population and evolutionary genetics. They help to understand the genetic evolution of complex processes dynamics that cannot be analytically predicted. The basic idea is to generate synthetic data sets of genetic polymorphisms under user-specified scenarios describing the evolutionary history and genetic architecture of a species. In this work, we focus on forward-in-time simulations which represent the most powerful, but, at the same time, most computeintensive approach for simulating the genetic material of a population. We present a highly-optimized forward-in-time simulation library called Libgdrift, specially designed to create large sets of replicated simulations. Our simulation library uses code optimizations such as spatial locality and a two-phase data compression approach which allow fast simulation executions, while reducing memory storage. Results show that our proposal can improve the performance reported by well-known simulation software.</t>
  </si>
  <si>
    <t>Marin, Mauricio/GLR-7700-2022; Inostrosa-Psijas, Alonso/AAC-7718-2019; Gil-Costa, Veronica/GPT-4785-2022; Inostrosa-Psijas, Alonso/A-5827-2018</t>
  </si>
  <si>
    <t>0891-7736</t>
  </si>
  <si>
    <t>978-1-5386-3428-8</t>
  </si>
  <si>
    <t>WOS:000427768602076</t>
  </si>
  <si>
    <t>León-Rodríguez, M; Cordero, RR; Rayas, JA; Martínez-García, A; Martínez-Gonzalez, A; Labbe, F; Téllez-Quiñones, A; Flores-Muñoz, V</t>
  </si>
  <si>
    <t>Leon-Rodriguez, Miguel; Cordero, Raul R.; Rayas, Juan A.; Martinez-Garcia, Amalia; Martinez-Gonzalez, Adrian; Labbe, Fernando; Tellez-Quinones, Alejandro; Flores-Munoz, Victor</t>
  </si>
  <si>
    <t>Reduction of the ringing effect in off-axis digital holography reconstruction from two reconstruction distances based on Talbot effect</t>
  </si>
  <si>
    <t>OPTICAL ENGINEERING</t>
  </si>
  <si>
    <t>A simple strategy based on wavefront propagation in the Fresnel regime to reduce a ringing effect by using an ideal filter in off-axis digital holography (DH) is presented. In addition, we demonstrate a better focusing capacity by using this ideal filter than Butterworth and Gaussian methods. It also provides a way to increase the visibility of the refocused plane by reducing the influence of the out-of-focus planes. We also use the unique feature of the refocusing capability of DH in the reconstructed and enhanced image, which is obtained from the averaging operation between the image at the focused image plane (z = z(hd0)) and the first Talbot distance order (z = z(hd1)). This distance is determined by the periodic ringing. Reductions of 50% of these anomalies are computed in simulation and 30% is obtained experimentally (nearly 2 nm). Also a numerical simulation shows that the focusing resolution is directly related to the filter size and shows a 0.8 mm focus zone with an ideal filter. Numerical simulations and experimental results are carried out to validate the proposal. (C) 2015 Society of PhotoOptical Instrumentation Engineers (SPIE)</t>
  </si>
  <si>
    <t>Téllez-Quiñones, Alejandro/C-6615-2016; Rayas, Juan/CAG-8266-2022; Cordero, Raul/M-7979-2017</t>
  </si>
  <si>
    <t>Leon-Rodriguez, Miguel/0000-0003-1309-2226; Flores Munoz, Victor Hugo/0000-0003-3632-5344; Cordero, Raul R./0000-0001-7607-7993; Martinez-Gonzalez, Adrian/0000-0003-1355-5921; Rayas, Juan Antonio/0000-0001-6809-2368</t>
  </si>
  <si>
    <t>0091-3286</t>
  </si>
  <si>
    <t>1560-2303</t>
  </si>
  <si>
    <t>10.1117/1.OE.54.10.104110</t>
  </si>
  <si>
    <t>WOS:000364220200024</t>
  </si>
  <si>
    <t>Vásquez, OC; Alvarez, A; Silva, J; Muga, AP</t>
  </si>
  <si>
    <t>Vasquez, Oscar C.; Alvarez, Adolfo; Silva, Julio; Pincheira Muga, Alicia</t>
  </si>
  <si>
    <t>Towards the estimation of demand for recycling in Chile: The case of Santiago</t>
  </si>
  <si>
    <t>RESOURCES CONSERVATION AND RECYCLING</t>
  </si>
  <si>
    <t>In developing countries, the recycling of municipal solid waste (MSW) as an alternative to the traditional MSW management requires an economic sustainability valuation. From this perspective, the estimation of demand for recycling is crucial. In this paper, we study the case of recycling MSW in Santiago, Chile. We estimate the relation between the monthly amount of MSW separated voluntarily from apartments located in Santiago and the monthly price required to participate in a municipal recycling program. We consider the transference of the municipal cost savings to the owners of the apartments due to the amount of MSW separated for recycling, which is not collected and deposited in the current MSW system. For the estimation, we use concepts from environmental economics and psychology, analyzing the operation and municipal costs incurred by current MSW management and designing and applying a survey based on a contingent valuation method (CVM) approach. The results indicate that the percentage of MSW separated for recycling varies between a 27.98% and 33.18%, that only four MSW types are affected by a variation of the monthly price, and that a reduction of monthly collection trips in the current MSW system from 24 to 18 can be obtained. Additionally, we discuss a number of methodological aspects to be considered in a similar study of valuation of recycling in developing countries. Our conclusion is that Santiago has favorable conditions for the implementation of a recycling program as an alternative to the current MSW system. (C) 2013 Elsevier B.V. All rights reserved.</t>
  </si>
  <si>
    <t>Silva, Julio/M-7137-2019</t>
  </si>
  <si>
    <t>Vasquez, Oscar C./0000-0002-1393-4692; Alvarez, Adolfo/0000-0001-8187-3003</t>
  </si>
  <si>
    <t>0921-3449</t>
  </si>
  <si>
    <t>1879-0658</t>
  </si>
  <si>
    <t>10.1016/j.resconrec.2013.11.006</t>
  </si>
  <si>
    <t>WOS:000331341200011</t>
  </si>
  <si>
    <t>García-Herrera, CM; Atienza, JM; Rojo, FJ; Claes, E; Guinea, GV; Celentano, DJ; García-Montero, C; Burgos, RL</t>
  </si>
  <si>
    <t>Garcia-Herrera, C. M.; Atienza, J. M.; Rojo, F. J.; Claes, E.; Guinea, G. V.; Celentano, D. J.; Garcia-Montero, C.; Burgos, R. L.</t>
  </si>
  <si>
    <t>Mechanical behaviour and rupture of normal and pathological human ascending aortic wall</t>
  </si>
  <si>
    <t>MEDICAL &amp; BIOLOGICAL ENGINEERING &amp; COMPUTING</t>
  </si>
  <si>
    <t>The mechanical properties of aortic wall, both healthy and pathological, are needed in order to develop and improve diagnostic and interventional criteria, and for the development of mechanical models to assess arterial integrity. This study focuses on the mechanical behaviour and rupture conditions of the human ascending aorta and its relationship with age and pathologies. Fresh ascending aortic specimens harvested from 23 healthy donors, 12 patients with bicuspid aortic valve (BAV) and 14 with aneurysm were tensile-tested in vitro under physiological conditions. Tensile strength, stretch at failure and elbow stress were measured. The obtained results showed that age causes a major reduction in the mechanical parameters of healthy ascending aortic tissue, and that no significant differences are found between the mechanical strength of aneurysmal or BAV aortic specimens and the corresponding age-matched control group. The physiological level of the stress in the circumferential direction was also computed to assess the physiological operation range of healthy and diseased ascending aortas. The mean physiological wall stress acting on pathologic aortas was found to be far from rupture, with factors of safety (defined as the ratio of tensile strength to the mean wall stress) larger than six. In contrast, the physiological operation of pathologic vessels lays in the stiff part of the response curve, losing part of its function of damping the pressure waves from the heart.</t>
  </si>
  <si>
    <t>García-Herrera, Claudio/ABE-8991-2020; Atienza, Jose/ABG-8742-2020; Celentano, Diego/JQW-5027-2023; ROJO PEREZ, FRANCISCO JAVIER/F-7710-2016; GUINEA TORTUERO, GUSTAVO VICTOR/N-1241-2014</t>
  </si>
  <si>
    <t>Garcia-Herrera, Claudio/0000-0002-1283-8551; ATIENZA RIERA, JOSE MIGUEL/0000-0002-1444-8979; ROJO PEREZ, FRANCISCO JAVIER/0000-0001-9517-0050; GUINEA TORTUERO, GUSTAVO VICTOR/0000-0002-4326-3746</t>
  </si>
  <si>
    <t>0140-0118</t>
  </si>
  <si>
    <t>1741-0444</t>
  </si>
  <si>
    <t>10.1007/s11517-012-0876-x</t>
  </si>
  <si>
    <t>WOS:000304566100002</t>
  </si>
  <si>
    <t>Cárdenas, R; Peña, R; Tobar, G; Clare, J; Wheeler, P; Asher, G</t>
  </si>
  <si>
    <t>Cardenas, Roberto; Pena, Ruben; Tobar, German; Clare, Jon; Wheeler, Patrick; Asher, Greg</t>
  </si>
  <si>
    <t>Stability Analysis of a Wind Energy Conversion System Based on a Doubly Fed Induction Generator Fed by a Matrix Converter</t>
  </si>
  <si>
    <t>In this paper, the performance of a grid-connected wind energy conversion system (WECS), based on a doubly fed induction generator (DFIG) fed by a matrix converter ( MC), is presented. The MC replaces the back-to-back converters conventionally used to control a DFIG. The MC is operated with close-to-unity power factor at the grid side. Stability issues related to the operation of the MC in the proposed WECS are discussed. A small signal model is used to investigate the dynamic performance of the two control arrangements discussed in this paper. Experimental results, obtained with a 4-kW prototype, are presented and fully discussed in this paper. The performance of the system for variable speed generation is verified using the emulation of a variable speed wind turbine implemented with a digitally controlled dc machine.</t>
  </si>
  <si>
    <t>pena, ruben/H-1806-2018; Cardenas, Roberto/C-6395-2011; Clare, Jon/M-2032-2018</t>
  </si>
  <si>
    <t>Cardenas, Roberto/0000-0003-3853-7703; Wheeler, Patrick/0000-0003-0307-581X; Clare, Jon/0000-0001-8243-4280</t>
  </si>
  <si>
    <t>10.1109/TIE.2009.2027923</t>
  </si>
  <si>
    <t>WOS:000269838700047</t>
  </si>
  <si>
    <t>Romero, G; García-Ripoll, JJ; Solano, E</t>
  </si>
  <si>
    <t>Romero, G.; Garcia-Ripoll, J. J.; Solano, E.</t>
  </si>
  <si>
    <t>Microwave Photon Detector in Circuit QED</t>
  </si>
  <si>
    <t>In this Letter we design a metamaterial composed of discrete superconducting elements that implements a high-efficiency microwave photon detector. Our design consists of a microwave guide coupled to an array of metastable quantum circuits, whose internal states are irreversibly changed due to the absorption of photons. This proposal can be widely applied to different physical systems and can be generalized to implement a microwave photon counter.</t>
  </si>
  <si>
    <t>Solano, Enrique/C-2895-2017; Romero, Guillermo/C-8245-2009; Romero, Guillermo/C-8245-2009; Garcia-Ripoll, Juan Jose/B-8302-2008</t>
  </si>
  <si>
    <t>Romero, Guillermo/0000-0003-2917-7814; SOLANO VILLANUEVA, ENRIQUE LEONIDAS/0000-0002-8602-1181; Romero, Guillermo/0000-0003-4366-4950; Garcia-Ripoll, Juan Jose/0000-0001-8993-4624</t>
  </si>
  <si>
    <t>10.1103/PhysRevLett.102.173602</t>
  </si>
  <si>
    <t>WOS:000265948300019</t>
  </si>
  <si>
    <t>Martinez, A; Rayas, JA; Cordero, R</t>
  </si>
  <si>
    <t>Dirckx, J; Buytaert, J</t>
  </si>
  <si>
    <t>Martinez, Amalia; Rayas, J. A.; Cordero, Raul</t>
  </si>
  <si>
    <t>Measurement of in plane strain with shearography and electronic speckle pattern interferometry</t>
  </si>
  <si>
    <t>OPTICAL MEASUREMENT TECHNIQUES FOR STRUCTURES AND SYSTEMS</t>
  </si>
  <si>
    <t>4th International Conference on Optical Measurement Techniques for Structures and Systems (OPTIMESS2009)</t>
  </si>
  <si>
    <t>MAY 25-26, 2009</t>
  </si>
  <si>
    <t>Antwerp, BELGIUM</t>
  </si>
  <si>
    <t>In experimental mechanics, the relative displacements induced by mechanical or thermal load can be measured by optical techniques such as Electronic Speckle Pattern interferometry (ESP) and then used to determine strains, stresses, or bending moments by additional calculations. These quantities are of interest because they affect the strength, safety, and lifetime of mechanical structures or components. The stress analysts are usually interested in displacement gradients, rather than in displacement measurements. Therefore, optical methods that can directly render displacement derivatives are of special interest. This is achieved by using Electronic Speckle Pattern Shearing Interferometry (ESPSI). ESPSI is an optical differentiation technique that can be considered an appropriate method for the measurement of the spatial derivatives in non-destructive inspections. The method is based on the digital correlation of two speckled wavefronts representing two states (loaded and unloaded) of the object under test. In this work, an optical setup that gives the possibility of using either ESPI or ESPSI has been implemented to assess in-plane strains induced on a composite sample. First, in-plane ESPI was used to measure displacement fields, which allowed us latter to evaluate the corresponding strain fields. Next, we applied ESPSI to measure the derivative of in-plane surface displacements (the strains). The experimental results obtained by applying both techniques (ESPI and ESPSI) were compared. We found that the difference between the strain fields obtained by ESPSI and ESPI was roughly a constant. This result was expected since, although ESPI in turn allows computing absolute strain values, the strains measured by ESPSI are relative to a reference that must he measured by an additional method.</t>
  </si>
  <si>
    <t>Rayas, Juan/CAG-8266-2022; Cordero, Raul/M-7979-2017</t>
  </si>
  <si>
    <t>978-90-423-0366-9</t>
  </si>
  <si>
    <t>WOS:000281199400022</t>
  </si>
  <si>
    <t>Taschereau, R; Bao, QN; Rannou, FR; Chatziioannou, AF</t>
  </si>
  <si>
    <t>Yu, B</t>
  </si>
  <si>
    <t>Taschereau, Richard; Bao, Qinan; Rannou, Fernando R.; Chatziioannou, Arion F.</t>
  </si>
  <si>
    <t>Video Image Based Attenuation Correction for PETbox, a Preclinical PET Tomograph</t>
  </si>
  <si>
    <t>2009 IEEE NUCLEAR SCIENCE SYMPOSIUM CONFERENCE RECORD, VOLS 1-5</t>
  </si>
  <si>
    <t>IEEE Nuclear Science Symposium Conference 2009</t>
  </si>
  <si>
    <t>OCT 25-31, 2009</t>
  </si>
  <si>
    <t>Orlando, FL</t>
  </si>
  <si>
    <t>IEEE, Nucl Plasma Sci Sect,IEEE</t>
  </si>
  <si>
    <t>PETBox is a new simplified bench top PET scanner dedicated for pre-clinical imaging of mice. It has only two facing detector heads in a static gantry. Using iterative methods, limited-angle reconstruction of 3D images is possible. The geometry of the PETBox is such that very oblique emission angles are detected traversing significant lengths of tissue, making attenuation correction necessary. To that effect, we have developed a method by which two orthogonal optical views are combined to create a 3-dimensional estimate of the subject. This estimate is used to produce attenuation correction data that significantly improve the quantitative accuracy of the reconstructed images. In this paper, we present the method and evaluate its accuracy.</t>
  </si>
  <si>
    <t>978-1-4244-3961-4</t>
  </si>
  <si>
    <t>10.1109/NSSMIC.2009.5401754</t>
  </si>
  <si>
    <t>WOS:000280505101365</t>
  </si>
  <si>
    <t>Pocivavsek, L; Dellsy, R; Kern, A; Johnson, S; Lin, BH; Lee, KYC; Cerda, E</t>
  </si>
  <si>
    <t>Pocivavsek, Luka; Dellsy, Robert; Kern, Andrew; Johnson, Sebastian; Lin, Binhua; Lee, Ka Yee C.; Cerda, Enrique</t>
  </si>
  <si>
    <t>Stress and fold localization in thin elastic membranes</t>
  </si>
  <si>
    <t>SCIENCE</t>
  </si>
  <si>
    <t>Thin elastic membranes supported on a much softer elastic solid or a fluid deviate from their flat geometries upon compression. We demonstrate that periodic wrinkling is only one possible solution for such strained membranes. Folds, which involve highly localized curvature, appear whenever the membrane is compressed beyond a third of its initial wrinkle wavelength. Eventually the surface transforms into a symmetry-broken state with flat regions of membrane coexisting with locally folded points, reminiscent of a crumpled, unsupported membrane. We provide general scaling laws for the wrinkled and folded states and proved the transition with numerical and experimental supported membranes. Our work provides insight into the interfacial stability of such diverse systems as biological membranes such as lung surfactant and nanoparticle thin films.</t>
  </si>
  <si>
    <t>Kern-Goldberger, Andrew/0000-0003-0610-4292</t>
  </si>
  <si>
    <t>0036-8075</t>
  </si>
  <si>
    <t>1095-9203</t>
  </si>
  <si>
    <t>10.1126/science.1154069</t>
  </si>
  <si>
    <t>WOS:000255868300037</t>
  </si>
  <si>
    <t>Aguirre, P; Zolezzi, S; Parada, J; Bunel, E; Moya, SA; Sariego, R</t>
  </si>
  <si>
    <t>Ruthenium carbonyl complexes in catalytic epoxidation of olefins co-catalyzed by isobutyl-aldehyde</t>
  </si>
  <si>
    <t>APPLIED ORGANOMETALLIC CHEMISTRY</t>
  </si>
  <si>
    <t>The present work shows the catalytic activity of a series of carbonyl ruthenium complexes in the epoxidation of olefins co-catalyzed by isobutyl-aldehyde. The complexes display catalytic activity in the epoxidation of the cyclohexene with high selectivity. Copyright (c) 2006 John Wiley &amp; Sons, Ltd.</t>
  </si>
  <si>
    <t>Bunel, Emilio/0000-0002-1657-7854</t>
  </si>
  <si>
    <t>0268-2605</t>
  </si>
  <si>
    <t>1099-0739</t>
  </si>
  <si>
    <t>10.1002/aoc.1044</t>
  </si>
  <si>
    <t>WOS:000236916700004</t>
  </si>
  <si>
    <t>Soto-Moyano, R; Valladares, L; Sierralta, W; Pérez, H; Mondaca, M; Fernández, V; Burgos, H; Hernández, A</t>
  </si>
  <si>
    <t>Mild prenatal protein malnutrition increases α2C-adrenoceptor density in the cerebral cortex during postnatal life and impairs neocortical long-term potentiation and visuo-spatial performance in rats</t>
  </si>
  <si>
    <t>JOURNAL OF NEUROCHEMISTRY</t>
  </si>
  <si>
    <t>Mild reduction in the protein content of the mother's diet from 25 to 8% casein, calorically compensated by carbohydrates, does not alter body and brain weights of rat pups at birth, but leads to significant enhancements in the concentration and release of cortical noradrenaline during early postnatal life. Since central noradrenaline and some of its receptors are critically involved in long-term potentiation (LTP) and memory formation, this study evaluated the effect of mild prenatal protein malnutrition on the alpha(2C)-adrenoceptor density in the frontal and occipital cortices, induction of LTP in the same cortical regions and the visuo-spatial memory. Pups born from rats fed a 25% casein diet throughout pregnancy served as controls. At day 8 of postnatal age, prenatally malnourished rats showed a threefold increase in neocortical alpha(2C)-adrenoceptor density. At 60 days-of-age, alpha(2C)-adrenoceptor density was still elevated in the neocortex, and the animals were unable to maintain neocortical LTP and presented lower visuo-spatial memory performance. Results suggest that overexpression of neocortical alpha(2C)-adrenoceptors during postnatal life, subsequent to mild prenatal protein malnutrition, could functionally affect the synaptic networks subserving neocortical LTP and visuo-spatial memory formation.</t>
  </si>
  <si>
    <t>Hernandez, Alejandro/M-4796-2019; BURGOS, HECTOR/ABA-6821-2020</t>
  </si>
  <si>
    <t>Hernandez, Alejandro/0000-0001-9222-6522; BURGOS, HECTOR/0000-0001-7705-4347</t>
  </si>
  <si>
    <t>0022-3042</t>
  </si>
  <si>
    <t>1471-4159</t>
  </si>
  <si>
    <t>10.1111/j.1471-4159.2005.03094.x</t>
  </si>
  <si>
    <t>WOS:000229172900004</t>
  </si>
  <si>
    <t>Gamboa, J; Loewe, M; Méndez, F</t>
  </si>
  <si>
    <t>Quantum theory of tensionless noncommutative p-branes -: art. no. 106006</t>
  </si>
  <si>
    <t>The quantum theory involving noncommutative tensionless p-branes is studied following path integral methods. Our procedure allows a simple treatment for generally covariant noncommutative extended systems and it contains, as a particular case, the thermodynamics and the quantum tensionless string theory. The effect induced by noncommutativity in the field space is to produce a confinement among pairing of null p-branes.</t>
  </si>
  <si>
    <t>Gamboa, Jorge/R-8744-2019</t>
  </si>
  <si>
    <t>Loewe, Marcelo/0000-0002-8998-6923; Gamboa, Jorge/0000-0001-7992-7199; Mendez, Fernando/0000-0002-9257-9552</t>
  </si>
  <si>
    <t>10.1103/PhysRevD.70.106006</t>
  </si>
  <si>
    <t>WOS:000225440900101</t>
  </si>
  <si>
    <t>Alvarez, C; Casallanovo, F; Shida, CS; Nogueira, LV; Martinez, D; Tejuca, M; Pazos, IF; Lanio, ME; Menestrina, G; Lissi, E; Schreier, S</t>
  </si>
  <si>
    <t>Binding of sea anemone pore-forming toxins sticholysins I and II to interfaces - Modulation of conformation and activity, and lipid-protein interaction</t>
  </si>
  <si>
    <t>CHEMISTRY AND PHYSICS OF LIPIDS</t>
  </si>
  <si>
    <t>Satellite Symposium on Structural and Dynamic Properties of Lipid Interfaces</t>
  </si>
  <si>
    <t>APR 25-26, 2002</t>
  </si>
  <si>
    <t>BUENOS AIRES, ARGENTINA</t>
  </si>
  <si>
    <t>Univ Buenos Aires, Fac Farmacia &amp; Bioquim</t>
  </si>
  <si>
    <t>Sticholysins I and II (St I and St II) are water-soluble toxins produced by the sea anemone Stichodactyla helianthus. St I and St II bind to biological and model membranes containing sphingomyelin (SM), forming oligomeric pores that lead to leakage of internal contents. Here we describe functional and structural studies of the toxins aiming at the understanding at a molecular level of their mechanism of binding, as well as their effects on membrane permeabilization. St I and St II caused potassium leakage from red blood cells and temperature-dependent hemolysis, the activation energy of the process being lower for the latter toxin. Protein intrinsic fluorescence measurements provided evidence for toxin binding to model membranes composed of 1:1 (mol:mol) egg phosphatidyl choline (ePC):SM. The fluorescence intensity increased and the maximum emission wavelength decreased as a result of binding. The changes were quantitatively different for both toxins. Circular dichroism spectra showed that both St I and St II exhibit a high content of beta-sheet structure and that binding to model membranes did not alter the toxin's conformation to a large extent. Changing the lipid composition by adding 5 mol% of negatively charged phosphatidic acid (PA) or phosphatidyl glycerol (PG) had small, but detectable, effects on protein conformation. The influence of lipid composition on toxin-induced membrane permeabilization was assessed by means of fluorescence measurements of calcein leakage. The effect was larger for ePC:SM bilayers containing 5 mol% of negative curvature-inducing lipids. Electron paramagnetic resonance (EPR) spectra of intercalated fatty acid spin probes carrying the nitroxide moiety at different carbons (5, 7, 12, and 16) evidenced the occurrence of lipid-protein interaction. Upon addition of the toxins, two-component spectra were observed for the probe labeled at C-12. The broader component, corresponding to a population of strongly immobilized spin probes, was ascribed to boundary lipid. The contribution of this component to the total spectrum was larger for St II than for St I. Moreover, it was clearly detectable for the C-12-labeled probe, but it was absent when the label was at C-16, indicating a lack of lipid-protein interaction close to the lipid terminal methyl group. This effect could be either due to the fact that the toxins do not span the whole bilayer thickness or to the formation of a toroidal pore leading to the preferential interaction with acyl chain carbons closer to the phospholipids head groups. (C) 2002 Elsevier Science Ireland Ltd. All rights reserved.</t>
  </si>
  <si>
    <t>Casallanovo, Fabio/AHE-5422-2022; Shida, Claudio/H-3473-2013; Schreier, Shirley/F-7001-2014</t>
  </si>
  <si>
    <t>0009-3084</t>
  </si>
  <si>
    <t>1873-2941</t>
  </si>
  <si>
    <t>PII S0009-3084(02)00181-0</t>
  </si>
  <si>
    <t>10.1016/S0009-3084(02)00181-0</t>
  </si>
  <si>
    <t>WOS:000181654800009</t>
  </si>
  <si>
    <t>Laurido, C; Pelissier, T; Soto-Moyano, R; Valladares, L; Flores, F; Hernández, A</t>
  </si>
  <si>
    <t>Effect of melatonin on rat spinal cord nociceptive transmission</t>
  </si>
  <si>
    <t>NEUROREPORT</t>
  </si>
  <si>
    <t>Melatonin has been shown to exert potent antinociception but the sites and mechanisms of action underlying this effect have not yet been clarified. The effect of melatonin on spinal cord nociceptive transmission was studied in rats by assessing wid-up activity in a C-fiber reflex responses paradigm evoked by repetitive (0.6 Hz) electric stimulation. Intraperitoneal administration of 1.25, 2.5, 5.0 and 10.0 mg/kg melatonin induced a dose-dependent inhibition of spinal wind-up activity, the higher dose of the drug used being able to depress completely the C reflex gain. Results indicate that melatonin markedly depresses spinal wind-up in rats, probably through hyperpolarization of dorsal horn neurons consecutive to melatonin binding to membrane receptors, and/or via intracellular interference with a NMDA receptor-dependent nitric oxide generating pathway. NeuroReport 13:89-91 (C) 2002 Lippincott Williams Wilkins.</t>
  </si>
  <si>
    <t>Hernandez, Alejandro/M-4796-2019; Flores, Francisco/L-6850-2013</t>
  </si>
  <si>
    <t>Flores, Francisco/0000-0002-8974-9717; Hernandez, Alejandro/0000-0001-9222-6522</t>
  </si>
  <si>
    <t>0959-4965</t>
  </si>
  <si>
    <t>10.1097/00001756-200201210-00021</t>
  </si>
  <si>
    <t>WOS:000173449000022</t>
  </si>
  <si>
    <t>Costamagna, J; Ferraudi, G; Villagran, M; Wolcan, E</t>
  </si>
  <si>
    <t>Ligand luminescence and photoinduced charge separation in bis(naphthalene) substituted fourteen-membered tetraazamacrocyclic complexes of CuII and NiII</t>
  </si>
  <si>
    <t>JOURNAL OF THE CHEMICAL SOCIETY-DALTON TRANSACTIONS</t>
  </si>
  <si>
    <t>Deaerated solutions of complexes of Ni-II and Cu-II of a bis(naphthalene) substituted fourteen-membered tetraazamacrocycle exhibited medium-dependent luminescence when they were irradiated at 351 or 337 nm. The addition of Cu(CH3CN)(6)(2+) in increasing concentrations resulted in the formation of a ground state adduct and led to displacements of the emission spectrum toward shorter wavelengths and to a progressive quenching of the luminescence. The rate of the luminescence decay was also dependent on the medium and on the monitoring wavelength and was fitted by single or multiple exponentials with lifetimes shorter than 30 ns. Steady state irradiations of the complexes at 370 nm induced a minor conversion among tautomeric forms. Transient photochemical products with lifetimes of several hundred ns were observed via flash photolysis and assigned as metal-ligand radical species. A mechanism for the formation of such intermediates and various ground and excited state species is proposed.</t>
  </si>
  <si>
    <t>1470-479X</t>
  </si>
  <si>
    <t>10.1039/b002829k</t>
  </si>
  <si>
    <t>WOS:000088759000022</t>
  </si>
  <si>
    <t>VOGEL, EE; VARGAS, P; PEREZ, G</t>
  </si>
  <si>
    <t>MAGNETIC PHASES IN ISING SQUARE LATTICES WITH MIXED BONDS</t>
  </si>
  <si>
    <t>vargas, patricio/0000-0001-9235-9747; Vogel, Eugenio/0000-0002-1701-3030</t>
  </si>
  <si>
    <t>0163-1829</t>
  </si>
  <si>
    <t>10.1103/PhysRevB.40.4369</t>
  </si>
  <si>
    <t>WOS:A1989AP56800016</t>
  </si>
  <si>
    <t>Panja, A; Jaglicic, Z; Jana, NC; Contesso, S; Nandy, R; Aravena, D</t>
  </si>
  <si>
    <t>Panja, Anangamohan; Jaglicic, Zvonko; Jana, Narayan Ch.; Contesso, Scarlette; Nandy, Rakhi; Aravena, Daniel</t>
  </si>
  <si>
    <t>Impact of anionic co-ligands on nuclearity and single-molecule magnetism in a {CoIII2DyIII} trimeric and two {CoIII2DyIII2} tetrameric complexes</t>
  </si>
  <si>
    <t>We report herein the use of a new Schiff base ligand, 3-((2-hydroxy-3-methoxy-5-methylbenzylidene)amino)propane-1,2-diol (H3L), as a racemate, derived from the condensation reaction of methyl-substituted o-vanillin and (+/-)-3-amino-1,2-propanediol, to explore Co-Dy coordination chemistry. This investigation led to the isolation of a trinuclear complex, [CoIII2DyIII(HL)4](NO3)center dot CH3CN center dot 4CH3OH center dot 2H2O (1), and two tetranuclear complexes, [CoIII2DyIII2(HL)2(mu 3-OH)2(mu-OAc)2(OAc)4]center dot 6CH3CN (2) and [CoIII2DyIII2(HL)2(mu 3-OH)2(mu-mnba)2(mnba)4]center dot 0.5H2O (3), where Hmnba is m-nitrobenzoic acid. AC magnetic susceptibility studies revealed that all three complexes exhibit zero-field slow magnetic relaxation behavior, which is further enhanced under an applied magnetic field, with Ueff values of 32 K, 200 K, and 28 K for 1-3, respectively. Notably, complex 1 is an important inclusion within the limited family of trinuclear CoIII2DyIII complexes that display zero-field SMM behavior. Meanwhile, complexes 2 and 3 are valuable additions to the expanding family of tetranuclear CoIII2DyIII2 clusters with butterfly-like topologies, as only a single type-I butterfly example has been reported thus far, in which DyIII ions occupy the wingtip positions. To interpret the experimental magnetic data, ab initio calculations were performed, providing deeper insights into the magnetic anisotropy and relaxation dynamics of these systems. Overall, this study not only reports that complex 2 displays the highest Ueff value among the CoIII2DyIII and CoIII2DyIII2 families but also highlights the influence of anionic co-ligands on nuclearity and magnetic dynamics, further enriching the field of CoIII-DyIII-based SMMs.</t>
  </si>
  <si>
    <t>Jana, Narayan/KRP-4564-2024; Aravena, Daniel/F-2174-2011</t>
  </si>
  <si>
    <t>2025 APR 2</t>
  </si>
  <si>
    <t>10.1039/d5nj00766f</t>
  </si>
  <si>
    <t>WOS:001467890600001</t>
  </si>
  <si>
    <t>Sánchez-Squella, A; Flores, R; Burgos, R; Morales, F; Nader, A; Valdivia-Lefort, P</t>
  </si>
  <si>
    <t>Sanchez-Squella, Antonio; Flores, Ricardo; Burgos, Rolando; Morales, Felipe; Nader, Andres; Valdivia-Lefort, Patricio</t>
  </si>
  <si>
    <t>99.6% efficiency DC-DC coupling for green hydrogen production using PEM electrolyzer, photovoltaic generation and battery storage operating in an off-grid area</t>
  </si>
  <si>
    <t>RENEWABLE ENERGY</t>
  </si>
  <si>
    <t>This paper presents a novel connection and control strategy fora hydrogen generation system using a proton exchange membrane electrolyzer powered by solar energy in an off-grid area without network backup. Given that, the proposed architecture is based on the indirect control of the Photovoltaic plant (achieved by removing a power-converter), the presented solution is more efficient and more reliable than the traditional scheme. Furthermore, with this innovation one can reach the same hydrogen production with smaller electrolyzers. The methodology includes detailed models of the photovoltaic panel and the electrolyzer, along with a control strategy that considers the degradation mechanisms of the electrolyzer to ensure reliable and prolonged operation. The results show that the proposed strategy keeps the operating power of the electrolyzer constant, even under variations in irradiance, thanks to energy storage in batteries. It is demonstrated that the proposed system offers efficiency above 99.6% during the analyzed period, with a 100% utilization rate of the electrolyzer, avoiding periods of inactivity and high current peaks. The study also includes simulations and experimental tests that confirm the feasibility and effectiveness of the presented solution, highlighting its advantages in terms of efficiency and investment costs compared to direct connections and other existing methods.</t>
  </si>
  <si>
    <t>VALDIVIA, PATRICIO/KMA-0184-2024; Sánchez-Squella, Antonio/J-1975-2015</t>
  </si>
  <si>
    <t>, Felipe Morales/0009-0001-4741-5188; Flores Reyes, Ricardo/0009-0008-8291-2703; Nader Hernandez, Andres/0009-0002-6588-9851; VALDIVIA, PATRICIO/0000-0002-7457-1346</t>
  </si>
  <si>
    <t>0960-1481</t>
  </si>
  <si>
    <t>1879-0682</t>
  </si>
  <si>
    <t>10.1016/j.renene.2024.121781</t>
  </si>
  <si>
    <t>WOS:001358624800001</t>
  </si>
  <si>
    <t>Barbieri, S; Sablik, M; Salo, V</t>
  </si>
  <si>
    <t>Barbieri, Sebastian; Sablik, Mathieu; Salo, Ville</t>
  </si>
  <si>
    <t>SOFICITY OF FREE EXTENSIONS OF EFFECTIVE SUBSHIFTS</t>
  </si>
  <si>
    <t>DISCRETE AND CONTINUOUS DYNAMICAL SYSTEMS</t>
  </si>
  <si>
    <t>Let G be a group and H 6 G a subgroup. The free extension of an H-subshift X to G is the G-subshift (X) over tilde whose configurations are those for which the restriction to every coset of H is a configuration from X. We study the case of G = H x K for infinite and finitely generated groups H and K. On the one hand, we show that if K is nonamenable and H has decidable word problem, then the free extension to G of any H-subshift which is effectively closed is a sofic G-subshift. On the other hand, we prove that if both H and K are amenable, there are always H-subshifts which are effectively closed by patterns whose free extension to G is non-sofic. We also present a few applications in the form of a new simulation theorem and a new class of groups which admit strongly aperiodic SFTs.</t>
  </si>
  <si>
    <t>Barbieri, Sebastián/HTS-1654-2023</t>
  </si>
  <si>
    <t>1078-0947</t>
  </si>
  <si>
    <t>1553-5231</t>
  </si>
  <si>
    <t>10.3934/dcds.2024125</t>
  </si>
  <si>
    <t>WOS:001319583200001</t>
  </si>
  <si>
    <t>Gutiérrez, G; Ruiz-León, D</t>
  </si>
  <si>
    <t>Gutierrez, Gonzalo; Ruiz-Leon, Domingo</t>
  </si>
  <si>
    <t>Lithium in Chile: present status and future outlook</t>
  </si>
  <si>
    <t>MATERIALS ADVANCES</t>
  </si>
  <si>
    <t>This paper provides a comprehensive overview of the current state of lithium in Chile, with a forward-looking assessment in the context of the ongoing national lithium strategy. The global and regional significance of lithium as a critical energy resource is examined. The evolution of Chile's lithium industry is analyzed, emphasizing two recent key policy initiatives: the 2015 National Lithium Commission report and the newly launched national lithium strategy. The salient features of these initiatives are outlined. Additionally, this paper reviews materials science research conducted in Chile since the 1960s, particularly focusing on the physical chemistry of lithium, batteries and brines. Finally, the paper argues that lithium, as a pivotal material in the shift from fossil fuels to renewable energy, holds strategic potential for advancing the country's sovereign technological development. This paper provides a comprehensive overview of the current state of lithium in Chile, with a forward-looking assessment in the context of the ongoing national lithium strategy.</t>
  </si>
  <si>
    <t>Ruiz, Domingo/H-3818-2011; Gutierrez, Gonzalo/A-4973-2008</t>
  </si>
  <si>
    <t>Gutierrez, Gonzalo/0000-0003-0676-0089; Ruiz Leon, Domingo/0000-0002-0950-6919</t>
  </si>
  <si>
    <t>2633-5409</t>
  </si>
  <si>
    <t>OCT 14</t>
  </si>
  <si>
    <t>10.1039/d4ma00625a</t>
  </si>
  <si>
    <t>WOS:001306392200001</t>
  </si>
  <si>
    <t>Pino-Cortés, E; Rabí, I; Muñoz, M; Acosta, J; Vallejo, F; Espinoza-Pérez, A; Espinoza-Pérez, L; Carrasco, S</t>
  </si>
  <si>
    <t>Pino-Cortes, Ernesto; Rabi, Ismael; Munoz, Martin; Acosta, Jonathan; Vallejo, Fidel; Espinoza-Perez, Andrea; Espinoza-Perez, Lorena; Carrasco, Samuel</t>
  </si>
  <si>
    <t>Simulation of the air quality and evaluation of a future district heating system in Valdivia, Chile</t>
  </si>
  <si>
    <t>ATMOSPHERIC POLLUTION RESEARCH</t>
  </si>
  <si>
    <t>The city of Valdivia, located in southern Chile, has high levels of particulate matter, mainly due to the heating system based on wood used during winter. As a corrective measure, environmental authorities established the Air Pollution Management Plan for Valdivia in 2017, seeking to decrease the effects on the population's health and provide a better quality of life for inhabitants. An alternative to reduce indoor air quality problems in homes is to implement a district heating plant. This study evaluated the air quality if a district heating plant is implemented in the zone. The WRF-SMOKE-CMAQ model was applied in August 2018 to simulate the effect of this new system on air quality. An adequate fit was achieved for the actual case between the 24-h average concentrations of PM2.5 and PM10 from the simulated and observed values, obtaining correlation factor (r) values of 0.76 and 0.78, respectively. By simulating the scenario with a district heating plant (thus eliminating emissions from residences), it was found that if this plant is located in the southern area of the city, the daily concentrations would be reduced by an average of 53.52% and 51.40% for PM2.5 and PM10, respectively. The results of this study showed that the implementation of a district heating plant results in a reduction in air pollution problems compared to the current scenario, achieving the values established in the primary air quality standards.</t>
  </si>
  <si>
    <t>Acosta, Jonathan/AAR-7159-2020; Vallejo, Fidel/AAM-6353-2020; Cortés, Ernesto/Z-2777-2019; Espinoza, Lorena/GVU-7778-2022; Espinoza Perez, Andrea Teresa/M-4426-2014</t>
  </si>
  <si>
    <t>Pino-Cortes, Ernesto/0000-0001-5133-2812; Acosta, Jonathan/0000-0001-6323-9746; Espinoza Perez, Andrea Teresa/0000-0002-6362-9100; Vallejo, Fidel Ernesto/0000-0001-5835-298X; Espinoza Perez, Lorena/0000-0001-6737-8479</t>
  </si>
  <si>
    <t>1309-1042</t>
  </si>
  <si>
    <t>10.1016/j.apr.2024.102255</t>
  </si>
  <si>
    <t>WOS:001274648200001</t>
  </si>
  <si>
    <t>Duran-Meza, E; Araya-Secchi, R; Romero-Hasler, P; Soto-Bustamante, EA; Castro-Fernandez, V; Castillo-Caceres, C; Monasterio, O; Diaz-Espinoza, R</t>
  </si>
  <si>
    <t>Duran-Meza, Eva; Araya-Secchi, Raul; Romero-Hasler, Patricio; Soto-Bustamante, Eduardo Arturo; Castro-Fernandez, Victor; Castillo-Caceres, Claudio; Monasterio, Octavio; Diaz-Espinoza, Rodrigo</t>
  </si>
  <si>
    <t>Metal Ions Can Modulate the Self-Assembly and Activity of Catalytic Peptide Amyloids</t>
  </si>
  <si>
    <t>Rational design of peptides has become a powerful tool to produce self-assembled nanostructures with the ability to catalyze different chemical reactions, paving the way to develop minimalistic enzyme-like nanomaterials. Catalytic amyloid-like assemblies have emerged among the most versatile and active, but they often require additional factors for activity. Elucidating how these factors influence the structure and activity is key for the design. Here, we showed that biologically relevant metal ions can guide and modulate the self-assembly of a small peptide into diverse amyloid architectures. The morphology and catalytic activity of the resulting fibrils were tuned by the specific metal ion decorating the surface, whereas X-ray structural analysis of the amyloids showed ion-dependent shape sizes. Molecular dynamics simulations showed that the metals can strongly affect the local conformational space, which can trigger major rearrangements of the fibrils. Our results demonstrate that the conformational landscape of catalytic amyloids is broad and tunable by external factors, which can be critical for future design strategies.</t>
  </si>
  <si>
    <t>Romero-Hasler, Patricio/T-7993-2019; Diaz-Espinoza, Rodrigo/HDM-8819-2022; Araya Secchi, Raul/AAA-4944-2020; Romero-Hasler, Patricio/P-6631-2018; Castro-Fernandez, Victor/K-9621-2018</t>
  </si>
  <si>
    <t>Romero-Hasler, Patricio/0000-0002-9211-2514; Araya Secchi, Raul/0000-0002-4872-3553; Castro-Fernandez, Victor/0000-0002-4309-6415; Diaz-Espinoza, Rodrigo/0000-0002-1315-0716</t>
  </si>
  <si>
    <t>1520-5827</t>
  </si>
  <si>
    <t>MAR 12</t>
  </si>
  <si>
    <t>10.1021/acs.langmuir.3c02983</t>
  </si>
  <si>
    <t>WOS:001183933500001</t>
  </si>
  <si>
    <t>Coronel, M; Orellana, R; Carvajal, R; Escárate, P; Agüero, JC</t>
  </si>
  <si>
    <t>Coronel, Maria; Orellana, Rafael; Carvajal, Rodrigo; Escarate, Pedro; Aguero, Juan C.</t>
  </si>
  <si>
    <t>An Identification Method for Stochastic Continuous-time Disturbances in Adaptive Optics Systems</t>
  </si>
  <si>
    <t>IFAC PAPERSONLINE</t>
  </si>
  <si>
    <t>22nd World Congress of the International Federation of Automatic Control (IFAC)</t>
  </si>
  <si>
    <t>JUL 09-14, 2023</t>
  </si>
  <si>
    <t>Yokohama, JAPAN</t>
  </si>
  <si>
    <t>This paper presents a novel identification method for stochastic continuous-time systems applied to Adaptive Optics. We consider a discrete-time sampled-data model of a linear combination of continuous-time second-order systems for modelling disturbances. The Maximum Likelihood framework is used in time and frequency domain to develop an estimation algorithm with sampled-data. We propose an estimation algorithm where we write the likelihood function in the frequency domain in terms of the discrete-time output spectrum (Whittle's log-likelihood function). An approximation for the discrete-time spectrum is used in order to reduce the computational load. A comparative analysis of the proposed method and some available methods is illustrated via numerical simulations.</t>
  </si>
  <si>
    <t>Aguero, Juan/A-8657-2013; Escarate, Pedro/AAH-1677-2019; Carvajal, Rodrigo/E-5560-2015; Orellana Prato, Rafael/Y-5616-2018; Coronel Mendez, Maria/LXW-8289-2024</t>
  </si>
  <si>
    <t>Coronel Mendez, Maria/0000-0002-7201-8424</t>
  </si>
  <si>
    <t>2405-8963</t>
  </si>
  <si>
    <t>10.1016/j.ifacol.2023.10.1778</t>
  </si>
  <si>
    <t>WOS:001196709200182</t>
  </si>
  <si>
    <t>Clustering-Based Energy-Efficient Self-Healing Strategy for WSNs Under Jamming Attacks</t>
  </si>
  <si>
    <t>The Internet of Things (IoT) is a key technology to interconnect the real and digital worlds, enabling the development of smart cities and services. The timely collection of data is essential for IoT services. In scenarios such as agriculture, industry, transportation, public safety, and health, wireless sensor networks (WSNs) play a fundamental role in fulfilling this task. However, WSNs are commonly deployed in sensitive and remote environments, thus facing the challenge of jamming attacks. Therefore, these networks need to have the ability to detect such attacks and adopt countermeasures to guarantee connectivity and operation. In this work, we propose a novel clustering-based self-healing strategy to overcome jamming attacks, in which we denominate fairness cooperation with power allocation (FCPA). The proposed strategy, aware of the presence of the jammer, clusters the network and designates a cluster head that acts as a sink node to collect information from its cluster. Then, the most convenient routes to overcome the jamming are identified and the transmit power is adjusted to the minimum value required to guarantee the reliability of each link. Finally, through the weighted use of the relays, the lifetime of each subnetwork is extended. To show the impact of each capability of FCPA, we compare it with multiple benchmarks that only partially possess these capabilities. In the proposal evaluation, we consider a WSN composed of 64 static nodes distributed in a square area. Meanwhile, to assess the impact of the jamming attack, we consider seven different locations of the attacker. All experiments started with each node's battery full and stopped after one of these batteries was depleted. In these scenarios, FCPA outperforms all other strategies by more than 50% of the information transmitted, due to the efficient use of relay power, through the weighted balance of cooperative routes. On average, FCPA permits 967,961 kb of information transmitted and 63% of residual energy, as energy efficiency, from all the analyzed scenarios. Additionally, the proposed clustering-based self-healing strategy adapts to the change of jammer location, outperforming the rest of the strategies in terms of information transmitted and energy efficiency in all evaluated scenarios.</t>
  </si>
  <si>
    <t>Montejo-Sanchez, Samuel/0000-0003-1622-3180; Souza, Richard/0000-0002-7389-6245; Lopez-Vilos, Nicolas/0000-0002-8372-7824</t>
  </si>
  <si>
    <t>10.3390/s23156894</t>
  </si>
  <si>
    <t>WOS:001046846400001</t>
  </si>
  <si>
    <t>Muñoz-Shugulí, C; Rodríguez-Mercado, F; Benbettaieb, N; Guarda, A; Galotto, MJ; Debeaufort, F</t>
  </si>
  <si>
    <t>Munoz-Shuguli, Cristina; Rodriguez-Mercado, Francisco; Benbettaieb, Nasreddine; Guarda, Abel; Jose Galotto, Maria; Debeaufort, Frederic</t>
  </si>
  <si>
    <t>Development and Evaluation of the Properties of Active Films for High-Fat Fruit and Vegetable Packaging</t>
  </si>
  <si>
    <t>beta-cyclodextrin and allyl isothiocyanate inclusion complexes (beta-CD:AITC) have been proposed for developing fresh fruit and vegetable packaging materials. Therefore, the aim of this research was to develop active materials based on poly(lactic acid) (PLA) loaded with beta-CD:AITC and to assess changes in the material properties during the release of AITC to food simulants. PLA films with 0, 5 and 10 wt.% beta-CD:AITC were developed by extrusion. Surface properties were determined from contact angle measurements. Films were immersed in water, aqueous and fatty simulants to assess the absorption capacity and the change in the thermal properties. Moreover, the release of AITC in both simulants was evaluated by UV-spectroscopy and kinetic parameters were determined by data modeling. Results showed that a higher concentration of beta-CD:AITC increased the absorption of aqueous simulant of films, favoring the plasticization of PLA. However, the incorporation of beta-CD:AITC also avoided the swelling of PLA in fatty simulant. These effects and complex relationships between the polymer, inclusion complexes and food simulant explained the non-systematic behavior in the diffusion coefficient. However, the lower partition coefficient and higher percentage of released AITC to the fatty simulant suggested the potential of these materials for high-fat fruit and vegetable active packaging applications.</t>
  </si>
  <si>
    <t>Muñoz-Shugulí, Cristina/AAO-4231-2020; DEBEAUFORT, FREDERIC/AAH-3416-2019; Rodríguez, Francisco/I-5283-2018</t>
  </si>
  <si>
    <t>DEBEAUFORT, Frederic/0000-0002-4760-0500; BENBETTAIEB, Nasreddine/0000-0001-8454-2218; Rodriguez-Mercado, Francisco/0000-0002-0530-6653; Munoz Shuguli, Cristina Alejandra/0000-0003-0052-7411</t>
  </si>
  <si>
    <t>10.3390/molecules28073045</t>
  </si>
  <si>
    <t>WOS:000970207600001</t>
  </si>
  <si>
    <t>Merlet, G; Becerra, J; Zurob, E; Plaza, A; Romero, J; Quijada-Maldonado, E; Pino-Soto, L; Cabezas, R</t>
  </si>
  <si>
    <t>Merlet, G.; Becerra, J.; Zurob, E.; Plaza, A.; Romero, J.; Quijada-Maldonado, E.; Pino-Soto, L.; Cabezas, R.</t>
  </si>
  <si>
    <t>In-situ recovery of butanol from ABE fermentation solution by hydrophobic ionic liquid perstraction in tubular membranes assisted with vacuum</t>
  </si>
  <si>
    <t>The selective removal of butanol from a fermentation broth continues to be a challenge for the generation of alternative biofuels. In this work, a continuous extraction of a model acetone-butanol-ethanol (ABE) solution, using a perstraction membrane system with ionic liquid [omim][Tf2N] as extractant phase coupled to a vacuum extraction system of the extractant phase has been studied.Perstraction assays were carried out using a tubular polydimethylsiloxane (PDMS) membrane to quantify the extraction percentage and transmembrane fluxes of butanol, acetone, ethanol, and water. The results indicate that the transmembrane fluxes of butanol were particularly high considering that the PDMS membrane used in the experiments was relatively thick (3.175 mm). The highest average flux of butanol was obtained at 37 degrees C using [omim][Tf2N] as extractant reaching a value of 1.17 center dot 10(-3) [kg h(-1) m(-2)] with a separation performance showing a highest butanol/water selectivity value equal to 6.73. The mass transfer model based on the resistance-in-series theory, demonstrated a good correlation to the experimental data verifying that the membrane generates a higher resistance to mass transfer (similar to 98 %).This perstraction technique combined with the use of ILs could allow to design a wide range of separation processes to purify a large variety of molecules. Additionally, the perstraction process could be considered a good alternative for the selective separation of fermentation or reaction products with high commercial value.</t>
  </si>
  <si>
    <t>Romero, Julio/I-6705-2013; Cabezas, Rene/HAR-6189-2022; Merlet, Gastón/B-4109-2019</t>
  </si>
  <si>
    <t>Quijada-Maldonado, Esteban/0000-0003-1411-4327; Pino Soto, Luis/0000-0002-6588-7867; Pino, Luis/0000-0003-4475-7470; Romero, Julio/0000-0002-1229-1592; Plaza, Andrea/0000-0001-9475-007X; Cabezas, Rene/0000-0002-4162-3429; Zurob, Elsie/0000-0002-5396-5960</t>
  </si>
  <si>
    <t>10.1016/j.seppur.2023.123630</t>
  </si>
  <si>
    <t>WOS:000959266300001</t>
  </si>
  <si>
    <t>Orellana, W; Loyola, CZ; Marco, JF; Tasca, F</t>
  </si>
  <si>
    <t>Orellana, Walter; Zuniga Loyola, Cesar; Marco, Jose F.; Tasca, Federico</t>
  </si>
  <si>
    <t>Evidence of carbon-supported porphyrins pyrolyzed for the oxygen reduction reaction keeping integrity</t>
  </si>
  <si>
    <t>Fe(III) 5,10,15,20-(tetraphenyl)porphyrin chloride (FeTPP) and Co(III) 5,10,15,20-(tetraphenyl)porphyrin chloride (CoTPP) were adsorbed on carbon Vulcan and studied as electrocatalysts for the oxygen reduction reaction (ORR) before and after pyrolysis. The pyrolysis process was also simulated through ab initio molecular dynamic simulations and the minimum energy path for the O-2 dissociation after the interaction with the metal center of the FeTPP and CoTPP were calculated. After the pyrolysis the FeTPP showed the best performances reducing O-2 completely to H2O with increased limiting current and lower overpotential. Tafel slops for the various catalysts did not change after the pyrolytic process suggesting that the mechanism for the ORR is not affected by the heat treatment. TEM images, X-ray diffraction, XPS spectroscopy, Fe-57 Mossbauer, and DFT simulations, suggest that there is no breakdown of the macrocyclic complex at elevated temperatures, and that the macro cyclic geometry is preserved. Small variations in the Metal-O-2 (M-O-2) binding energies and the M-N bond length were observed which is attributed to the dispersive interaction between the macrocycles and the irregular surface of the Vulcan substrate induced by the heat treatment and causing better interaction with the O-2 molecule. The theoretical strategy herein applied well simulate and explain the nature of the M-N-C active sites and the performances towards the ORR.</t>
  </si>
  <si>
    <t>Zúñiga-Loyola, César/AAN-5621-2021; Tasca, Federico/J-4134-2015; Orellana, Walter/ABA-6452-2021; Marco, JF/N-3176-2014</t>
  </si>
  <si>
    <t>Marco, JF/0000-0002-5147-1449; Orellana, Walter/0000-0002-6897-3875; Tasca, Federico/0000-0002-4111-4624; Zuniga-Loyola, Cesar/0000-0002-0894-3383</t>
  </si>
  <si>
    <t>10.1038/s41598-022-11820-6</t>
  </si>
  <si>
    <t>WOS:000796701700089</t>
  </si>
  <si>
    <t>Fernandes, JR; De Brito, MA; Brito, CJ; Aedo-Munoz, E; Miarka, B</t>
  </si>
  <si>
    <t>Fernandes, Jose Raimundo; De Brito, Michele Andrade; Brito, Ciro Jose; Aedo-Munoz, Esteban; Miarka, Bianca</t>
  </si>
  <si>
    <t>Technical-tactical actions of fighters specialized in striking, grappling, and mixed combat in the Ultimate Fighting Championships</t>
  </si>
  <si>
    <t>IDO MOVEMENT FOR CULTURE-JOURNAL OF MARTIAL ARTS ANTHROPOLOGY</t>
  </si>
  <si>
    <t>Background. This study aimed to describe and analyze the technical-tactical actions used by fighters who had already had experience in striking, grappling, and mixed combat sports when joining the Ultimate Fighting Championship (R) (UFC (R)). Methods. The present research analyzed 384 athletes' performance, classified as grappling, striking, or mixed athletes during combat during their initial performance in UFC (R) (&lt;3 months) and at a second time, (&gt;6 months of UFC (R)). The analyzed data compared the striking, grappling, and mixed techniques, p&lt;0.05. Results. Differences were found between groups regarding the percentage of actions, as athletes who entered from mixed combat sports backgrounds used a lower percentage of striking actions, in both the primary [41 (32.3; 51.5); p &lt;= 0.001] and secondary [40 (35.3; 46.0); p &lt;= 0.001] modules, as well as in grappling techniques [32.0 (17.5; 41.5); p &lt;= 0.001]; and high draw outcomes [1.0 (0.0; 3.0); p &lt;= 0.001]. For the outcomes, strikers ended the combat by knockout/technical knockout [8.0 (4.0; 11.0); p &lt;= 0.001]. For the secondary module, defeat [5.0 (1.0; 10.0); p &lt;= 0.001], tie [0.5 (0.0; 2.0); p &lt;= 0.001] and referee decision [4.0 (3.0; 7.0); p &lt;= 0.001] were predominate in the mixed athletes; knockout/technical knockout [7.0 (4.0; 10.0); p &lt;= 0.001] and submission [3.0 (1.0; 6.0); p &lt;= 0.001] predominated in strikers. Conclusions. The present results show that specific technical actions differentiate athletes who previously practiced striking and grappling combat sports. There is special attention given to athletes coming from mixed sports, who had a better pacing strategy but fewer attacks.</t>
  </si>
  <si>
    <t>Brito, Ciro/AAC-9104-2019; Aedo-Muñoz, Esteban/R-5623-2019</t>
  </si>
  <si>
    <t>brito, ciro/0000-0002-9678-1977</t>
  </si>
  <si>
    <t>2084-3763</t>
  </si>
  <si>
    <t>2082-7571</t>
  </si>
  <si>
    <t>10.14589/ido.22.2.3</t>
  </si>
  <si>
    <t>WOS:000778144500003</t>
  </si>
  <si>
    <t>Yánez, D; Guerrero, L; Borja, R; Huiliñir, C</t>
  </si>
  <si>
    <t>Yanez, Diana; Guerrero, Lorna; Borja, Rafael; Huilinir, Cesar</t>
  </si>
  <si>
    <t>Sulfur-based mixotrophic denitrification with the stoichiometric S0/N ratio and methanol supplementation: effect of the C/N ratio on the process</t>
  </si>
  <si>
    <t>The impact of the organic carbon to nitrate ratio (C/N ratio) on mixotrophic denitrification rate has been scarcely studied. Thus, this work aims to investigate the effect of the C/N ratio on the mixotrophic denitrification when methanol is used as a source of organic matter and elemental sulfur as an electron donor for autotrophic denitrification. For this, two initial concentrations of NO3--N (50 and 25 mg/L) at a stoichiometric ratio of S-0/N, and four initial C/N ratios (0, 0.6, 1.2, and 1.9 mg CH3OH/mg NO3- -N) were used at 25 (+/- 2) degrees C. The results showed that when using a C/N ratio of 0.6, the highest total nitrogen removal was obtained and the accumulation of nitrites was reduced, compared to an autotrophic system. The most significant contribution to nitrate consumption was through autotrophic denitrification (AuDeN) for a C/N ratio of 0.6 and 1.2, while for C/N = 1.9 the most significant contribution of nitrate consumption was through heterotrophic denitrification (HD). Finally, organic supplementation (methanol) served to increase the specific nitrate removal rate at high and low initial concentrations of substrate. Therefore, the best C/N ratio was 0.6 since it allowed for increasing the removal efficiency and the denitrification rate.</t>
  </si>
  <si>
    <t>Borja, Rafael/0000-0002-3699-7223; Yanez Sevilla, Diana/0000-0003-2840-5731</t>
  </si>
  <si>
    <t>DEC 27</t>
  </si>
  <si>
    <t>10.1080/10934529.2021.2004839</t>
  </si>
  <si>
    <t>NOV 2021</t>
  </si>
  <si>
    <t>WOS:000724716000001</t>
  </si>
  <si>
    <t>Dhanalakshmi, R; Giridharan, NV; Denardin, JC</t>
  </si>
  <si>
    <t>Dhanalakshmi, Radhalayam; Giridharan, Nambi Venkatesan; Denardin, Juliano C.</t>
  </si>
  <si>
    <t>Magnetic Field-Assisted Photocatalytic Degradation of Organic Pollutants over Bi1-xRxFeO3 (R = Ce, Tb; x=0.00, 0.05, 0.10 and 0.15) Nanostructures</t>
  </si>
  <si>
    <t>MATERIALS</t>
  </si>
  <si>
    <t>Magnetic-field-accelerated photocatalytic degradation of the phenol red (PR) as a model organic pollutant was studied using rare-earth elements modified BiFeO3 (Bi1-xRxFeO3 (R = Ce, Tb; x = 0.0, 0.05, 0.10 and 0.15); BFO: RE) nanostructures. The nanostructures were prepared via the hydrothermal process and their morphological, structural, functional, optical and magnetic features were investigated in detail. The effect of magnetic fields (MFs) on photocatalysis were examined by applying the different MFs under visible light irradiation. The enhanced photodegradation efficiencies were achieved by increasing the MF up to 0.5T and reduced at 0.7T for the compositions x = 0.10 in both Ce and Tb substituted BFO. Further, mineralization efficiencies of PR, reproducibility of MF-assisted photocatalysis, stability and recyclability of BFO: RE nanostructures were also tested.</t>
  </si>
  <si>
    <t>N V, GIRIDHARAN/AAY-4584-2021; Denardin, Juliano/S-6407-2019</t>
  </si>
  <si>
    <t>Nambi Venkatesan, Giridharan/0000-0001-8652-8831; Denardin, Juliano/0000-0002-1373-6207; , physics/0000-0002-3011-002X</t>
  </si>
  <si>
    <t>1996-1944</t>
  </si>
  <si>
    <t>10.3390/ma14154079</t>
  </si>
  <si>
    <t>WOS:000682040700001</t>
  </si>
  <si>
    <t>Seguin, AK; Wrighton-Araneda, K; Cortés-Arriagada, D; Cruz, C; Venegas-Yazigi, D; Paredes-García, V</t>
  </si>
  <si>
    <t>Karina Seguin, Ana; Wrighton-Araneda, Kerry; Cortes-Arriagada, Diego; Cruz, Carlos; Venegas-Yazigi, Diego; Paredes-Garcia, Veronica</t>
  </si>
  <si>
    <t>A new CuII-dinuclear paddlewheel complex. Structural and electronic properties</t>
  </si>
  <si>
    <t>A new paddlewheel dinuclear Cu-II complex [Cu-2(HL)(4)(MeOH)(2)](MeOH)(4), Cu-2-PW was obtained using the 3,5-di-tert-butyl-salicylic acid as a ligand (H2L). The Cu-2-PW crystallizes in the monoclinic P2/c space group having a (CuCu)-Cu-center dot center dot center dot distance of 2.5727(17) angstrom. The hydrogen bonds between coordinated and solvate methanol molecules link the structure into a pseudo-one-dimensional array with a (CuCu)-Cu-center dot center dot center dot interdimer distance of 9.180(5) angstrom. Temperature dependence of magnetic susceptibilities revealed a strong antiferromagnetic interaction between the two Cu-II ions (J = -323 cm(-1)). DFT calculations showed that the strong antiferromagnetic behavior is originated from magnetic orbital centered only on Cu-II cations and carboxy oxygen atoms, with a calculated exchange magnetic coupling constant of J(12) = -311 cm(-1). Time-dependent calculations were also performed to characterize the main electronic transition involved in the two well-defined maxima observed in solid-state. The results show that the maximum at 695 nm corresponds to d-d and carboxylate intraligand transitions, while the maximum centered at 320 nm was assigned to phenyl to carboxylate ILCT transition. The shoulder located around 400 nm corresponds to MLCT transition from HL- ligand to Cu-II center. In our knowledge, this is the first time that a copper paddlewheel complex with the salicylic ligand is studied using the hole-electron method to give a univocal assignment for the UV-vis spectrum. (C) 2020 Elsevier B.V. All rights reserved.</t>
  </si>
  <si>
    <t>Cruz, Carlos/KIG-8993-2024; Paredes-Garcia, Veronica/C-4415-2011; Cortés-Arriagada, Diego/J-5940-2019; Venegas-Yazigi, Diego/C-5022-2009; Wrighton-Araneda, Kerry Jeffry/X-2381-2019</t>
  </si>
  <si>
    <t>Cruz Herrera, Carlos/0000-0002-2644-4297; Venegas-Yazigi, Diego/0000-0001-7816-2841; Wrighton-Araneda, Kerry Jeffry/0000-0003-4872-8976</t>
  </si>
  <si>
    <t>10.1016/j.molstruc.2020.129172</t>
  </si>
  <si>
    <t>WOS:000598092500009</t>
  </si>
  <si>
    <t>Vigo, DGA; Alvarez, AC; Chapiro, G; García, GC; Moreira, CG</t>
  </si>
  <si>
    <t>Alfaro Vigo, Daniel G.; Alvarez, Amaury C.; Chapiro, Grigori; Garcia, Galina C.; Moreira, Carlos G.</t>
  </si>
  <si>
    <t>SOLVING THE INVERSE PROBLEM FOR AN ORDINARY DIFFERENTIAL EQUATION USING CONJUGATION</t>
  </si>
  <si>
    <t>JOURNAL OF COMPUTATIONAL DYNAMICS</t>
  </si>
  <si>
    <t>We consider the following inverse problem for an ordinary differential equation (ODE): given a set of data points P = {(t(i), x(i)); i = 1, ..., N}, find an ODE x'(t) = v(x) that admits a solution x(t) such that x(i) approximate to x(t(i)) as closely as possible. The key to the proposed method is to find approximations of the recursive or discrete propagation function D(x) from the given data set. Afterwards, we determine the field v(x), using the conjugate map defined by Schroder's equation and the solution of a related Julia's equation. Moreover, our approach also works for the inverse problems where one has to determine an ODE from multiple sets of data points. We also study existence, uniqueness, stability and other properties of the recovered field v(x). Finally, we present several numerical methods for the approximation of the field v(x) and provide some illustrative examples of the application of these methods.</t>
  </si>
  <si>
    <t>Garcia, Galina/U-1019-2017; Chapiro, Grigori/HWQ-6032-2023; Alvarez, Amaury/GWQ-9572-2022</t>
  </si>
  <si>
    <t>Garcia, Galina C./0000-0003-2188-6368; Alfaro Vigo, Daniel G./0000-0002-3280-8720; Chapiro, Grigori/0000-0003-4568-834X</t>
  </si>
  <si>
    <t>2158-2491</t>
  </si>
  <si>
    <t>2158-2505</t>
  </si>
  <si>
    <t>10.3934/jcd.2020008</t>
  </si>
  <si>
    <t>WOS:000670031600002</t>
  </si>
  <si>
    <t>Muñoz-Cofré, R; Abarca-Ortega, A; Lizana, PA; Rodríguez, JQ; García-Herrera, C; del Sol, M</t>
  </si>
  <si>
    <t>Munoz-Cofre, Rodrigo; Abarca-Ortega, Aldo; Lizana, Pablo A.; Rodriguez, Jorge Quinones; Garcia-Herrera, Claudio; del Sol, Mariano</t>
  </si>
  <si>
    <t>Lung Function Evaluation Through Computerized Tomography and 3D Reconstruction of Airways: A Body Mass Index Pilot Study</t>
  </si>
  <si>
    <t>Obesity is a worldwide epidemic that has become a risk factor for the development of respiratory problems, meaning it is necessary to generate models that assess lung function in obese patients for proper treatment. The objective of this study was to evaluate a model for analyzing respiratory function according to body composition, by analyzing the structure and function of the airways by computed tomography (CT). Lung function and body fat percentage (BF%) were measured in three male subjects (25 +/- 6 years), with different body mass index (BMI; normal, overweight, obese). A third-dimensional (3D) reconstruction of the airways was performed using CT Trachea, right and left main bronchi and anterior segmental bronchus of the right and left lung were measured. Three measurement points were established for each structure, and the average value of these three points was used for the analysis. An increase in the thickness of the airways wall of the left and right main bronchi and right segmental bronchus was observed as BMI and BF% increased. The same was observed for the percentage of airway wall area (%AWA) and airway resistance in the main and segmental bronchi. The proposed 3D reconstruction model and the three-point analysis simplified image assessment and allowed to observe the problems caused by obesity in lung function.</t>
  </si>
  <si>
    <t>del sol, Mariano/I-4746-2018; García-Herrera, Claudio/ABE-8991-2020; Lizana, Pablo/ABE-4996-2020; Abarca Ortega, Aldo Fabian/ABE-4995-2020</t>
  </si>
  <si>
    <t>Abarca Ortega, Aldo Fabian/0000-0002-1600-8555; Lizana, Pablo A./0000-0002-9366-6930</t>
  </si>
  <si>
    <t>WOS:000566485800012</t>
  </si>
  <si>
    <t>Cultivation dependent formation of siderophores by Gordonia rubripertincta CWB2</t>
  </si>
  <si>
    <t>MICROBIOLOGICAL RESEARCH</t>
  </si>
  <si>
    <t>Herein we demonstrate cultivation-dependent siderophore production by the actinomycete Gordonia rubripertincta CWB2. The strain produces mostly citrate, but also desferrioxamine E (DFOE) and new hydroxamate-type siderophores. The production of hydroxamate-like siderophores is influenced by cultivation conditions, for example available carbon sources or presence of metals, such as the rare earth erbium or the heavy metal lead. By cultivation with succinate and extraction with an adsorbing resin (XAD) we purified the G. rubripertincta CWB2 siderophores (yield up to 178 mg L-1). The respective workflow comprises genome mining, cultivation, and overproduction strategies, a rapid screening procedure, as well as traditional structure enrichment and structure elucidation methods. This combination of methods allows the discovery of new natural products with metal complexation capacity, also for lanthanides of commercial value. G. rubripertincta CWB2 carries a desferrioxamine-like biosynthetic gene cluster. Its transcription was proven by a transcriptomic approach comparing expression levels of the selected gene cluster during cultivation in iron-depleted and repleted media. Further investigation of the siderophores of this desferrioxamine producing Actinobacterium could lead to new structures.</t>
  </si>
  <si>
    <t>Heine, Thomas/CAG-9685-2022; Levican, Gloria/R-5191-2019; Wiche, Oliver/JYP-6050-2024; Senges, Christoph/AAB-9150-2019; Tischler, Dirk/H-9431-2013; Bandow, Julia/K-8854-2012</t>
  </si>
  <si>
    <t>Tischler, Dirk/0000-0002-6288-2403; Bandow, Julia/0000-0003-4100-8829; Senges, Christoph/0000-0002-8069-8730; Heine, Thomas/0000-0002-7109-2788</t>
  </si>
  <si>
    <t>0944-5013</t>
  </si>
  <si>
    <t>10.1016/j.micres.2020.126481</t>
  </si>
  <si>
    <t>WOS:000549369000001</t>
  </si>
  <si>
    <t>Borges-Martínez, M; Montenegro-Pohlhammer, N; Yamamoto, Y; Baruah, T; Cárdenas-Jirón, G</t>
  </si>
  <si>
    <t>Borges-Martinez, Merlys; Montenegro-Pohlhammer, Nicolas; Yamamoto, Yoh; Baruah, Tunna; Cardenas-Jiron, Gloria</t>
  </si>
  <si>
    <t>Zn(II)-Porphyrin-Squaraine Dyads as Potential Components for Dye-Sensitized Solar Cells: A Quantum Chemical Study of Optical and Charge Transport Properties</t>
  </si>
  <si>
    <t>In the present work, we theoretically investigate the push-pull effect in new dyads of chromophores formed by substituted Zn(II) porphyrin (P) and squaraine (SQ) that could be potential components of dye-sensitized solar cells (DSSCs). The effect of electron-donating moieties (amine, methoxy, and methyl) bound to porphyrin in meso-position C20 on the optical and charge transport properties of nine dyads (D1-D9) was studied, as well as the formation reaction of these. After a calibration procedure with 13 density functionals, the electronic spectra of the dyads were computed (TPSSh/def2-TZVP) with time-dependent density functional theory (TD-DFT). Dyads with amines (D5-D9) show a push effect denoted by the red-shifting of the Q-bands (up to 727 nm), while dyads with methyl or methoxy substituents (D1-D4) show no significative changes. Charge transfer bands computed with both TD-DFT and perturbative Delta SCF approaches preferably show a P -&gt; SQ transition, which indicates that porphyrin is a better electron-donating moiety (push effect), while squaraine is a better electron-withdrawing moiety (pull ef fect). Charge transport properties of the dyads calculated with the Keldysh nonequilibrium Green's function (NEGF) formalism show a similar trend, with the current shifting P -&gt; SQ more favorably for dyads with amine groups. The latter would be more convenient for DSSCs.</t>
  </si>
  <si>
    <t>Yamamoto, Yoh/AAH-6574-2019; Baruah, Tunna/AAW-3622-2021; Montenegro-Pohlhammer, Nicolas/HJZ-2914-2023; Cardenas-Jiron, Gloria/H-9508-2012</t>
  </si>
  <si>
    <t>Cardenas-Jiron, Gloria/0000-0003-4305-8088; Montenegro-Pohlhammer, Nicolas/0000-0003-3574-2955; Borges, Merlys/0000-0001-8130-1718; Yamamoto, Yoh/0000-0002-9599-206X</t>
  </si>
  <si>
    <t>JUN 18</t>
  </si>
  <si>
    <t>10.1021/acs.jpcc.0c02865</t>
  </si>
  <si>
    <t>WOS:000549942500010</t>
  </si>
  <si>
    <t>Dvorai, RH; Lee, R; Muluhngwi, P; Raijmakers, M; Shetty, A; Tambur, A; Ison, M</t>
  </si>
  <si>
    <t>Dvorai, R. Hod; Lee, R.; Muluhngwi, P.; Raijmakers, M.; Shetty, A.; Tambur, A.; Ison, M.</t>
  </si>
  <si>
    <t>Development of De Novo Antibody in Renal Transplant Recipients with BK Viremia Managed with Immunosuppression Reduction</t>
  </si>
  <si>
    <t>AMERICAN JOURNAL OF TRANSPLANTATION</t>
  </si>
  <si>
    <t>American Transplant Congress (ATC)</t>
  </si>
  <si>
    <t>MAY 30-JUN 01, 2020</t>
  </si>
  <si>
    <t>Shetty, Aneesha/JPL-1411-2023; Raijmakers, Mariella/ABD-8342-2021</t>
  </si>
  <si>
    <t>1600-6135</t>
  </si>
  <si>
    <t>1600-6143</t>
  </si>
  <si>
    <t>D-182</t>
  </si>
  <si>
    <t>WOS:000546629503159</t>
  </si>
  <si>
    <t>Herrera, F; Owrutsky, J</t>
  </si>
  <si>
    <t>Herrera, Felipe; Owrutsky, Jeffrey</t>
  </si>
  <si>
    <t>Molecular polaritons for controlling chemistry with quantum optics</t>
  </si>
  <si>
    <t>This is a tutorial-style introduction to the field of molecular polaritons. We describe the basic physical principles and consequences of strong light-matter coupling common to molecular ensembles embedded in UV-visible or infrared cavities. Using a microscopic quantum electrodynamics formulation, we discuss the competition between the collective cooperative dipolar response of a molecular ensemble and local dynamical processes that molecules typically undergo, including chemical reactions. We highlight some of the observable consequences of this competition between local and collective effects in linear transmission spectroscopy, including the formal equivalence between quantum mechanical theory and the classical transfer matrix method, under specific conditions of molecular density and indistinguishability. We also overview recent experimental and theoretical developments on strong and ultrastrong coupling with electronic and vibrational transitions, with a special focus on cavity-modified chemistry and infrared spectroscopy under vibrational strong coupling. We finally suggest several opportunities for further studies that may lead to novel applications in chemical and electromagnetic sensing, energy conversion, optoelectronics, quantum control, and quantum technology. Published under license by AIP Publishing.</t>
  </si>
  <si>
    <t>Herrera, Felipe/KHD-8453-2024; Owrutsky, Jeffrey/K-7649-2012</t>
  </si>
  <si>
    <t>Owrutsky, Jeff/0000-0003-3216-7270</t>
  </si>
  <si>
    <t>MAR 14</t>
  </si>
  <si>
    <t>10.1063/1.5136320</t>
  </si>
  <si>
    <t>WOS:000519631100001</t>
  </si>
  <si>
    <t>Bachelet, VC; Carrasco, VA; Bravo-Córdova, F; Díaz, RA; Lizana, FJ; Meza-Ducaud, N; Pardo-Hernandez, H; Uribe, FA; Vergara, AF; Villanueva, J; Navarrete, MS</t>
  </si>
  <si>
    <t>Bachelet, Vivienne C.; Carrasco, Victor A.; Bravo-Cordova, Fabiana; Diaz, Ruben A.; Lizana, Francisca J.; Meza-Ducaud, Nicolas; Pardo-Hernandez, Hector; Uribe, Francisco A.; Vergara, Alonso F.; Villanueva, Julio; Navarrete, Maria S.</t>
  </si>
  <si>
    <t>Quality of reporting for randomised clinical trials published in Latin American and Spanish journals: A protocol for a systematic survey of three clinical specialities</t>
  </si>
  <si>
    <t>Introduction Quality of reporting refers to how published articles communicate how the research was done and what was found. Gaps and imprecisions of reporting hamper the assessment of the methodological quality and internal and external validity. The CONsolidated Standards of Reporting Trials (CONSORT) are a set of evidence-based recommendations of the minimum elements to be included in the reporting of randomised controlled trials (RCTs) to ensure a complete and transparent account of what was done, how it was done and what was found. Few studies have been conducted on the impact of CONSORT on RCTs published in Latin American and Spanish journals. We aim to assess the reporting quality of RCTs of three clinical specialities published in Spanish and Latin American journals, as well as to assess changes over time and associations of quality with journal and country indicators. Methods and analysis We will conduct a systematic survey of all RCTs published in Spanish-language journals in three clinical fields (dentistry, neurology and geriatrics) from 1990 to 2018. We will include RCTs from previous work that has identified all RCTs on these medical fields published in Spain and Latin America. We will update this work via handsearching of relevant journals. Assessment of quality of reporting will be conducted independently and in duplicate using the CONSORT 2010 Statement. We will also extract journal and country indicators. We will conduct descriptive statistics and secondary analyses considering the year, country, and journal of publication, among others. Ethics and dissemination The Universidad de Santiago de Chile's ethics committee approved the protocol. We will disseminate the results of this work in peer-reviewed scientific journals and conference proceedings. We expect to raise awareness among researchers, journal editors and funders on the importance of training in reporting guidelines and using them from the inception of RCT protocols.</t>
  </si>
  <si>
    <t>NAVARRETE, MARISOL/AAG-4222-2020; Bachelet, Vivienne/JAN-7158-2023; Villanueva, Julio/V-1593-2019; Villanueva, Julio/F-8704-2010</t>
  </si>
  <si>
    <t>Carrasco, Victor A./0000-0002-6588-7189; Meza Ducaud, Nicolas/0000-0002-7194-6472; Pardo-Hernandez, Hector/0000-0003-3714-0309; Diaz, Ruben/0000-0001-6231-4871; Bachelet, Vivienne C./0000-0002-5715-9755; Villanueva, Julio/0000-0002-5807-442X</t>
  </si>
  <si>
    <t>e036148</t>
  </si>
  <si>
    <t>10.1136/bmjopen-2019-036148</t>
  </si>
  <si>
    <t>WOS:000561434500042</t>
  </si>
  <si>
    <t>Guerrero, L; Da Silva, C; Barahona, A; Montalvo, S; Huiliñir, C; Borja, R; Peirano, C; Toledo, M; Carvajal, A</t>
  </si>
  <si>
    <t>Guerrero, Lorna; Da Silva, Cristopher; Barahona, Andrea; Montalvo, Silvio; Huilinir, Cesar; Borja, Rafael; Peirano, Clio; Toledo, Mario; Carvajal, Andrea</t>
  </si>
  <si>
    <t>Fly ash as stimulant for anaerobic digestion: effect over hydrolytic stage and methane generation rate</t>
  </si>
  <si>
    <t>Thermoelectric fly ash was used as a micronutrient source for microorganisms in the anaerobic digestion process of thermally pretreated (1 hour, 120 degrees C) secondary sludge. The obtained results not only suggest that fly ash improves methane generation in the conversion of volatile fatty acids into methane, but also show a new observation, that the fly ash contributes in the particulate organic solubilization. The maximum methane production rate increased from 6.52 mL/L/d to 22.59 mL/L/d when fly ash was added at a dosage of 150 mg/L in biochemical methane potential tests compared with tests with no added ash. Additionally, the kinetic constants of the hydrolysis of particulate organic matter were obtained in both cases (with and without added ash) in batch reactors using a first-order kinetic model; in the case of no addition, the first-order kinetic parameter was 0.019 +/- 0.002 d(-1), while with ashes this value increased to 0.045 +/- 0.000 d(-1). Therefore, the addition of fly ash improves methane generation and hydrolytic kinetics in different orders of magnitude.</t>
  </si>
  <si>
    <t>Toledo, Mario/I-1129-2015; Borja, Rafael/AAK-2746-2020; Huilinir, Cesar/IYS-6899-2023; Carvajal Guevara, Andrea/G-1602-2011; Borja, Rafael/P-5314-2016</t>
  </si>
  <si>
    <t>Carvajal Guevara, Andrea/0000-0003-0973-8901; Huilinir, Cesar/0000-0002-3487-684X; Borja, Rafael/0000-0002-3699-7223; Da Silva Alvarez, Cristopher/0000-0001-9456-8024; Toledo, Mario/0000-0001-6443-9256</t>
  </si>
  <si>
    <t>10.2166/wst.2019.391</t>
  </si>
  <si>
    <t>WOS:000503485300018</t>
  </si>
  <si>
    <t>Vidal-Silva, N; Riveros, A; Tejo, F; Escrig, J; Altbir, D</t>
  </si>
  <si>
    <t>Vidal-Silva, N.; Riveros, A.; Tejo, F.; Escrig, J.; Altbir, D.</t>
  </si>
  <si>
    <t>Controlling the nucleation and annihilation of skyrmions with magnetostatic interactions</t>
  </si>
  <si>
    <t>Skyrmions have become one of the most visited topics during the last decade in condensed matter physics. In this work, and by means of analytical calculations and micromagnetic simulations, we explore the effect of the magnetostatic field generated by a magnetic tip on the stability of skyrmions. Our results show that the interaction energy between the tip and the skyrmion plays a fundamental role in the stabilization of Neel skyrmions confined in nanodisks, allowing its nucleation and annihilation and also providing precise control of its size and polarity. Based on our results, we propose a very simple and cyclic method to nucleate and annihilate skyrmions, as well as to control their polarity and chirality. This proposal could open possibilities for logic devices taking advantage of all the degrees of freedom that skyrmionic textures have.</t>
  </si>
  <si>
    <t>Rodríguez, Alejandro/R-4062-2019; Altbir, Dora/R-6781-2018; Tejo, Felipe/IUQ-0578-2023; Escrig, Juan/N-4304-2015; Vidal Silva, Nicolas/IAN-0226-2023</t>
  </si>
  <si>
    <t>Tejo Lazo, Felipe Tejo/0000-0001-7457-7281; Escrig, Juan/0000-0002-3958-8185; Vidal Silva, Nicolas/0000-0002-3717-3816; Riveros, Alejandro/0000-0002-4924-663X</t>
  </si>
  <si>
    <t>AUG 19</t>
  </si>
  <si>
    <t>10.1063/1.5099898</t>
  </si>
  <si>
    <t>WOS:000482474300010</t>
  </si>
  <si>
    <t>Mallol, J; Aguirre, V; Mallol-Simmonds, M; Matamala-Bezmalinovic, A; Calderón-Rodriguez, L; Osses-Vergara, F</t>
  </si>
  <si>
    <t>Mallol, J.; Aguirre, V; Mallol-Simmonds, M.; Matamala-Bezmalinovic, A.; Calderon-Rodriguez, L.; Osses-Vergara, F.</t>
  </si>
  <si>
    <t>Changes in the prevalence of asthma and related risk factors in adolescents: Three surveys between 1994 and 2015</t>
  </si>
  <si>
    <t>ALLERGOLOGIA ET IMMUNOPATHOLOGIA</t>
  </si>
  <si>
    <t>Methods: This study assesses the temporal trend of current asthma symptoms prevalence and associated factors in Chilean adolescents from South-Santiago, considering surveys performed in 1994, 2002 and 2015. Results: The prevalence of current asthma symptoms showed a trend to increase from 11.1% in 1994 to 13.4% in 2015 (p&lt;0.001); physician-diagnosed asthma increased from 11.5% to 13.8%, (p &lt; 0.001) whereas severe asthma and asthma with exercise decreased (p &lt; 0.001). Female adolescents had a higher prevalence of current asthma in the three surveys (p &lt; 0.001), and was a risk factor for asthma in the three surveys. In 2002, frequent consumption of meat and potatoes were associated with current asthma while frequent vigorous exercise was protective. Frequent exercise and parental tobacco smoking were risk for asthma in 2015 (p &lt; 0.001). Current active tobacco smoking showed a trend to increase reaching a prevalence of 28.9% in 2015 (p &lt; 0.001). There was a consistently low proportion of adolescents with current wheezing and asthma diagnosis (32.1% in 2015) and 37.6% of them had no asthma treatment. Conclusion: The prevalence of current asthma in adolescents from the studied area would be still increasing. As in other studies, female adolescents had a higher prevalence of current asthma. Current active tobacco smoking has strikingly increased in the studied children while indoor passive tobacco exposure remains inadmissibly high. Our findings suggest that asthma in children is underdiagnosed and undertreated. More attention should be given to female gender, tobacco exposure, air pollution and local diagnostic preferences when studying and interpreting trends of asthma prevalence in adolescents from developing localities. (C) 2018 SEICAP. Published by Elsevier Espana, S.L.U. All rights reserved.</t>
  </si>
  <si>
    <t>Mallol, Javier/0000-0003-2528-8672; Osses Vergara, Francisco/0000-0002-3839-8646</t>
  </si>
  <si>
    <t>0301-0546</t>
  </si>
  <si>
    <t>1578-1267</t>
  </si>
  <si>
    <t>10.1016/j.aller.2018.10.001</t>
  </si>
  <si>
    <t>WOS:000476694100002</t>
  </si>
  <si>
    <t>Agüero, SD; Valenzuela, TH; Aro, CP; Acevedo, AD; Badilla, PV</t>
  </si>
  <si>
    <t>Duran Aguero, Samuel; Herrera Valenzuela, Tomas; Poblete Aro, Carlos; Duran Acevedo, Angelo; Valdes Badilla, Pablo</t>
  </si>
  <si>
    <t>Food patterns in Chilean ultra-marathon runners</t>
  </si>
  <si>
    <t>Objective: To determine the dietary patterns of Chilean ultra-marathoners. Methods: A cross-sectional study with a quantitative approach was carried out to study the eating habits of Chilean ultra-marathoners by means a validated survey of eating habits. The sample included 20 ultra-marathoners (n = 3 women) who averaged to 33.0 +/- 7.8 years old, 71.1 +/- 6.6 kilos weight and height 1.72 +/- 0.05 meters. Results: Chilean ultra-marathoners presented a low food consumption according to the recommended servings of fruits, vegetables, fish and legumes, but a moderate intake of sugary drinks, sweet snacks and alcohol. However, the intake of fried foods (65%) was the most common unhealthy habit and the 75% of them reported consume breakfast daily. Conclusion: Chilean ultra-marathoners have a low compliance of the recommended number of daily servings by food groups, despite the great physical effort.</t>
  </si>
  <si>
    <t>Agüero, Samuel/AAZ-6140-2020; Poblete, Carlos/HOF-8260-2023; HERRERA, TOMAS/AAH-3739-2019</t>
  </si>
  <si>
    <t>WOS:000378466100034</t>
  </si>
  <si>
    <t>Roldán, R; Torres, ME; Gallardo, D; Arias, M; Saldías, F</t>
  </si>
  <si>
    <t>Roldan T, Rosa; Torres P, Maria Elena; Gallardo M, Daniel; Arias C, Marisol; Saldias P, Fernando</t>
  </si>
  <si>
    <t>Respiratory day hospital care for immunocompetent adult patients with community-acquired pneumonia</t>
  </si>
  <si>
    <t>Background: Day hospitals can reduce health care costs without increasing the risks of patients with lower respiratory tract infection. Aim: To report the experience of a respiratory day hospital care delivered to adult patients with community-acquired pneumonia (CAP) in a public hospital. Material and Methods: During the fall and winter of 2011 and 2012, adult patients with CAP of intermediate risk categories were assessed in the emergency room, their severity was stratified according to confusion, respiratory rate, blood pressure, 65 years of age or older (CRB-65) score and the Chilean CAP Clinical Guidelines, and were admitted to the respiratory day hospital. Results: One hundred seventeen patients aged 67 +/- 16 years, (62% females) with CAP were attended in the respiratory day hospital. Ninety percent had comorbidities, especially chronic obstructive pulmonary disease in 58%, heart disease in 32%, diabetes in 16% and asthma in 13%. Their most important risk factors were age over 65 years in 60%, comorbidities in 88%, failure of antibiotic treatment in 17%, loss of autonomy in 21%, vital sign abnormalities in 60%, mental confusion in 5%, multilobar CAP in 23%, pleural effusion in 15%, hypoxemia in 41% and a serum urea nitrogen over 30 mg/dL in 16%. Patients stayed an average of seven days in the day hospital with oxygen, hydration, chest physiotherapy and third-generation cephalosporins (89%) associated with quinolones (52%) or macrolides (4%). Thirteen patients required noninvasive ventilation, eight patients were hospitalized because of clinical deterioration and three died in hospital. Conclusions: Day hospital care reduced hospital admission rates of patients with lower respiratory tract infections.</t>
  </si>
  <si>
    <t>Saldias, Fernando/0000-0002-5330-8004</t>
  </si>
  <si>
    <t>10.4067/S0034-98872015000400008</t>
  </si>
  <si>
    <t>WOS:000354661300008</t>
  </si>
  <si>
    <t>Andrade, R; Skurtys, O; Osorio, E; Zuluaga, R; Gañán, P; Castro, C</t>
  </si>
  <si>
    <t>Andrade, R.; Skurtys, O.; Osorio, E.; Zuluaga, R.; Ganan, P.; Castro, C.</t>
  </si>
  <si>
    <t>Wettability of gelatin coating formulations containing cellulose nanofibers on banana and eggplant epicarps</t>
  </si>
  <si>
    <t>An important physical parameter used to characterize the adhesive properties of the coating formulation is the surface free energy (SFE), which is a key parameter of the wetting capacity of a food surface. The objective of this work was to determine the effects of the concentrations of gelatin (0.6-2 g/100 mL), glycerol (10-20 g/100 g) and nanofiber cellulose (1-5 g/100 g) on the wettability of gelatin-based edible coatings on banana and eggplant epicarps, and apply the response surface method to optimize the coating formulation. The SFE of banana and eggplant epicarp was calculated by Zisman plot and acidbase methods. Spreading coefficients of the coating formulations were determined on both epicarps. Banana epicarp was more hydrophilic than eggplant epicarp, but both surfaces are a low-energy surfaces and slightly bipolar. The cohesive energy of the coating formulations was influenced significantly by gelatin and cellulose nanofiber concentrations. For both epicarps, addition of glycerol and cellulose nanofibers enhanced the wetting of coating formulations based on gelatin. The best formulations in which the spreading coefficient of coating formulations on banana and eggplant epicarps reached a maximum of -22.44 mN m(-1) and -32.95 mN m(-1), respectively. (C) 2014 Elsevier Ltd. All rights reserved.</t>
  </si>
  <si>
    <t>Gallego, Robin/AAF-6535-2020; skurtys, olivier/HNS-4835-2023; Ganan Rojo, Piedad Felisinda/AAD-4636-2019; Zuluaga, Robin/G-6486-2018; Andrade-Pizarro, Ricardo/H-4016-2017; osorio, fernando/AAY-7304-2021</t>
  </si>
  <si>
    <t>Ganan Rojo, Piedad Felisinda/0000-0003-2596-2591; skurtys, olivier/0000-0003-1432-7242; Rios Mesa, Andres Felipe/0000-0002-1187-0699; Zuluaga, Robin/0000-0002-7039-0038; Andrade-Pizarro, Ricardo/0000-0002-1673-0361; osorio, fernando/0000-0001-7206-0924</t>
  </si>
  <si>
    <t>10.1016/j.lwt.2014.02.034</t>
  </si>
  <si>
    <t>WOS:000335619100021</t>
  </si>
  <si>
    <t>López, CE; Lastra, F; Romero, G; Solano, E; Retamal, JC</t>
  </si>
  <si>
    <t>Lopez, C. E.; Lastra, F.; Romero, G.; Solano, E.; Retamal, J. C.</t>
  </si>
  <si>
    <t>Multipartite entanglement generation assisted by inhomogeneous coupling</t>
  </si>
  <si>
    <t>We show that controllable inhomogeneous coupling between two-level systems and a common data bus provides a fast mechanism to produce multipartite entanglement. Our proposal combines resonant interactions and engineering of coupling strengths-between the qubits and the single mode-leading to well-defined entangled states. Furthermore, we show that, if the two-level systems interact dispersively with the quantized mode, engineering of coupling strengths allows the controlled access of the symmetric Hilbert space of qubits.</t>
  </si>
  <si>
    <t>Retamal, Juan/G-6425-2010; Solano, Enrique/C-2895-2017; López, Carlos/B-8456-2009; Romero, Guillermo/C-8245-2009; Romero, Guillermo/C-8245-2009</t>
  </si>
  <si>
    <t>Romero, Guillermo/0000-0003-2917-7814; Retamal Abarzua, Juan Carlos/0000-0002-7174-7879; SOLANO VILLANUEVA, ENRIQUE LEONIDAS/0000-0002-8602-1181; Romero, Guillermo/0000-0003-4366-4950</t>
  </si>
  <si>
    <t>10.1103/PhysRevA.85.032319</t>
  </si>
  <si>
    <t>WOS:000301571500004</t>
  </si>
  <si>
    <t>Guesnerie, R; Jara-Moroni, P</t>
  </si>
  <si>
    <t>Guesnerie, Roger; Jara-Moroni, Pedro</t>
  </si>
  <si>
    <t>Expectational coordination in simple economic contexts Concepts and analysis with emphasis on strategic substitutabilities</t>
  </si>
  <si>
    <t>ECONOMIC THEORY</t>
  </si>
  <si>
    <t>Symposium on the Role of Market Belief in Economic Dynamics</t>
  </si>
  <si>
    <t>AUG 10-14, 2009</t>
  </si>
  <si>
    <t>Stanford Univ, Stanford, CA</t>
  </si>
  <si>
    <t>Stanford Univ</t>
  </si>
  <si>
    <t>We consider an economic model that features (1) a continuum of agents and (2) an aggregate state of the world over which agents have an infinitesimal influence. We first review the connections between the eductive viewpoint on expectational stability and standard game-theoretical rationalizability concepts. The eductive reasoning selects different plausible beliefs that are a priori, and possibly a posteriori, diverse. Such beliefs are associated with the sets of Cobweb tA cent tonnement outcomes, Rationalizable States and Point-Rationalizable States (the latter two being shown to be convex). In the case where our model displays strategic complementarities, unsurprisingly, all our eductive criteria support similar conclusions, particularly when the equilibrium is unique. With strategic substitutabilities, the success of expectational coordination, in the case where a unique equilibrium does exists, relates with the absence of cycles of order 2 of the Cobweb mapping: in this case, full expectational coordination would be achieved. However, when cycles of order 2 do exist, our different criteria predict larger sets of outcomes, although all tied with cycles. Under differentiability assumptions, the Poincar,aEuroHopf method leads to other global stability results. At the local level, the different criteria under scrutiny can be adapted. They lead to the same expectational stability conclusions, only when there are local strategic complementarities or strategic substitutabilities. However, for the local stability analysis, it is demonstrated that the stochastic character of expectations can most often be forgotten.</t>
  </si>
  <si>
    <t>Jara-Moroni, Pedro/C-2269-2013</t>
  </si>
  <si>
    <t>Jara-Moroni, Pedro/0000-0001-5760-388X</t>
  </si>
  <si>
    <t>0938-2259</t>
  </si>
  <si>
    <t>10.1007/s00199-010-0556-8</t>
  </si>
  <si>
    <t>WOS:000290492100002</t>
  </si>
  <si>
    <t>Medeiros, D; Silva, AR; Rizzo, J; Mallol, J; Solée, D; Sarinho, E</t>
  </si>
  <si>
    <t>Medeiros, D.; Rego Silva, A.; Rizzo, J.; Mallol, J.; Sole, D.; Sarinho, E.</t>
  </si>
  <si>
    <t>Risk factors for recurrent wheezing in infants in the first year of life living in Recife, Pernambuco, Brazil</t>
  </si>
  <si>
    <t>ALLERGY</t>
  </si>
  <si>
    <t>29th Congress of the European-Academy-of-Allergy-and-Clinical-Immunology (EAACI)</t>
  </si>
  <si>
    <t>JUN 05-09, 2010</t>
  </si>
  <si>
    <t>London, ENGLAND</t>
  </si>
  <si>
    <t>European Acad Allergy and Clin Immunol</t>
  </si>
  <si>
    <t>0105-4538</t>
  </si>
  <si>
    <t>1398-9995</t>
  </si>
  <si>
    <t>WOS:000329462100452</t>
  </si>
  <si>
    <t>Corral, E; Moreno, R; Pérez, G; Ojeda, ME; Valenzuela, H; Reascos, M; Sepúlveda, W</t>
  </si>
  <si>
    <t>Corral S, Edgardo; Moreno S, Rodrigo; Perez G, Guillermo; Ojeda B, Maria Elena; Valenzuela G, Hernan; Reascos M, Mauricio; Sepulveda L., Waldo</t>
  </si>
  <si>
    <t>Effect of flour folic acid fortification on the incidence of cranio encephalic congenital defects</t>
  </si>
  <si>
    <t>Background: In Chile, flour is fortified with folic acid since 2000, and the incidence of neural tube defects has decreased. Cranio-encephalic congenital defects (CECD) have a wider clinical scope, includind classical neural tube defects (NTD) such as anencephalia and acrania, but also incorporating other defects. Therefore, the effects of folic acid fortification on the incidence of CECD could be different. Aim: To study the effect of folic acid fortification on the incidence of CECD. Material and methods: All prenatal diagnoses of CECD and cases registered locally in the Latin American Collaborative Study of Congenital Malformations (ECLAMC) were reviewed. The obtained data were crossed with all death certificates of newborns or stillborns of more than 500 g in the Sixth Region, in Central Chile. All cases were classified again in four subtypes, according to their phenotype. The incidences of all subtypes prior (1996-2000) and after folic acid supplementation (2001-2004), were compared. Results. Between 1996 and 2004, there were 64 cases of CEDC among 109,176 infants born alive. The global rate was 8.86 per 10,000 born alive in the period prior to fortification and 3.03 per 10,000 born alive after fortification. Comparing both periods, there was a 6696 reduction in all CECD and a 77 and 100% reduction in subtypes A and B of CECD, respectively (p &lt; 0.05). No significant reductions in type C and D CECD, were observed. Conclusions: After the start of flour-folic acid fortification, there was a global reduction in the incidence of CECD. However only hypes A and B CECD, supposedly more responsive to folic acid, were reduced.</t>
  </si>
  <si>
    <t>WOS:000241738800007</t>
  </si>
  <si>
    <t>Durán, CN; Rezende, MC; Vencato, I; Neves, A</t>
  </si>
  <si>
    <t>Crystal structure of 2,6-di(2-thienyl)-4-phenylpyrylium perchlorate:: A comparison with theory</t>
  </si>
  <si>
    <t>JOURNAL OF CHEMICAL RESEARCH-S</t>
  </si>
  <si>
    <t>The crystal structure of the title compound is presented and the obtained parameters are compared with parameters from semiempirical (AM1 and PM3) and ab initio (B3LYP/6-311G) calculations.</t>
  </si>
  <si>
    <t>Neves, Ademir/E-1660-2013; Naval, Concepción/J-6297-2017</t>
  </si>
  <si>
    <t>Rezende, Marcos/0000-0003-2040-9009; Neves, Ademir/0000-0002-6713-798X</t>
  </si>
  <si>
    <t>0308-2342</t>
  </si>
  <si>
    <t>10.1039/a805473h</t>
  </si>
  <si>
    <t>WOS:000079045600017</t>
  </si>
  <si>
    <t>Pagés-Díaz, J; Vidal, I; Huiliñir, C; Hernández-Velez, L; Lorenzo-Llanes, J</t>
  </si>
  <si>
    <t>Pages-Diaz, Jhosane; Vidal, Ivan; Huilinir, Cesar; Hernandez-Velez, Leslie; Lorenzo-Llanes, Junior</t>
  </si>
  <si>
    <t>Enhanced methane production from protein and lipid-rich wastewater using powdered oat husk-biochar</t>
  </si>
  <si>
    <t>BACKGROUNDDue to the lower degradation and the potential inhibitory compounds present in slaughterhouse wastewater (SW), its industrial applications are often limited to methane production. This study investigated the combined effect of conductive material such as oat husk-biochar at different concentrations (0, 5, 10, 15, 20, 25 g L-1) and particle sizes (i.e., Powder Biochar (PB) (0.05-0.08 mm) vs. Granular Biochar (GB) (0.8-1.0 mm)) in the methane production, biodegradability, kinetic parameters, methanogenic activity and digestate quality of SW, using a multilevel factorial design.RESULTSExperimental results showed that lower concentration (5, 10 g L-1) increased the methane yield up to 35% for PB and between 11 and 13% for GB compared to the control reactor. The total ammoniacal nitrogen concentrations in the digestate declined between 14% and 52% for all biochar dosages and particle sizes. PB improved the specific methanogenic activity of the biomass compared with GB, indicating that PB can support a well-balanced methanogenic community compared with GB inside the digester. The multiple response optimization process computed that 7.5 g L-1 of PB is optimal to increase the methane yield, the COD degradation efficiency and shorten the lag phase. On the other hand, doses higher than 15 g L-1 hinder methane generation.CONCLUSIONSPB supplementation has significant potential to improve the anaerobic degradation of SW. The improvement is attributed to the higher specific surface area, contributing to better support and microbial activity. (c) 2024 Society of Chemical Industry (SCI).</t>
  </si>
  <si>
    <t>Hernández Vélez, Leslie/MTC-5103-2025; Huilinir, Cesar/IYS-6899-2023; Llanes, Lorenzo/ABA-7389-2020; Pagés Díaz, Jhosané/ABD-9445-2021</t>
  </si>
  <si>
    <t>Pages Diaz, Jhosane/0000-0002-2956-5705; Hernandez Velez, Leslie/0009-0007-0335-8891; Lorenzo Llanes, Junior/0000-0001-5177-2009; Huilinir, Cesar/0000-0002-3487-684X</t>
  </si>
  <si>
    <t>10.1002/jctb.7726</t>
  </si>
  <si>
    <t>WOS:001285533200001</t>
  </si>
  <si>
    <t>Salinas, A; Triviño, JJ; Alvarez-Lueje, A; Pizarro, I; Segura, R; Arancibia, V</t>
  </si>
  <si>
    <t>Salinas, Arturo; Trivino, Juan Jose; Alvarez-Lueje, Alejandro; Pizarro, Isabel; Segura, Rodrigo; Arancibia, Veronica</t>
  </si>
  <si>
    <t>Anodic stripping voltammetry of arsenic determination with edible mushroom-nafion-modified glassy carbon electrode</t>
  </si>
  <si>
    <t>An edible Mushroom-Nafion modified glassy carbon electrode (M2N5-GCE) was prepared using a homogeneous mixture varying the concentrations of these, in addition to the origin of the mushroom (Shiitake, Lentinula edodes, M-1 and Abrantes, Agariscus bisporus, M-2) and applied to the As(III) determination by anodic stripping voltammetry. After choosing the optimal conditions in the preparation of the electrode, the second stage was to study the effects of various parameters such as supporting electrolyte, pH, accumulation potential, and time (E-acc, t(acc)). The optimum experimental conditions chosen were Britton Robinson buffer 0.01 mol L-1 pH:4.6; E-acc: -1.0 and t(acc): 60 s obtaining a signal of oxidation of As(0) to As(III) about 0.08 V. Peak current was proportional to arsenic concentration over the 19.6-117.6 mu g L-1 range, with a 3 sigma detection limit of 13.4 mu g L-1. The method was validated using As(III) spiked tap water from the laboratory with satisfactory results (RE:3.0 %). Finally, the method was applied to the determination of As(III) in water samples from the Loa River (Northern Chile) in the presence of As(V) in a concentration &gt;20 times higher (RE: 2.3 %).</t>
  </si>
  <si>
    <t>Segura, Rodrigo/J-6696-2016; Alvarez-Lueje, Alejandro/N-3707-2019</t>
  </si>
  <si>
    <t>Segura, Rodrigo/0000-0001-5747-2357; Arancibia, Veronica/0000-0001-7493-0460</t>
  </si>
  <si>
    <t>10.1016/j.talanta.2024.126391</t>
  </si>
  <si>
    <t>WOS:001252966200001</t>
  </si>
  <si>
    <t>Brockmann, M; Navarro, F; Ibarra, J; León, C; Armijo, F; Aguirre, M; Ramirez, G; Arce, R</t>
  </si>
  <si>
    <t>Brockmann, Marcela; Navarro, Freddy; Ibarra, Jose; Leon, Constanza; Armijo, Francisco; Jesus Aguirre, Maria; Ramirez, Galo; Arce, Roxana</t>
  </si>
  <si>
    <t>Effect of the Metal of a Metallic Ionic Liquid (-butyl-methylimidazolium tetrachloroferrate) on the Oxidation of Hydrazine</t>
  </si>
  <si>
    <t>This work investigates the electrocatalytic properties of carbon paste electrodes (CPEs) modified with ionic liquids (IL) and metallic ionic liquid (ILFe) for the hydrazine oxidation reaction (HzOR). The results indicate that ILFe significantly enhances the catalytic activity of the electrode, exhibiting catalysis towards hydrazine oxidation, reducing overpotential, and increasing reaction current. It is determined that the HzOR on the MWCNT/MO/ILFe electrode involves the transfer of four electrons, with high selectivity for nitrogen formation. Additionally, ILFe is observed to improve the wettability of the electrode surface, increasing its capacitance and reaction efficiency. This study highlights the advantages of ILFe-modified CPEs in terms of simplicity, cost-effectiveness, and improved performance for electrochemical applications, demonstrating how the ionic liquid catalyzes hydrazine oxidation despite its lower conductivity.</t>
  </si>
  <si>
    <t>Aguirre, Maria/A-3935-2013; Gajardo León, Constanza/HPF-1858-2023; Armijo, Francisco/G-3391-2013; Arce, Roxana/V-8140-2019; Navarro, Freddy/KIA-4345-2024</t>
  </si>
  <si>
    <t>Navarro, Freddy/0000-0003-0056-5266; Aguirre, Maria/0000-0003-1134-4469; ARCE, ROXANA/0000-0002-1387-9232; Ramirez, Galo/0000-0002-6217-4730; Armijo, Francisco/0000-0002-2479-6280; , Jose Fernando Ibarra Ibarra/0009-0001-7426-1815</t>
  </si>
  <si>
    <t>10.3390/catal14060359</t>
  </si>
  <si>
    <t>WOS:001254632200001</t>
  </si>
  <si>
    <t>Palencia, JLD; Reyes, EG</t>
  </si>
  <si>
    <t>Palencia, Jose Luis Diaz; Reyes, Enrique G.</t>
  </si>
  <si>
    <t>Analysis of a fire extinguishing model with a p-Laplacian operator and with non-linear advection and reaction</t>
  </si>
  <si>
    <t>We provide a new model to describe the fire extinguisher dynamics in an aircraft engine nacelle. We connect the mathematical properties introduced by a non-linear operator with the physical mechanisms of a fire extinguishing process. Some discussions about diffusion and non-linear parabolic operators are carried out to justify the governing equation. In addition, the model introduces phenomena like forced convection and fast reaction to account for the discharge of pressurized fire suppressant agent that is released from the fire bottles. The driving equation is firstly discussed analytically to obtain existence and uniqueness results concerning weak solutions. Afterward, we explore profiles of solutions and a characterization of the propagating extinguisher front is introduced. In order to provide a validity note on the analytical conceptions used, a flight test has been executed. Based on this, we obtain particular values for the parameters involved in the model. The proposed assessments permit to obtain different time levels, for which the suppressant agent extinguishes a fire. Such times depend strongly on the involved physical processes connected with diffusion, forced convection and reaction.</t>
  </si>
  <si>
    <t>Díaz, José/ACC-2892-2022; Reyes, Enrique/AAD-1308-2019</t>
  </si>
  <si>
    <t>Diaz Palencia, Jose Luis/0000-0002-4677-0970; Reyes, Enrique G./0000-0001-8460-444X</t>
  </si>
  <si>
    <t>10.1088/1402-4896/ace08c</t>
  </si>
  <si>
    <t>WOS:001021248000001</t>
  </si>
  <si>
    <t>Ahumada, M; Cárdenas-López, FA; Barrios, GA; Albarrán-Arriagada, F; Retamal, JC</t>
  </si>
  <si>
    <t>Ahumada, M.; Cardenas-Lopez, F. A.; Barrios, G. Alvarado; Albarran-Arriagada, F.; Retamal, J. C.</t>
  </si>
  <si>
    <t>Embedded quantum correlations in thermalized quantum Rabi systems</t>
  </si>
  <si>
    <t>We study the quantum correlations embedded in open quantum Rabi systems. Specifically, we study how the quantum correlation depends on the coupling strength, number of qubits, and reservoir temperatures. We numerically calculate the quantum correlations of up to three qubits interacting with a single field mode. We find that the embedded quantum correlations exhibit a maximum for a given coupling strength, which depends inversely on the number of subsystems and the reservoir temperature. We explore how this feature affects the performance of a many-qubit Otto heat engine, finding numerical evidence of a direct correspondence between the minimum of the extractable work and the maximum of the embedded quantum correlations in the qubit-cavity bipartition. Furthermore, as we increase the number of qubits, the maximum extractable work is reached at smaller values of the coupling strength. This paper could help design more sophisticated quantum heat engines that rely on many-body systems with embedded correlations as working substances.</t>
  </si>
  <si>
    <t>Retamal, Juan/G-6425-2010; Cárdenas López, Francisco/IXN-4622-2023; Alvarado, Gabriel/GLS-6513-2022</t>
  </si>
  <si>
    <t>Cardenas, Francisco/0000-0002-2916-2826; Albarran-Arriagada, Francisco/0000-0001-8899-3673; Retamal Abarzua, Juan Carlos/0000-0002-7174-7879; Ahumada, Maritza/0000-0003-0320-5768</t>
  </si>
  <si>
    <t>2469-9926</t>
  </si>
  <si>
    <t>2469-9934</t>
  </si>
  <si>
    <t>JUL 25</t>
  </si>
  <si>
    <t>10.1103/PhysRevA.108.012433</t>
  </si>
  <si>
    <t>WOS:001130449300005</t>
  </si>
  <si>
    <t>Saavedra, E; Castillo-Sepúlveda, S; Corona, RM; Altbir, D; Escrig, J; Carvalho-Santos, VL</t>
  </si>
  <si>
    <t>Saavedra, E.; Castillo-Sepulveda, S.; Corona, R. M.; Altbir, D.; Escrig, J.; Carvalho-Santos, V. L.</t>
  </si>
  <si>
    <t>Influence of curvature on the dynamical susceptibility of bent nanotubes</t>
  </si>
  <si>
    <t>In this work we analyze the influence of curvature on the dynamic properties of the magnetization in bent nanotubes. Our results show that both the resonance frequencies and the number of resonant peaks have a strong dependence on the ground state of the magnetization created by the curvature. Our results can be understood from the analysis of the effective anisotropy and the Dzyaloshinskii-Moriya interaction (DMI) induced by curvature. The ability to control the dynamic properties of these curved ferromagnets makes them excellent candidates for developing applications based on resonant modes of spin waves.</t>
  </si>
  <si>
    <t>Saavedra, Eduardo/IQS-4264-2023; Altbir, Dora/R-6781-2018; Carvalho-Santos, Vagson/E-8806-2013; Escrig, Juan/N-4304-2015</t>
  </si>
  <si>
    <t>Corona, Rosa/0000-0001-6054-5019; Castillo, Sebastian/0000-0001-7730-8773; Altbir, Dora/0000-0002-2945-4909; Carvalho-Santos, Vagson/0000-0002-2759-2152; Saavedra Diaz, Eduardo Andres/0000-0002-2842-2526; Escrig, Juan/0000-0002-3958-8185</t>
  </si>
  <si>
    <t>10.1016/j.rinp.2022.105290</t>
  </si>
  <si>
    <t>WOS:000772298200005</t>
  </si>
  <si>
    <t>Carrasco, JF; Bozkurt, D; Cordero, RR</t>
  </si>
  <si>
    <t>Carrasco, Jorge F.; Bozkurt, Deniz; Cordero, Raul R.</t>
  </si>
  <si>
    <t>A review of the observed air temperature in the Antarctic Peninsula. Did the warming trend come back after the early 21st hiatus?</t>
  </si>
  <si>
    <t>POLAR SCIENCE</t>
  </si>
  <si>
    <t>Recent changes in the near-surface air temperature (nSAT) in the Antarctic Peninsula (AP) suggests that the absence of 21st century warming on Antarctic Peninsula may be coming to end. To examine this, the long-term annual and seasonal variability of the nSAT at eight Antarctic stations located in the AP are analyzed using available data from the SCAR Reader database, complemented with data from the Chilean Weather Service (Frei and O'Higgins). An exponential filter was applied to the original annual and seasonal mean series to obtain a decadal-like variation of the nSAT. A stacked and the standardized anomaly of the nSAT record was constructed to examine the average regional behavior in the AP. Cumulative sum (CUSUM) and changepoint analysis were applied through the stacked nSAT series to highlight significant changes caused by variation in weather and climate. The CUSUM and bootstrapping analysis revealed two statistically significant breaking points during the 1978-2020 period. The first one occurred in the late nineties ending a warming period and making the beginning of a cooling period; the second one may have taken place in the mid-2010s and could mark the end of the warming pause. These trends appear to be consistent with the changes observed in the large-scale climate modes (i.e., the Antarctic Annular Mode - AAO).</t>
  </si>
  <si>
    <t>Bozkurt, Deniz/C-9797-2013; Cordero, Raul/M-7979-2017; Carrasco, Jorge/K-2949-2014</t>
  </si>
  <si>
    <t>Cordero, Raul R./0000-0001-7607-7993; Bozkurt, Deniz/0000-0003-1021-8241; Carrasco, Jorge/0000-0003-2154-5483</t>
  </si>
  <si>
    <t>1873-9652</t>
  </si>
  <si>
    <t>1876-4428</t>
  </si>
  <si>
    <t>10.1016/j.polar.2021.100653</t>
  </si>
  <si>
    <t>WOS:000670361800001</t>
  </si>
  <si>
    <t>Cuevas-Lara, C; Izquierdo, M; Zambom-Ferraresi, F; de Asteasu, MLS; Marín-Epelde, I; Chenhuichen, C; Zambom-Ferraresi, F; Ramírez-Vélez, R; García-Hermoso, A; Casas-Herrero, A; Capón-Sáez, A; Lozano-Vicario, L; Criado-Martín, I; Sánchez-Latorre, M; Antoñanzas-Valencia, C; Martínez-Velilla, N</t>
  </si>
  <si>
    <t>Cuevas-Lara, Cesar; Izquierdo, Mikel; Zambom-Ferraresi, Fabiola; Saez de Asteasu, Mikel L.; Marin-Epelde, Itxaso; Chenhuichen, Chenhui; Zambom-Ferraresi, Fabricio; Ramirez-Velez, Robinson; Garcia-Hermoso, Antonio; Casas-Herrero, Alvaro; Capon-Saez, Amaya; Lozano-Vicario, Lucia; Criado-Martin, Irene; Sanchez-Latorre, Marina; Antonanzas-Valencia, Cristina; Martinez-Velilla, Nicolas</t>
  </si>
  <si>
    <t>A Feasibility Study for Implementation Health Arcade: A Study Protocol for Prototype of Multidomain Intervention Based on Gamification Technologies in Acutely Hospitalized Older Patients</t>
  </si>
  <si>
    <t>The aim of this article is to present the research protocol for a study that will evaluate the feasibility of implementation of Health Arcade prototype multidomain intervention based on physical and cognitive training using gamification technologies at improving care for older people hospitalized with an acute illness. A total of 40 older people will be recruited in a tertiary public hospital at Pamplona, Spain. The intervention duration will be four to nine consecutive days. Additionally, the patients will receive encouragement for maintaining active during hospital stay and for reducing sedentary time. Primary implementation-related outcomes will be the adherence to treatment (i.e., number of games and days completed during the intervention period), reaction or response time, and number of success and failures in each game per day. Secondary implementation-related outcomes will be self-perceived grade of difficulty, satisfaction, enjoyment per game and session, and self-perceived difficulties in handling the prototype hardware. Other health-related outcomes will also be assessed such as functional capacity in activities of daily living, mood status, quality of life, handgrip strength, physical activity levels, and mobility. The current study will provide additional evidence to support the implementation of multidomain interventions designed to target older persons with an acute illness based on friendly technology. The proposed intervention will increase accessibility of in-clinical geriatrics services, improve function, promote recovery of the health, and reduce economic costs.</t>
  </si>
  <si>
    <t>herrero, Alvaro/A-8975-2017; Zambom-Ferraresi, Fabíola/H-1700-2014; Cuevas-Lara, César/AAF-2245-2020; Asteasu, Mikel/A-8973-2017; Chen, Chenhui/KCX-8553-2024; García-Hermoso, Antonio/ADU-2591-2022; Garcia-Hermoso, Antonio/P-1857-2017; Martinez-Velilla, Nicolas/A-6942-2017; Izquierdo, Mikel/A-4894-2010; Ramirez-Velez, Robinson/D-5311-2016; Zambom-Ferraresi, Fabricio/M-1906-2018</t>
  </si>
  <si>
    <t>Cuevas-Lara, Cesar/0000-0002-4282-8450; Garcia-Hermoso, Antonio/0000-0002-1397-7182; Martinez-Velilla, Nicolas/0000-0001-9576-9960; Izquierdo, Mikel/0000-0002-1506-4272; Ramirez-Velez, Robinson/0000-0003-3075-6960; Chenhuichen, Chenhui/0000-0001-9232-7497; Zambom-Ferraresi, Fabricio/0000-0002-8377-9827; Zambom-Ferraresi, Fabiola/0000-0001-7068-5269; Lozano Vicario, Lucia/0000-0003-2326-6891; Saez de Asteasu, Mikel Lopez/0000-0002-4111-5045</t>
  </si>
  <si>
    <t>10.3390/ijerph17218058</t>
  </si>
  <si>
    <t>WOS:000588966900001</t>
  </si>
  <si>
    <t>Kavitha, SM; Venkatesan, G; Avudalappan, S; Flores, EIS</t>
  </si>
  <si>
    <t>Kavitha, Sethuraman Muthusamy; Venkatesan, G.; Avudalappan, Siva; Flores, Erick I. Saavedra</t>
  </si>
  <si>
    <t>Mechanical and flexural performance of self compacting concrete with natural fiber</t>
  </si>
  <si>
    <t>REVISTA DE LA CONSTRUCCION</t>
  </si>
  <si>
    <t>This paper investigates the effect of sisal fiber addition on fresh,mechanical properties of self compacting concrete(SCC) and flexural performance of fiber reinforced RC beams made with mineral admixtures like Meta Kaolin (MK) and Fly Ash (FA)which is an industrial waste. The mixes were prepared by varying MK content from 5% to 15% with 5% increment with constant fly ash content of 30%. The results reveal that increasing the content of MK beyond 10% leads to reduction in strength. And also the negative influence of MK and fiber addition on workability performance was overcome by the addition of FA, super plasticizer and viscosity modifying agent (VMA). Based on the test results it is evidenced that FA and MK make use of mineral admixture in the production of SCC. It also clarifies that the addition of sisal fiber improves mechanical properties of concrete. The research work shows that the ultimate load of fiber reinforced RC beams was raised when compared to normal RC beams. The flexural toughness and ductility of concrete was found to increase appreciably when sisal fiber was added.</t>
  </si>
  <si>
    <t>Avudaiappan, Siva/AAV-7579-2021; Govindan, Venkatesan/M-3232-2014; Flores, Erick/I-7646-2012</t>
  </si>
  <si>
    <t>AVUDAIAPPAN, SIVA/0000-0002-4289-4298</t>
  </si>
  <si>
    <t>0718-915X</t>
  </si>
  <si>
    <t>10.7764/RDLC.19.2.370</t>
  </si>
  <si>
    <t>WOS:000579018900016</t>
  </si>
  <si>
    <t>Ramírez-Carrasco, P; Paredes-Toledo, J; Romero-Hasler, P; Soto-Bustamante, E; Díaz-Calderón, P; Robert, P; Giménez, B</t>
  </si>
  <si>
    <t>Ramirez-Carrasco, Patricia; Paredes-Toledo, Javier; Romero-Hasler, Patricio; Soto-Bustamante, Eduardo; Diaz-Calderon, Paulo; Robert, Paz; Gimenez, Begona</t>
  </si>
  <si>
    <t>Effect of Adding Curcumin on the Properties of Linseed Oil Organogels Used as Fat Replacers in Pates</t>
  </si>
  <si>
    <t>Beeswax-based organogels were formulated with linseed oil and curcumin according to a statistical design to increase the oxidative stability of spreadable meat products (pate) where these organogels (OGCur) were incorporated as fat substitutes. The organogels obtained under optimal conditions (9.12% beeswax, 0.54% curcumin) showed a mechanical strength similar to pork backfat determined by back extrusion and high oil binding capacity (OBC; over 90%). The incorporation of curcumin at this concentration did not lead to any change in the arrangement of the crystal network, OBC, and mechanical, thermal, or rheological properties of the organogels. Beeswax organogels with and without curcumin, with a beta' orthorhombic subcell structure, showed a predominant elastic behavior and a melting event wider and shifted to lower temperatures than pure beeswax, suggesting a plasticizer effect of the oil in the wax crystals. The oxidative stability of the organogels under accelerated oxidation conditions increased due to the incorporation of curcumin. A decrease in the curcumin content was found from day 4 at 60 degrees C, together with a significantly lower formation of both peroxides and malonaldehyde. When pork backfat was partially or totally replaced by OGCur in pates, a noticeable protective effect of curcumin against lipid oxidation was found during chilled storage</t>
  </si>
  <si>
    <t>Romero-Hasler, Patricio/T-7993-2019; Robert, Paz/G-8198-2014; Romero-Hasler, Patricio/P-6631-2018</t>
  </si>
  <si>
    <t>Soto-Bustamante, Eduardo/0000-0002-0735-5715; Ramirez Carrasco, Patricia Soledad/0009-0003-7151-4180; Romero-Hasler, Patricio/0000-0002-9211-2514; Paredes-Toledo, Javier/0000-0003-1354-2434; Diaz-Calderon, Paulo/0000-0002-8375-2210</t>
  </si>
  <si>
    <t>10.3390/antiox9080735</t>
  </si>
  <si>
    <t>WOS:000565524500001</t>
  </si>
  <si>
    <t>Gramsch, E; Muñoz, A; Langner, J; Morales, L; Soto, C; Pérez, P; Rubio, MA</t>
  </si>
  <si>
    <t>Gramsch, Ernesto; Munoz, Alicia; Langner, Joakim; Morales, Luis; Soto, Cristian; Perez, Patricio; Rubio, Maria A.</t>
  </si>
  <si>
    <t>Black carbon transport between Santiago de Chile and glaciers in the Andes Mountains</t>
  </si>
  <si>
    <t>ATMOSPHERIC ENVIRONMENT</t>
  </si>
  <si>
    <t>Near Santiago de Chile and towards the Andes Mountains there are several areas sensitive to contamination, such as, the Natural Sanctuary Yerba Loca, National Park Rio Clarillo, several glaciers and the Farellones ski resort. The health of the glaciers is very important, because a large fraction of the water supply of Santiago is provided by them. To study the influence of Santiago's contamination on the glaciers, a black carbon monitoring campaign was performed from December 2014 (summer) until July 2015 (winter). Four monitors were placed between the city and the glaciers in the mountain along with meteorological stations. An analysis of the measurements indicates a direct transport of black carbon between Santiago de Chile and the Andes Mountains with a travel time of about 11 h in summer and 9 h in winter. Black carbon concentration at the mountain (La Parva) is higher in summer and lower in winter, a trend that is opposite to any other city in Chile. This is the only town in Chile in which transport, not local emissions, is mostly responsible for the BC observed. The fraction of BC in La Parva compared to Las Condes in the eastern part of Santiago changes from 14% in December to 2% in July. Model simulations of black carbon using high resolution meteorological data generated by a regional climate model confirms the difference in summertime and wintertime transport of black carbon from Santiago to La Parva. In December (summer) emissions from Santiago are estimated to contribute with 51% to the concentrations in La Parva while nearby sources from mining activities and long distance transport from other sources in central Chile contributes with 37 and 12% respectively. In July (winter) simulated contributions are dominated by long range transport from other sources with a 50% contribution while simulated contributions from sources in Santiago and from mining are both 25%. The contribution from mining activities is uncertain due to inaccuracies in simulated wind speed and direction in the mountains and too coarse model resolution and therefore warrants further investigation.</t>
  </si>
  <si>
    <t>Bajo, Maria/ABF-6991-2020; Munoz, Alicia/MCJ-6705-2025; Soto, Cristian/I-1141-2013; Morales-Salinas, Luis/B-5545-2014; Gramsch, Ernesto/M-5507-2017</t>
  </si>
  <si>
    <t>1352-2310</t>
  </si>
  <si>
    <t>1873-2844</t>
  </si>
  <si>
    <t>10.1016/j.atmosenv.2020.117546</t>
  </si>
  <si>
    <t>WOS:000539152100012</t>
  </si>
  <si>
    <t>Herrera-Valenzuela, T; Valdés-Badilla, P; Franchini, E</t>
  </si>
  <si>
    <t>Herrera-Valenzuela, Tomas; Valdes-Badilla, Pablo; Franchini, Emerson</t>
  </si>
  <si>
    <t>High-intensity interval training recommendations for combat sports athletes during the COVID-19 pandemic</t>
  </si>
  <si>
    <t>The COVID-19 pandemic has caused governments to establish quarantine and social distancing for the population in order to decrease the contamination peak, factors that have affected the athletes' preparation. In this context, we developed some high-intensity interval training (HIIT) recommendations for Olympic combat sports athletes that can be performed at home. The HIIT protocols should be added by body mass-based muscle strengthening exercises (similar to technical exercises), with the goal to preserve athletes' muscle mass and physical fitness. Finally, emergency situations require contingency plans for sport.</t>
  </si>
  <si>
    <t>10.18002/rama.v15i1.6230</t>
  </si>
  <si>
    <t>WOS:000567112000001</t>
  </si>
  <si>
    <t>Huynh, D; Giebner, F; Kaschabek, SR; Rivera-Araya, J; Levican, G; Sand, W; Schlömann, M</t>
  </si>
  <si>
    <t>Huynh, Dieu; Giebner, Fabian; Kaschabek, Stefan R.; Rivera-Araya, Javier; Levican, Gloria; Sand, Wolfgang; Schloemann, Michael</t>
  </si>
  <si>
    <t>Effect of sodium chloride on Leptospirillum ferriphilum DSM 14647T and Sulfobacillus thermosulfidooxidans DSM 9293T: Growth, iron oxidation activity and bioleaching of sulfidic metal ores</t>
  </si>
  <si>
    <t>MINERALS ENGINEERING</t>
  </si>
  <si>
    <t>9th International Symposium on Biohydrometallurgy (Biohydromet)</t>
  </si>
  <si>
    <t>JUN 12-13, 2018</t>
  </si>
  <si>
    <t>Windhoek, NAMIBIA</t>
  </si>
  <si>
    <t>Minerals Engn Inst,Outotec</t>
  </si>
  <si>
    <t>In bio-hydrometallurgical operations, several studies found that besides having inhibitory effects chloride may also enhance the bacterial leaching of metal sulfides. This study compares the effect of chloride on bacterial growth, iron oxidation activity and bioleaching performance of Leptospirillum ferriphilum and Sulfobacillus thermosulfidooxidans. The exposure to elevated NaCl concentrations affected cell growth and iron oxidation rate in both strains. Sb. thermosulfidooxidans showed better tolerance to NaCl than L. ferriphilum, with the concentration that inhibited biological iron oxidation and bacterial growth completely being 325 mM and 525 mM NaCl for L ferriphilum and Sb. thermosulfidooxidans, respectively. At 100 mM NaCl, cell growth and iron oxidation of L. ferriphilum were severely slowed down while for Sb. thermosulfidooxidans, in contrast, they appeared almost unaffected. Additionally, while only 22% of L. ferriphilum cells survived after 18 h exposure to 100 mM NaCl, viability of Sb. thermosulfidooxidans was not strongly affected by 300 mM NaCl. Bioleaching of chalcopyrite and sphalerite were studied. For chalcopyrite, bioleaching by Sb. thermosulfidooxidans in the presence of 200 mM was similar to its performance in the absence of NaCl. However, bioleaching by L. ferriphilum was reduced by 50% in the presence of 200 mM NaCl. For sphalerite, bioleaching by both bacteria, L. ferriphilum and Sb. thermosulfidooxidans, was inhibited significantly in the presence of 200 mM NaCl. This study indicates that Sb. thermosulfidooxidans will be more suitable than L. ferriphilum to operate bioleaching with high chloride concentrations. Additionally, since bioleaching performance of chalcopyrite differed from bioleaching of sphalerite under similar conditions, further investigations on bioleaching with different sulfidic minerals in the presence of chloride ions are necessary.</t>
  </si>
  <si>
    <t>Levican, Gloria/R-5191-2019</t>
  </si>
  <si>
    <t>Levican, Gloria/0000-0002-1275-7399</t>
  </si>
  <si>
    <t>0892-6875</t>
  </si>
  <si>
    <t>10.1016/j.mineng.2019.04.033</t>
  </si>
  <si>
    <t>WOS:000482508400007</t>
  </si>
  <si>
    <t>Ulloa, PA; Vidal, J; de Dicastillo, CL; Rodriguez, F; Guarda, A; Cruz, RMS; Galotto, MJ</t>
  </si>
  <si>
    <t>Ulloa, P. A.; Vidal, J.; Lopez de Dicastillo, C.; Rodriguez, F.; Guarda, A.; Cruz, R. M. S.; Galotto, M. J.</t>
  </si>
  <si>
    <t>Development of poly(lactic acid) films with propolis as a source of active compounds: Biodegradability, physical, and functional properties</t>
  </si>
  <si>
    <t>JOURNAL OF APPLIED POLYMER SCIENCE</t>
  </si>
  <si>
    <t>Active films (AFs) using poly(lactic acid) (PLA) as a polymeric matrix containing various propolis concentrations (5, 8.5, and 13%) as the active agent (AA) were developed using a casting method. The purpose was to determine the effects of the incorporation of AA on the physical properties of the films and to evaluate the antioxidant and antimicrobial activities. Tensile strength and elastic modulus of the AFs decreased relative to the control (PLA without AA). Introducing the active substances from propolis into the PLA also affected its thermal properties (glass transition). Adding AAs to the polymer generated more opacity with a green-yellowish color compared to the control. In addition, AFs exhibited reduced water vapor permeability as the AA concentration increased. Biodegradation assay showed that the AFs degraded faster than the control. AFs exhibited antioxidant activity, which was measured as the ability to scavenge free radicals (2,2-diphenyl-1-picrylhydrazyl and 2,2-azino-bis(3-ethylbenzothiazoline-6-sulfonate)), due to the presence of bioactive compounds (phenolics). Antimicrobial activity was evaluated against Escherichia coli and showed a reduction over 4-log cycles. Therefore, incorporation of propolis is a useful strategy for the development of active packaging with antioxidant and antimicrobial effects, which increase the shelf life of food products. (c) 2018 Wiley Periodicals, Inc. J. Appl. Polym. Sci. 2019, 136, 47090.</t>
  </si>
  <si>
    <t>Vidal, Juan/AAU-2991-2020; Rodríguez, Francisco/I-5283-2018; Cruz, Rui/R-9057-2019; Lopez-de-Dicastillo, Carol/C-6347-2019</t>
  </si>
  <si>
    <t>Ulloa, Pablo A/0000-0002-7267-9505; Rodriguez-Mercado, Francisco/0000-0002-0530-6653; Cruz, Rui/0000-0002-0839-1881; Lopez-de-Dicastillo, Carol/0000-0003-0067-9765</t>
  </si>
  <si>
    <t>0021-8995</t>
  </si>
  <si>
    <t>1097-4628</t>
  </si>
  <si>
    <t>10.1002/app.47090</t>
  </si>
  <si>
    <t>WOS:000454226300014</t>
  </si>
  <si>
    <t>Torres, NL; Laurido, C; Pavan, MF; Zapata, A; Martínez, JL</t>
  </si>
  <si>
    <t>Torres, Nilka L.; Laurido, Claudio; Fernanda Pavan, Maria; Zapata, Alvin; Martinez, Jose L.</t>
  </si>
  <si>
    <t>Medicinal plants of Panama 2: Ethnobotanics of Forestal Reserve La Tronosa, Province of Los Santos</t>
  </si>
  <si>
    <t>The Tronosa Forest Reserve is located in the province of Los Santos, Tonosi district with an area of 20.579 ha. The aim of the research was to determine the use of medicinal plants. The methodology includes surveys ethnobotanical walks and implementation in communities: La Bijagual, Culebra, Corotua and La Bonita. Species were identified 108 and 1855 data source and used portion of the plants, the preparation form and processed healing properties. La Bonita was the community that uses the medicinal plants by 38%. The part of the plant used was the leaf (69%) and are prepared in wash (65%) and tea (57%). The plants most commonly used are aloe, mastranto and sage. The most common diseases are respiratory (19,7%), body pain (19%) and stomach problems (18%).</t>
  </si>
  <si>
    <t>Martinez, Jose/AAA-1725-2020</t>
  </si>
  <si>
    <t>Martinez, Jose/0000-0002-0177-4847</t>
  </si>
  <si>
    <t>WOS:000405695600003</t>
  </si>
  <si>
    <t>García-Hermoso, A; Martínez-Vizcaíno, V; Recio-Rodríguez, JI; Sánchez-López, M; Gómez-Marcos, MA; García-Ortiz, L</t>
  </si>
  <si>
    <t>Garcia-Hermoso, Antonio; Martinez-Vizcaino, Vicente; Ignacio Recio-Rodriguez, Jose; Sanchez-Lopez, Mairena; Angel Gomez-Marcos, Manuel; Garcia-Ortiz, Luis</t>
  </si>
  <si>
    <t>EVIDENT Grp</t>
  </si>
  <si>
    <t>Sedentary behaviour patterns and carotid intima-media thickness in Spanish healthy adult population</t>
  </si>
  <si>
    <t>ATHEROSCLEROSIS</t>
  </si>
  <si>
    <t>Objective: The aim of this study was to analyze the association between sedentary behaviour, as assessed by an accelerometer, and mean carotid intima-media thickness (IMT). Methods: The study included 263 healthy subjects belonging to the EVIDENT study (59.3% women). Carotid IMT was measured by carotid ultrasonography. Sedentary behaviour was measured objectively over 7 days using ActiGraph accelerometers. Thresholds of 10 consecutive minutes were used to establish sedentary bouts, and assess the number (n/day), and length &gt;= 10 min (min/day). Results: Total sedentary time and sedentary time in bouts &gt;= 10 min was higher in participants with a larger mean carotid IMT (&gt; P75). Otherwise, this sedentary time in bouts &gt;= 10 min parameter was weakly associated with augmented carotid IMT injury in the logistic regression model. Conclusion: Total sedentary time and sedentary time in bouts &gt;= 10 min, as assessed by accelerometer, was positively but weakly associated with carotid IMT. Equally, this sedentary time in bouts &gt;= 10 min was associated with carotid injury, but disappears after adjusting for potential confounders. These findings support that reducing sedentary time and increasing breaks in bouts of sedentary time might represent a useful additional strategy in the cardiovascular disease prevention. (C) 2015 Elsevier Ireland Ltd. All rights reserved.</t>
  </si>
  <si>
    <t>García-Hermoso, Antonio/ADU-2591-2022; SANCHEZ-LOPEZ, MAIRENA/J-7933-2016; Garcia Ortiz, Luis/AAC-4862-2021; MARTINEZ VIZCAINO, VICENTE/R-4336-2017; Martin-Cantera, Carlos/D-2693-2011; Garcia-Hermoso, Antonio/P-1857-2017</t>
  </si>
  <si>
    <t>Garcia-Ortiz, Luis/0000-0001-6555-8302; Sanchez Lopez, Mairena/0000-0002-0217-0623; MARTINEZ VIZCAINO, VICENTE/0000-0001-6121-7893; Recio-Rodriguez, Jose I/0000-0002-3772-8746; Martin-Cantera, Carlos/0000-0003-0656-8126; Gomez-Marcos, Manuel A/0000-0003-0133-6123; Garcia-Hermoso, Antonio/0000-0002-1397-7182</t>
  </si>
  <si>
    <t>0021-9150</t>
  </si>
  <si>
    <t>1879-1484</t>
  </si>
  <si>
    <t>10.1016/j.atherosclerosis.2015.02.028</t>
  </si>
  <si>
    <t>WOS:000351061600042</t>
  </si>
  <si>
    <t>Oróstica, ML; López, J; Zuñiga, LM; Utz, D; Díaz, P; Reuquen, P; Parada-Bustamante, A; Cardenas, H; Orihuela, PA</t>
  </si>
  <si>
    <t>Orostica, Maria L.; Lopez, John; Zuniga, Lidia M.; Utz, Daniella; Diaz, Patricia; Reuquen, Patricia; Parada-Bustamante, Alexis; Cardenas, Hugo; Orihuela, Pedro A.</t>
  </si>
  <si>
    <t>Mating Decreases Plasma Levels of TGFβ1 and Regulates Myosalpinx Expression of TGFβ1/TGFBR3 in the Rat</t>
  </si>
  <si>
    <t>Mating shuts down a 2-methoxyestradiol (2ME)-dependent, non-genomic activity that is responsible for accelerating egg transport in the rat oviduct. The aims of this work were to investigate the role of TGF1 in this 2ME-reduced activity and to determine the effect of mating on the expression and distribution of TGF1 and its receptor TGFBR3 in the rat oviduct. We determined the level of TGF1 in the plasma and oviductal fluid at 1, 3, or 6hr during Day 1 of the oestrous cycle in unmated or mated animals. We then examined if 2ME accelerates oviductal egg transport in unmated rats that were previously treated with a neutralizing TGF1 antibody. The expression of Tgfb1 and Tgfbr3 mRNA and the level and distribution of TGFBR3 protein in the oviduct were also determined at these time points. Mating decreased TGF1 in the plasma, but not in the oviductal fluid, whereas antibody neutralization of circulating TGF1 did not prevent the effect of 2ME on egg transport. Mating decreased Tgfb1 and hastened the increase in TGFBR3 abundance in the myosalpinx. These results indicate that mating decreased circulating levels of TGF1 without shutting down the non-genomic 2ME response that normally accelerates egg transport. Levels of Tgfb1 transcript and TGFBR3 protein, however, changed in the myosalpinx of mated rats, suggesting a role for mating-associated factors in the autocrine and paracrine effects of TGF in the oviduct. Mol. Reprod. Dev. 81: 1053-1061, 2014. (c) 2014 Wiley Periodicals, Inc.</t>
  </si>
  <si>
    <t>Parada-Bustamante, Alexis/I-1127-2013; Díaz, Patricia/GOV-2972-2022</t>
  </si>
  <si>
    <t>Parada Bustamante, Alexis/0000-0002-3240-4961; Zuniga Condor, Lidia M/0000-0001-8655-1994; Diaz, Patricia/0000-0003-2099-1019</t>
  </si>
  <si>
    <t>10.1002/mrd.22427</t>
  </si>
  <si>
    <t>WOS:000344685600009</t>
  </si>
  <si>
    <t>Hidalgo-Rasmussen, CA; Rajmil, L; Espinoza, RM</t>
  </si>
  <si>
    <t>Alejandro Hidalgo-Rasmussen, Carlos; Rajmil, Luis; Montano Espinoza, Rosa</t>
  </si>
  <si>
    <t>Cross-cultural adaptation of the KIDSCREEN questionnaire to measure health-related quality of life in the 8 to 18 year-old Mexican population</t>
  </si>
  <si>
    <t>CIENCIA &amp; SAUDE COLETIVA</t>
  </si>
  <si>
    <t>The scope of this study was to develop the culturally-adapted version of the KIDSCREEN- 52 questionnaire for Mexican adolescents aged 8 to 18, and to analyze its reliability and validity. A translation and back translation was carried out from English to Spanish and vice versa. Cognitive interviews were conducted and confirmatory factor analysis (CFA) was used to verify the content validity of the questionnaire. Based on previous studies (i.e. the Argentinian version) mean scores of dimensions were compared to assess construct validity. Reliability was also analyzed. The results showed that the content validity of the version retained the original concepts, duly adapted to the Mexican culture and language. The AFC confirmed the structure of the 10 original dimensions. Two scales achieved the ceiling effect. The instrument's internal consistency was acceptable (ranged from 0.5 to 0.86), and reproducibility obtained low coefficients in 5 dimensions (0.22 to 0.78). The Mexican KIDSCREEN- 52 version is equivalent to the original in terms of content, structure, and construct validity. The conclusion was that the KIDSCREEN-52 tool is suitable for application in the Mexican population aged 8 to 18. Further studies are needed to explore its application in clinical settings.</t>
  </si>
  <si>
    <t>; Hidalgo-Rasmussen, Carlos Alejandro/L-3565-2019</t>
  </si>
  <si>
    <t>Rajmil, Luis/0000-0002-6625-0649; Hidalgo-Rasmussen, Carlos Alejandro/0000-0002-5287-2076; Montano Espinoza, Rosa/0009-0000-3367-9687</t>
  </si>
  <si>
    <t>1413-8123</t>
  </si>
  <si>
    <t>1678-4561</t>
  </si>
  <si>
    <t>10.1590/1413-81232014197.09682013</t>
  </si>
  <si>
    <t>WOS:000339800300025</t>
  </si>
  <si>
    <t>Guzmán, D; Navea, L; Garín, J; Aguilar, C; Guzmán, A</t>
  </si>
  <si>
    <t>Guzman, D.; Navea, L.; Garin, J.; Aguilar, C.; Guzman, A.</t>
  </si>
  <si>
    <t>Study of the influence of Cu and Ni on the kinetics of strain-induced martensite in austempered ductile cast iron</t>
  </si>
  <si>
    <t>The objective of this work was to study the influence of copper and nickel on the kinetics of strain-induced martensite in austempered ductile cast iron. The austempered ductile cast irons were obtained from two ductile cast irons with different copper and nickel contents by means of austempering treatment. The deformation was carried out using a rolling mill. The quantification of the phases was obtained by means of X ray diffraction, while the microstructural characterization was carried out using optical and scanning electron microscopy. It was proved that the kinetics of strain-induced martensite in austempered ductile cast iron can be modeled using the equations proposed by Olson-Cohen and Chang et al. Based on the results obtained from these analyses, it is possible to conclude that the nickel and copper complicate the martensite transformation because these elements increase the staking fault energy of the austenite and its thermodynamic stability.</t>
  </si>
  <si>
    <t>Aguilar, Claudio/B-6774-2011</t>
  </si>
  <si>
    <t>Aguilar, Claudio/0000-0002-9013-5835; Guzman Mendez, Danny/0000-0002-8020-9247</t>
  </si>
  <si>
    <t>MAY-JUN</t>
  </si>
  <si>
    <t>10.3989/revmetalm.1236</t>
  </si>
  <si>
    <t>WOS:000326617400004</t>
  </si>
  <si>
    <t>Lavín, R; Denardin, JC; Cortés, A</t>
  </si>
  <si>
    <t>Lavin, R.; Denardin, J. C.; Cortes, A.</t>
  </si>
  <si>
    <t>Magnetic properties of nanowire arrays</t>
  </si>
  <si>
    <t>REVISTA MEXICANA DE FISICA</t>
  </si>
  <si>
    <t>This paper shows a general study of the magnetic properties of Ni nanowire arrays; specifically the influence of the electrodeposition potential, length, diameter, and the magnetostatic interaction between nanowires electrodeposited in alumina membranes. The behavior of. the coercivity as a function of the length and diameter of the nanowires is explained through an analytical model. Additionally, the magnetic properties as function of the temperature in Ni and the hysteresis curves of segmented Ni/Co nanowires are presented.</t>
  </si>
  <si>
    <t>Denardin, Juliano/S-6407-2019</t>
  </si>
  <si>
    <t>0035-001X</t>
  </si>
  <si>
    <t>WOS:000312353800004</t>
  </si>
  <si>
    <t>Celentano, DJ; Guelorget, B; François, M; Cruchaga, MA; Slimane, A</t>
  </si>
  <si>
    <t>Celentano, Diego J.; Guelorget, Bruno; Francois, Manuel; Cruchaga, Marcela A.; Slimane, Amara</t>
  </si>
  <si>
    <t>Numerical simulation and experimental validation of the microindentation test applied to bulk elastoplastic materials</t>
  </si>
  <si>
    <t>MODELLING AND SIMULATION IN MATERIALS SCIENCE AND ENGINEERING</t>
  </si>
  <si>
    <t>The main objective of this work is to compare numerically simulated load-indentation depth curves together with deformation and stress fields underneath a sharp indenter for a set of mystical materials. Firstly, a numerical simulation and experimental validation of the microindentation test applied to three different bulk elastoplastic materials (copper, stainless steel and pure aluminium) using two indenters (Berkovich and spherical) are presented. The simulation of these microindentation tests is carried out using the finite element large strain elastoplastic and contact models. The corresponding results are particularly aimed at addressing the following aspects: the influence of the indenter geometry on both the load-indentation depth curve and range of plastic strains involved in the test, the comparison of the 3D results for the sharp indenter with those of the 2D approximation, the capabilities of the modelling through experimental validation of the numerical predictions and, in addition, an assessment of the indentation size effect. Secondly, the numerical results of Berkovich indentation applied to a set of mystical materials are exhaustively discussed. Although it is effectively shown that these mystical materials exhibit indistinguishable load-penetration depth curves during the loading phase, an important aspect that has not been previously addressed is that some clear differences in their responses are obtained for the unloading stage. Finally, the deformation and stress contours at the maximum indentation force and after unloading are particularly analysed.</t>
  </si>
  <si>
    <t>Guelorget, Bruno/C-3770-2009; Celentano, Diego/JQW-5027-2023; Francois, Manuel/E-7339-2012; Cruchaga, Marcela/M-7522-2014</t>
  </si>
  <si>
    <t>Francois, Manuel/0000-0002-6312-8568; Cruchaga, Marcela/0000-0002-8708-2402</t>
  </si>
  <si>
    <t>0965-0393</t>
  </si>
  <si>
    <t>1361-651X</t>
  </si>
  <si>
    <t>10.1088/0965-0393/20/4/045007</t>
  </si>
  <si>
    <t>WOS:000305477800007</t>
  </si>
  <si>
    <t>Aguirre, MJ; Isaacs, M; Matsuhiro, B; Mendoza, L; Santos, LS; Torres, S</t>
  </si>
  <si>
    <t>Aguirre, Maria J.; Isaacs, Mauricio; Matsuhiro, Betty; Mendoza, Leonora; Santos, Leonardo S.; Torres, Simonet</t>
  </si>
  <si>
    <t>Anthocyanin composition in aged Chilean Cabernet Sauvignon red wines</t>
  </si>
  <si>
    <t>Anthocyanins in aged Cabernet Sauvignon red wines were studied by HPLC-MS. The major anthocyanin in 6, 7, and 8 year old red wine extracts was the dimer vitisin A produced by condensation of malvidin-3-O-glucoside mediated by pyruvic acid. In aged wine, the content of malvidin-3-O-glucoside decreased with age with a concomitant increase of vitisin A. The latter is accompanied by several condensation products with molecular weight up to 1500 m/z. Differential pulse voltammetry indicated that aged wines have lower antioxidant capacity than young wine (400 mV), but higher than malvidin-3-O-glucoside (483 mV). Tafel's plots showed that the electrochemical process occurring in aged wines is different from young wines. Six, seven and eight year old wines show similar behaviour with plots of 234, 177 and 188 mV/dec, respectively. These values are higher than the expected 120 mV/dec corresponding to a first electronic transfer but smaller compared to the 523 mV/dec corresponding to young wine. (C) 2011 Elsevier Ltd. All rights reserved.</t>
  </si>
  <si>
    <t>Aguirre, Maria/A-3935-2013; Isaacs, Mauricio/N-3027-2013; Santos, Leonardo/A-7953-2008</t>
  </si>
  <si>
    <t>Santos, Leonardo/0000-0002-1697-4200; Isaacs Casanova, Mauricio/0000-0003-0503-0949; Aguirre, Maria/0000-0003-1134-4469</t>
  </si>
  <si>
    <t>10.1016/j.foodchem.2011.05.009</t>
  </si>
  <si>
    <t>WOS:000293421400039</t>
  </si>
  <si>
    <t>Flores, EIS; Neto, EAD</t>
  </si>
  <si>
    <t>Saavedra Flores, E. I.; de Souza Neto, E. A.</t>
  </si>
  <si>
    <t>Remarks on symmetry conditions in computational homogenisation problems</t>
  </si>
  <si>
    <t>ENGINEERING COMPUTATIONS</t>
  </si>
  <si>
    <t>Purpose - The purpose of this paper is to use symmetry conditions for the reduction of computing times in problems involving finite element-based multi-scale constitutive models of nonlinear heterogeneous media. Design/methodology/approach - Two types of representative volume element (RVE) symmetry often found in practice are considered: staggered-translational and point symmetry. These are analyzed under three types RVE of kinematical constraints: periodic boundary fluctuations (typical of periodic media), linear boundary displacements (which gives an upper bound for the macroscopic stiffness) and the minimum kinematical constraint (corresponding to uniform boundary tractions and providing a lower bound for the macroscopic stiffness). Findings - Numerical examples show that substantial savings in computing times are achieved by taking advantage of such symmetries. These are particularly pronounced in fully coupled two-scale analyses, where the macroscopic equilibrium problem is solved simultaneously with a large number of microscopic equilibrium problems at Gauss-point level. Speed-up factors in excess of seven have been found in such cases, when both symmetry conditions considered are present at the same time. Originality/value - This paper extends the original considerations of Ohno et at. to account for other RVE kinematical constraints, namely, the linear boundary displacement and the minimum kinematical constraint (or uniform boundary traction model). Provides a more precise assessment of the impact of the use of such symmetries on computing times by means of numerical examples. In addition, for completeness, the direct enforcement of such constraints within a Newton-based finite element solution procedure for the RVE equilibrium problem is detailed in the paper.</t>
  </si>
  <si>
    <t>Flores, Erick/I-7646-2012</t>
  </si>
  <si>
    <t>de Souza Neto, Eduardo/0000-0002-9378-4590</t>
  </si>
  <si>
    <t>0264-4401</t>
  </si>
  <si>
    <t>10.1108/02644401011044612</t>
  </si>
  <si>
    <t>WOS:000281276000012</t>
  </si>
  <si>
    <t>Silva, JR; Livacic-Rojas, P; Slachevsky, A</t>
  </si>
  <si>
    <t>Silva, Jaime R.; Livacic-Rojas, Pablo; Slachevsky C, Andrea</t>
  </si>
  <si>
    <t>Differences among chronic restrained eaters. The influence of motivational systems</t>
  </si>
  <si>
    <t>Background: Restrained eaters (RE) are individuals who restrain their food intake on a regular basis as they are frightened to gain weight. However, they tend to overeat tinder conditions of anxiety. It has been shown that RE possess a behavioral inhibition system that is more active in tonic terms which would partially explain their affective vulnerability. Even so, the influence of variations in the activation levels of the emotional systems on the eating behavior of a RE is still unknown. Our hypothesis is that variations of such systems will give place to two types of RE a successful or a non-successful one. Aim: To assess the influence of variations on the activation of motivational systems in food intake of RE. Materials and methods: As part of a factorial experimental design, 105 undergraduate university students were part of an experimental test for inducting food intake. Then they reported their levels of dietary restraint and their emotional behavioral preferences. Results: Differences in the activation of motivational systems were significantly related to differences in food intake (F=7210; p=0.001). Additionally, food intake for those RE with a predominant inhibition system tended to be higher than for those with a more active approach system, though the latter did not reach a significant difference (F=0.718; p=0.399). Conclusions: Although more investigations are required, our data suggest that the success of retaining the diet among the RE would depend on their profile of affective reactivity (affective style). There are putative implications for research on anorexia and obesity.</t>
  </si>
  <si>
    <t>Silva, Jaime/D-8200-2017; Slachevsky, Andrea/P-4039-2014</t>
  </si>
  <si>
    <t>Slachevsky, Andrea/0000-0001-6285-3189</t>
  </si>
  <si>
    <t>WOS:000239580200009</t>
  </si>
  <si>
    <t>Tantaleán, JC; Araya, MA; Saavedra, CP; Fuentes, DE; Pérez, JM; Calderón, IL; Youderian, P; Vásquez, CC</t>
  </si>
  <si>
    <t>The Geobacillus stearothermophilus V iscS gene, encoding cysteine desulfurase, confers resistance to potassium tellurite in Escherichia coli K-12</t>
  </si>
  <si>
    <t>JOURNAL OF BACTERIOLOGY</t>
  </si>
  <si>
    <t>Many eubacteria are resistant to the toxic oxidizing agent potassium tellurite, and tellurite resistance involves diverse biochemical mechanisms. Expression of the iscS gene from Geobacillus stearothermophilus V, which is naturally resistant to tellurite, confers tellurite resistance in Escherichia coli K-12, which is naturally sensitive to tellurite. The G. stearothermophilus iscS gene encodes a cysteine desulfurase. A site-directed mutation in iscS that prevents binding of its pyridoxal phosphate cofactor abolishes both enzyme activity and its ability to confer tellurite resistance in E. coli. Expression of the G. stearothermophilus iscS gene confers tellurite resistance in tellurite-hypersensitive E. coli iscS and sodA sodB mutants (deficient in superoxide dismutase) and complements the auxotrophic requirement of an E. coli iscS mutant for thiamine but not for nicotinic acid. These and other results support the hypothesis that the reduction of tellurite generates superoxide anions and that the primary targets of superoxide damage in E. coli are enzymes with iron-sulfur clusters.</t>
  </si>
  <si>
    <t>Fuentes, Derie/GLS-8773-2022; Calderón, Iván/HJP-5156-2023; Perez-Donoso, Jose/G-3668-2013</t>
  </si>
  <si>
    <t>Fuentes, Derie/0000-0002-8189-8515; TANTALEAN, JUAN/0000-0002-9541-7102; Perez-Donoso, Jose/0000-0002-9506-1716</t>
  </si>
  <si>
    <t>0021-9193</t>
  </si>
  <si>
    <t>10.1128/JB.185.19.5831-5837.2003</t>
  </si>
  <si>
    <t>WOS:000185493500020</t>
  </si>
  <si>
    <t>Armijo, F; Trollund, E; Reina, M; Arévalo, MC; Aguirre, MJ</t>
  </si>
  <si>
    <t>Preparation and characterization of electrodes modified with metalloporphyrins.: Application to reduction of nitrite</t>
  </si>
  <si>
    <t>COLLECTION OF CZECHOSLOVAK CHEMICAL COMMUNICATIONS</t>
  </si>
  <si>
    <t>Six type-modified electrodes by electropolymerization of tetrakis(x-aminophenyl) porphyrins, where x = 2,3 or 4, andtheir Cu(II) and Ni(II) complexes in HCl solution were prepared and characterized by cyclic voltammetry, atomic force microscopy and UV-VIS spectroscopy. The morphology of the polymers depends on the position of the amino groups. The modified electrodes show interesting electrocatalytic activity toward reduction of nitrites. The catalytic behavior strongly depends on the nature of the metal and the position of the amino groups.</t>
  </si>
  <si>
    <t>Armijo, Francisco/G-3391-2013; Aguirre, Maria/A-3935-2013; Arévalo, M./AAY-1729-2020</t>
  </si>
  <si>
    <t>Armijo, Francisco/0000-0002-2479-6280; Arevalo, M. Carmen/0000-0003-4629-1643; Aguirre, Maria/0000-0003-1134-4469</t>
  </si>
  <si>
    <t>0010-0765</t>
  </si>
  <si>
    <t>1212-6950</t>
  </si>
  <si>
    <t>10.1135/cccc20031723</t>
  </si>
  <si>
    <t>WOS:000185534900013</t>
  </si>
  <si>
    <t>ELBAYDI, M; POILLERAT, G; REHSPRINGER, JL; GAUTIER, JL; KOENIG, JF; CHARTIER, P</t>
  </si>
  <si>
    <t>A SOL-GEL ROUTE FOR THE PREPARATION OF CO3O4 CATALYST FOR OXYGEN ELECTROCATALYSIS IN ALKALINE-MEDIUM</t>
  </si>
  <si>
    <t>JOURNAL OF SOLID STATE CHEMISTRY</t>
  </si>
  <si>
    <t>In order to increase the surface area of oxide electrocatalysts we have studied anew preparation method for Co3O4 spinel-type oxides. We have employed a sol-gel route, where the solution of Co(II)-carbonate in propionic acid is heated to form a resinic cobalt propionate. The powder obtained after pouring liquid nitrogen on the gel is immediately thermically treated up to 260-degrees-C to obtain the spinel pure phase Co3O4, as confirmed by X-ray diffractometry. SEM studies have shown that this precursor phase is near to monodisperse with 2-4 mum particle size. The oxide obtained this way has a BET surface area higher than the oxides prepared by the nitrate decomposition route. However, taking into account the roughness factor, the electrocatalytic activities are similar. (C) 1994 Academic Press, Inc.</t>
  </si>
  <si>
    <t>Rehspringer, Jean-Luc/0000-0002-8997-958X</t>
  </si>
  <si>
    <t>0022-4596</t>
  </si>
  <si>
    <t>10.1006/jssc.1994.1105</t>
  </si>
  <si>
    <t>WOS:A1994NG89200012</t>
  </si>
  <si>
    <t>Contreras, F; Rivero, K; Rivas-Pardo, JA; Liendo, F; Segura, R; Neira, N; Arenas-Salinas, M; Martín, MCS; Arenas, F</t>
  </si>
  <si>
    <t>Contreras, Fernanda; Rivero, Katherine; Rivas-Pardo, Jaime Andres; Liendo, Fabiana; Segura, Rodrigo; Neira, Nicole; Arenas-Salinas, Mauricio; Cortez-San Martin, Marcelo; Arenas, Felipe</t>
  </si>
  <si>
    <t>Biosynthesis of Gold Nanostructures and Their Virucidal Activity Against Influenza A Virus</t>
  </si>
  <si>
    <t>Bacteria in natural environments often encounter high concentrations of metal ions, leading to the development of defense mechanisms such as chemical reduction. This process can result in the formation of nanostructures (NS) ranging from 1-100 nm, which have valuable properties for various applications, including as virucidal agents. Currently, metallic NS with virucidal activity are used in disinfectants and surface protection products. However, their production mainly relies on physical and chemical methods, which are often complex, toxic, and energy-intensive. A sustainable alternative is the biosynthesis of nanostructures. Our research focuses on the biosynthesis of gold nanostructures (AuNS) using environmental bacteria and their proteins, with the aim of exploring their potential as agents to destroy the influenza A virus. We screened bacteria under conditions with HAuCl4, identifying eight microorganisms capable of growing in high gold concentrations. Staphylococcus haemolyticus BNF01 showed the highest resistance and Au(III) reduction, growing up to 0.25 mM in HAuCl4. Bioinformatic analysis revealed five proteins with potential Au(III)-reductase activity, which were cloned and expressed in Escherichia coli. These proteins reduced gold to form AuNPs, which were purified, characterized for size, shape, and surface charge, and tested against influenza A, showing significant virucidal effects, likely due to interactions with viral proteins.</t>
  </si>
  <si>
    <t>Segura, Rodrigo/J-6696-2016; Arenas, Mauricio/NBW-8966-2025</t>
  </si>
  <si>
    <t>Arenas, Felipe/0000-0001-5604-5919; Segura, Rodrigo/0000-0001-5747-2357; Arenas, Mauricio/0000-0001-5143-1845</t>
  </si>
  <si>
    <t>10.3390/ijms26051934</t>
  </si>
  <si>
    <t>WOS:001442492000001</t>
  </si>
  <si>
    <t>Campos-Cortés, MJ; Brescia-Norambuena, L; Retamoso, C; Escalona, N</t>
  </si>
  <si>
    <t>Jose Campos-Cortes, Maria; Brescia-Norambuena, Leonardo; Retamoso, Claudia; Escalona, Nestor</t>
  </si>
  <si>
    <t>Experimental Analysis of Helix Aspersa Shell as Cementitious Material</t>
  </si>
  <si>
    <t>The high environmental impact of the cement industry demands the study of new cementitious materials. Often supplementary cementitious materials such as fly ash or silica fume are used; however, the depletion of raw materials encourages the assessment of new sources. Due to the high calcium content of snail shells, this research explored the use of crushed powder of Helix Aspersa to replace cement, evaluating its use at different percentages of replacement in weight (0, 5, and 10%), calcination temperature (0, 450, and 900 degrees C) and water-cementitious materials ratios (0.35, 0.40, and 0.45). The results included analysing setting time, compressive and flexural strength, water absorption, and shrinkage. Results indicated that snail shells (i) create an expansion during the first days (similar to 15%), reaching similar values at 28 days, (ii) decrease the water absorption at calcination temperatures &gt;= 450 degrees C, and (iii) slightly reduce the flexural strength (similar to 16% in average) and compressive strength (similar to 10% in average). As the main decrement of the responses is at a low w/ cm ratio, it is expected that calcined snail shells offer the opportunity to save cement and pollution from the construction industry.</t>
  </si>
  <si>
    <t>Escalona, Nestor/F-3593-2016; Retamoso, Claudia/AAC-8236-2021</t>
  </si>
  <si>
    <t>Retamoso-Llamas, Claudia-Patricia/0000-0001-8182-2329; Escalona Burgos, Nestor/0000-0002-2628-4609</t>
  </si>
  <si>
    <t>10.1007/978-3-031-53375-4_14</t>
  </si>
  <si>
    <t>WOS:001298122200014</t>
  </si>
  <si>
    <t>Venegas-Casanova, E; Gavidia-Valencia, JG; Curo-Vallejos, YF; Ríos, M; Chavez-Abanto, LA; Aro-Díaz, RJ; Escobar, J; Rubio-López, FR; Uribe-Villarreal, J; Martinez, JL; Rengifo-Penadillos, RA</t>
  </si>
  <si>
    <t>Venegas-Casanova, Edmundo; Gavidia-Valencia, Jose G.; Curo-Vallejos, Yuri F.; Rios, Miguel; Chavez-Abanto, Luis A.; Aro-Diaz, Ruben J.; Escobar, Jorge; Rubio-Lopez, Felipe Ruben; Uribe-Villarreal, Jose; Martinez, Jose L.; Rengifo-Penadillos, Roger A.</t>
  </si>
  <si>
    <t>[Protein conversion factor and antioxidant capacity of isoflavones in Glycine max]</t>
  </si>
  <si>
    <t>The conversion factor of nitrogen to proteins and isoflavones present in Glycine max was determined. For the determination of the conversion factor, we worked with solubilizing the proteins at alkaline pH and then extracting them with acidic pH. The proteins were identified by the Kjeldahl method. The antioxidant capacity was determined after extracting the isoflavones and their glycosides through the Soxhlet method, and then using the Brand Williams method (DPPH). The results indicate that the protein conversion factor was 5.85, the maximum concentration of total isoflavones was 33.33%, the antiradical efficiency of total isoflavones was 0.004 mL/ug min, the antiradical efficiency of gallic acid was 0.005 mL/ug min. and the antiradical efficiency of tannic acid was 0.0004 mL/ug min. These results justify the consumption of Glycine max (Soya) as a food that has a high nutritional quality and provides an excellent source of antioxidants, which will prevent hormonal and carcinogenic diseases.</t>
  </si>
  <si>
    <t>Martinez, Jose/AAA-1725-2020; Gavidia-Valencia, José/HNB-9890-2023</t>
  </si>
  <si>
    <t>Martinez, Jose/0000-0002-0177-4847; CURO VALLEJOS, YURI FREDDY/0000-0002-9734-5173; Gavidia Valencia, Jose Gilberto/0000-0002-5180-1436; Aro Diaz, Ruben Jesus/0000-0001-8383-928X; CHAVEZ ABANTO, LUIS ALBERTO/0000-0002-8279-0602; Uribe Villarreal, Jose Carlo/0000-0002-2704-843X</t>
  </si>
  <si>
    <t>10.37360/blacpma.23.22.5.47</t>
  </si>
  <si>
    <t>WOS:001013144100007</t>
  </si>
  <si>
    <t>Rozas, R; Aspée, N; Negrete-Vergara, C; Venegas-Yazigi, D; Gutiérrez-Cutiño, M; Moya, SA; Zúñiga, C; Cantero-López, P; Luengo, J; Gonzalez, R; Romero, J; Yáñez-S, M</t>
  </si>
  <si>
    <t>Rozas, Robinson; Aspee, Nicolas; Negrete-Vergara, Camila; Venegas-Yazigi, Diego; Gutierrez-Cutino, Marlen; Moya, Sergio A.; Zuniga, Cesar; Cantero-Lopez, Plinio; Luengo, Jorge; Gonzalez, Raul; Romero, Julio; Yanez-S, Mauricio</t>
  </si>
  <si>
    <t>Solvent effects on the molecular structure of isolated lignins of Eucalyptus nitens wood and oxidative depolymerization to phenolic chemicals</t>
  </si>
  <si>
    <t>POLYMER DEGRADATION AND STABILITY</t>
  </si>
  <si>
    <t>The aim of the present work was to study the effect of a solvent/water mixture on the structural characteristics of extracted lignin from Eucalyptus nitens, and to relate the functional groups and interunit linkages present in the lignin with the distribution of phenolic compounds obtained after its alkaline oxidation. The high content of beta-O-4' substructures linked to a S unit in organosolv lignins of E. nitens lignin could be linked to the high yield of syringaldehyde in its alkaline oxidation. Kraft lignin oxidation gives rise to lower content of syringaldehyde when compared with organosolv lignins. This might be due to the higher proportion of condensed structures, mainly beta-beta (similar to 42%) and spirodienone (similar to 14%). Fukui functions showed that the regions with higher probability for an electrophilic attack on lignin would be located on phenyl rings and on the phenolic -OH group (benzylic position), whereas nucleophilic attacks in some cases were located over the double bond and ring. This work contributed to a better description of the proposed oxidative depolymerization mechanisms. (C) 2022 Elsevier Ltd. All rights reserved.</t>
  </si>
  <si>
    <t>Negrete, Camila/GQZ-2620-2022; Romero, Julio/I-6705-2013; Venegas-Yazigi, Diego/C-5022-2009</t>
  </si>
  <si>
    <t>Romero, Julio/0000-0002-1229-1592; Zuniga, Cesar/0009-0004-8736-6861</t>
  </si>
  <si>
    <t>0141-3910</t>
  </si>
  <si>
    <t>1873-2321</t>
  </si>
  <si>
    <t>10.1016/j.polymdegradstab.2022.109973</t>
  </si>
  <si>
    <t>WOS:000808400500010</t>
  </si>
  <si>
    <t>Kim, SH; Koberda, T; Rivas, C</t>
  </si>
  <si>
    <t>Kim, Sang-hyun; Koberda, Thomas; Rivas, Cristobal</t>
  </si>
  <si>
    <t>Virtual Critical Regularity of Mapping Class Group Actions on the Circle</t>
  </si>
  <si>
    <t>TRANSFORMATION GROUPS</t>
  </si>
  <si>
    <t>We show that if G(1) and G(2) are non-solvable groups, then no C-1,C- (tau) action of (G(1) x G(2)) * Z on S-1 is faithful for tau &gt; 0. As a corollary, if S is an orientable surface of complexity at least three then the critical regularity of an arbitrary finite index subgroup of the mapping class group Mod(S) with respect to the circle is at most one, thus strengthening a result of the first two authors with Baik.</t>
  </si>
  <si>
    <t>Kim, Sang-hyun/C-1811-2011</t>
  </si>
  <si>
    <t>1083-4362</t>
  </si>
  <si>
    <t>1531-586X</t>
  </si>
  <si>
    <t>10.1007/s00031-022-09698-9</t>
  </si>
  <si>
    <t>MAR 2022</t>
  </si>
  <si>
    <t>WOS:000764959400001</t>
  </si>
  <si>
    <t>Duarte-Anselmi, G; Leiva-Pinto, E; Vanegas-López, J; Thomas-Lange, J</t>
  </si>
  <si>
    <t>Duarte-Anselmi, Giuliano; Leiva-Pinto, Eduardo; Vanegas-Lopez, Jairo; Thomas-Lange, Jeffrey</t>
  </si>
  <si>
    <t>Experiences and perceptions on sexuality, risk and STI/HIV prevention campaigns by university students. Designing a digital intervention</t>
  </si>
  <si>
    <t>This study reports on the qualitative phase of a study that seeks to design a digital intervention for the prevention of STI / HIV and promotion of sexual health in university students. The experience and perception that university students have about sexuality, risk and prevention campaigns are addressed through focus groups. Semi-structured interviews are conducted with key informants. The results reveal that sexual education is limited and restricted to the biological aspect, as well as loaded with prejudices and gender biases, which narrows the information provided to the student population. Wavering prevention strategies that fail to motivate students or offer them opportunities for making informed and independent decisions about their sexual health are apparent. The STI / HIV campaigns assessed are distant, fear-based and not inclusive. Interventions in sexual health do not weigh experiential aspects of youth sexuality, as they are based on models of ideal and stereotyped behavior, discarding first-person narratives and their rich complexity. It is imperative to innovate in the prevention of STI/HIV, formulating interventions based on an integrative, multidisciplinary and contextualized design that values the theory and experience of the target populations.</t>
  </si>
  <si>
    <t>Vanegas, Jairo/ACV-6689-2022; Duarte, Giuliano/GYA-2853-2022</t>
  </si>
  <si>
    <t>Leiva-Pinto, Eduardo Esteban/0000-0002-9026-0345; Vanegas Lopez, Jairo Javier/0000-0001-5281-483X; Thomas-Lange, Jeffrey/0000-0002-3414-7858; Duarte Anselmi, Giuliano/0000-0001-9724-0796</t>
  </si>
  <si>
    <t>10.1590/1413-81232022273.05372021</t>
  </si>
  <si>
    <t>WOS:000775556700009</t>
  </si>
  <si>
    <t>Sánchez-de-Armas, R; Montenegro-Pohlhammer, N; Develioglu, A; Burzurí, E; Calzado, CJ</t>
  </si>
  <si>
    <t>Sanchez-de-Armas, Rocio; Montenegro-Pohlhammer, Nicolas; Develioglu, Aysegul; Burzuri, Enrique; Calzado, Carmen J.</t>
  </si>
  <si>
    <t>Spin-crossover complexes in nanoscale devices: main ingredients of the molecule-substrate interactions</t>
  </si>
  <si>
    <t>NANOSCALE</t>
  </si>
  <si>
    <t>Spin-crossover complexes embedded in nanodevices experience effects that are absent in the bulk that can modulate, quench and even suppress the spin-transition. In this work we explore, by means of state-of-the-art quantum chemistry calculations, different aspects of the integration of SCO molecules on active nanodevices, such as the geometry and energetics of the interaction with the substrate, extension of the charge transfer between the substrate and SCO molecule, impact of the applied external electric field on the spin-transition, and sensitivity of the transport properties on the local conditions of the substrate. We focus on the recently reported encapsulation of Fe(ii) spin-crossover complexes in single-walled carbon nanotubes, with new measurements that support the theoretical findings. Even so our results could be useful to many other systems where SCO phenomena take place at the nanoscale, the spin-state switching is probed by an external electric field or current, or the substrate is responsible for the quenching of the SCO mechanism.</t>
  </si>
  <si>
    <t>Montenegro-Pohlhammer, Nicolas/HJZ-2914-2023; Sanchez-de-Armas, Rocio/A-6683-2013; Jimenez Calzado, Maria del Carmen/D-1159-2011; Burzuri, Enrique/M-3501-2015</t>
  </si>
  <si>
    <t>Sanchez-de-Armas, Rocio/0000-0002-2384-4893; Montenegro-Pohlhammer, Nicolas/0000-0003-3574-2955; Jimenez Calzado, Maria del Carmen/0000-0003-3841-7330; Burzuri, Enrique/0000-0001-7906-7192</t>
  </si>
  <si>
    <t>2040-3364</t>
  </si>
  <si>
    <t>2040-3372</t>
  </si>
  <si>
    <t>10.1039/d1nr04577f</t>
  </si>
  <si>
    <t>WOS:000714675900001</t>
  </si>
  <si>
    <t>Sun, C; Llanos, L; Arce, P; Oliver, A; Wannemacher, R; Cabanillas-Gonzalez, J; Lemus, L; Aravena, D</t>
  </si>
  <si>
    <t>Sun, Chen; Llanos, Leonel; Arce, Pablo; Oliver, Allen; Wannemacher, Reinhold; Cabanillas-Gonzalez, Juan; Lemus, Luis; Aravena, Daniel</t>
  </si>
  <si>
    <t>Nuclearity Control for Efficient Thermally Activated Delayed Fluorescence in a CuI Complex and its Halogen-Bridged Dimer</t>
  </si>
  <si>
    <t>CHEMISTRY OF MATERIALS</t>
  </si>
  <si>
    <t>We report on the thermally activated delayed fluorescence (TADF) properties of a novel iodine-bridged Cu-I dimeric complex and its structurally related monomer. The chemical environment around the copper centers is identical in both complexes, providing a clean comparison to understand the effect of nuclearity in Cu-I emitters. Efficient room-temperature TADF (approximate to 80% of the total emission) is observed in both compounds. Similar singlet-triplet splittings were found for the monomer and the dimer (554 and 583 cm(-1), respectively), while the dimer triplet lifetime (90.0 mu s) was longer than that of the monomer (46.0 mu s). Experimental findings were rationalized by time-dependent density functional theory and complete active space self-consistent field calculations, identifying key structural factors determining TADF properties such as the key role of iodine in spin-orbit coupling mixing and the importance of near degeneracies in donor and acceptor orbitals for promoting state mixing. Unavoidable modifications associated with a change in nuclearity (e.g. intermolecular interactions, molecular charge, or modification of some binding motifs) can be also designed to promote TADF performance.</t>
  </si>
  <si>
    <t>Cabanillas Gonzalez, Juan/M-1026-2014; Sun, Chen/O-9611-2019; Aravena, Daniel/F-2174-2011</t>
  </si>
  <si>
    <t>Cabanillas Gonzalez, Juan/0000-0002-9926-3833; Sun, Chen/0000-0001-5962-2128; LEMUS, LUIS/0000-0002-5499-8115; Aravena, Daniel/0000-0003-3140-4852</t>
  </si>
  <si>
    <t>0897-4756</t>
  </si>
  <si>
    <t>1520-5002</t>
  </si>
  <si>
    <t>10.1021/acs.chemmater.1c01531</t>
  </si>
  <si>
    <t>WOS:000691302400014</t>
  </si>
  <si>
    <t>Riquelme, D; Cerda, O; Leiva-Salcedo, E</t>
  </si>
  <si>
    <t>Riquelme, Denise; Cerda, Oscar; Leiva-Salcedo, Elias</t>
  </si>
  <si>
    <t>TRPM4 Expression During Postnatal Developmental of Mouse CA1 Pyramidal Neurons</t>
  </si>
  <si>
    <t>FRONTIERS IN NEUROANATOMY</t>
  </si>
  <si>
    <t>TRPM4 is a non-selective cation channel activated by intracellular calcium and permeable to monovalent cations. This channel participates in the control of neuronal firing, neuronal plasticity, and neuronal death. TRPM4 depolarizes dendritic spines and is critical for the induction of NMDA receptor-dependent long-term potentiation in CA1 pyramidal neurons. Despite its functional importance, no subcellular localization or expression during postnatal development has been described in this area. To examine the localization and expression of TRPM4, we performed duplex immunofluorescence and patch-clamp in brain slices at different postnatal ages in C57BL/6J mice. At P0 we found TRPM4 is expressed with a somatic pattern. At P7, P14, and P35, TRPM4 expression extended from the soma to the apical dendrites but was excluded from the axon initial segment. Patch-clamp recordings showed a TRPM4-like current active at the resting membrane potential from P0, which increased throughout the postnatal development. This current was dependent on intracellular Ca2+ (I-CAN) and sensitive to 9-phenanthrol (9-Ph). Inhibiting TRPM4 with 9-Ph hyperpolarized the membrane potential at P14 and P35, with no effect in earlier stages. Together, these results show that TRPM4 is expressed in CA1 pyramidal neurons in the soma and apical dendrites and associated with a TRPM4-like current, which depolarizes the neurons. The expression, localization, and function of TRPM4 throughout postnatal development in the CA1 hippocampal may underlie an important mechanism of control of membrane potential and action potential firing during critical periods of neuronal development, particularly during the establishment of circuits.</t>
  </si>
  <si>
    <t>Cerda, Oscar/N-3895-2018</t>
  </si>
  <si>
    <t>Cerda, Oscar/0000-0003-2873-5722</t>
  </si>
  <si>
    <t>1662-5129</t>
  </si>
  <si>
    <t>APR 28</t>
  </si>
  <si>
    <t>10.3389/fnana.2021.643287</t>
  </si>
  <si>
    <t>WOS:000649313400001</t>
  </si>
  <si>
    <t>Pastenes, C; Machado, VG; Rezende, MC</t>
  </si>
  <si>
    <t>Pastenes, Camila; Machado, Vanderlei G.; Rezende, Marcos C.</t>
  </si>
  <si>
    <t>The use of a preferential-solvation index (PSI) for the comparison of halochromic systems</t>
  </si>
  <si>
    <t>The study of the influence of salts on the spectral data of solvatochromic probes in solution is often a subject of difficult interpretation due to the puzzling nature of the species involved (solute, solvent, and salt). This ternary system can be understood in a similar way to the studies of binary solvent mixtures in the presence of solvatochromic dyes. Recently, a preferential-solvation index (PSI) was introduced for the study of binary solvent mixtures. The index is calculated as a ratio of two areas from a typical experimental PS plot and is not based on any theoretical model nor fitting parameters of questionable meaning. In this paper, the PSI approach was defined and used to understand salt-dependent processes in electrolyte solutions. The PSI values were calculated for fifty examples of halochromism available in the literature involving six solvatochromic probes. It was applied to systems comprising different solvents, salts, and probes, where one of these three variables was systematically varied. The values of PSI for the systems were compared with solvent (Reichardt's ET (30) and Gutmann's donor number) and cation (Klopman's softness character and ionic radii) parameters. The observed trends shed light on probe-salt and solute-solvent interactions in solution, allowing a deeper understanding of halochromic and other salt-dependent systems. (C) 2021 Elsevier B.V. All rights reserved.</t>
  </si>
  <si>
    <t>Gageiro Machado, Vanderlei/0000-0002-6995-6591</t>
  </si>
  <si>
    <t>10.1016/j.molliq.2021.115944</t>
  </si>
  <si>
    <t>WOS:000661396500018</t>
  </si>
  <si>
    <t>Laso, J; Campos, C; Fernández-Ríos, A; Hoehn, D; del Río, A; Ruiz-Salmón, I; Cristobal, J; Quiñones, A; Amo-Setién, FJ; Ortego, MD; Tezanos, S; Abajas, R; Bala, A; Fullana-i-Palmer, P; Puig, R; Margallo, M; Aldaco, R; Abejón, R</t>
  </si>
  <si>
    <t>Laso, Jara; Campos, Cristina; Fernandez-Rios, Ana; Hoehn, Daniel; del Rio, Andrea; Ruiz-Salmon, Israel; Cristobal, Jorge; Quinones, Ainoa; Amo-Setien, Francisco Jose; del Carmen Ortego, Maria; Tezanos, Sergio; Abajas, Rebeca; Bala, Alba; Fullana-i-Palmer, Pere; Puig, Rita; Margallo, Maria; Aldaco, Ruben; Abejon, Ricardo</t>
  </si>
  <si>
    <t>Looking for Answers to Food Loss and Waste Management in Spain from a Holistic Nutritional and Economic Approach</t>
  </si>
  <si>
    <t>SUSTAINABILITY</t>
  </si>
  <si>
    <t>The generation of food loss and waste (FLW) is a global problem for worldwide politics. About one-third of the food produced ends up in the rubbish before it is consumed. For this reason, it is essential to design and implement new strategies along the food supply chain (FSC) with the aim of reducing this FLW at each stage. However, not only mass quantification should be considered, but also economic and nutritional performance. The novelty of this study is the definition of a methodology based on the distance to target approach by means of multi-objective optimization to evaluate the economic and nutritional cost produced by this FLW. This methodology was applied to the Spanish food basket in 2015. The results revealed that 80% of the total FLW generated in economic and nutritional terms is concentrated in the agricultural production (53.3%) and consumption (26.3%) stages. In the first stages of the FSC, fruits (D-n eq.= 0.7), cereals (D-n eq.= 0.61), and vegetables (D-n eq.= 0.57) were the furthest from the distance target due to the great amount of FLW generated. Moreover, according to the normalized weighted distances obtained from the minimization of economic and nutritional cost, pulses (D-n eq. = 0.05-0.03) and eggs (D-n eq. = 0.02) were the more efficient food categories. The methodology described in this study proposes a single index to quantify the economic and nutritional cost of different food categories to facilitate the decision-making process. This index makes possible the definition of reduction strategies focused on specific food categories and depending on the FSC stage.</t>
  </si>
  <si>
    <t>Tezanos-Vázquez, Sergio/P-3040-2016; Abajas-Bustillo, Rebeca/ACC-7855-2022; Ruiz, Israel/LQK-6570-2024; Aldaco, Rubén/F-2314-2016; Puig, Rita/V-6963-2018; Abejon, Ricardo/I-7171-2019; Campos, Cristina/P-4245-2017; Ortego Mate, Maria del Carmen/JMC-8176-2023; Bala Gala, Alba/J-8625-2017; Fullana-i-Palmer, Pere/J-6174-2013; Laso Cortabitarte, Jara/C-8108-2019</t>
  </si>
  <si>
    <t>Cristobal, Jorge/0000-0003-1872-4288; Ortego Mate, Maria del Carmen/0000-0002-5687-5004; Fernandez, Ana/0000-0003-4591-9902; PUIG, RITA/0000-0002-9436-2074; Bala Gala, Alba/0000-0002-5501-1140; Tezanos-Vazquez, Sergio/0000-0002-7202-5472; Fullana-i-Palmer, Pere/0000-0003-0013-5098; Abajas Bustillo, Rebeca/0000-0001-9261-1965; Laso Cortabitarte, Jara/0000-0003-4442-6786; ABEJON, Ricardo/0000-0002-8030-7752; Ruiz Salmon, Israel/0000-0001-7058-605X</t>
  </si>
  <si>
    <t>2071-1050</t>
  </si>
  <si>
    <t>10.3390/su13010125</t>
  </si>
  <si>
    <t>WOS:000606766300001</t>
  </si>
  <si>
    <t>Cazanga, V; Hernandez, A; Morales, B; Pelissier, T; Constandil, L</t>
  </si>
  <si>
    <t>Cazanga, Victoria; Hernandez, Alejandro; Morales, Bernardo; Pelissier, Teresa; Constandil, Luis</t>
  </si>
  <si>
    <t>Antinociception Induced by Copper Salt Revisited: Interaction with Ketamine in Formal inInduced Intraplantar and Orofacial Pain in Mice</t>
  </si>
  <si>
    <t>JOURNAL OF ORAL &amp; FACIAL PAIN AND HEADACHE</t>
  </si>
  <si>
    <t>Aims: To evaluate in mice the antinociceptive effect of copper in spinal and trigeminal nociceptive pathways by using the intraplantar and orofacial formalin tests, respectively, and to examine whether this effect may interact synergistically with ketamine-induced antinociception. Methods: Nociceptive behaviors (licking/biting of the formalin-injected limb and rubbing/scratching of the formalin-injected orofacial area) in male mice were evaluated during a 45-minute observation period post-formalin injection. Dose-response curves for intraperitoneal (ip) copper sulfate and ketamine allowed their combination in equi-effective doses, and their interaction was determined with isobolographic analysis. The results were examined with one-way analysis of variance followed by the Bonferroni post hoc test. Significance was accepted at an alpha level of .05. Results: Irrespective of the region injected with formalin (upper lip or hindlimb), copper sulfate (0.3, 1.0, and 3.0 mg/kg) and ketamine (1.0, 3.0, and 10 mg/kg) dose-dependently decreased the nociceptive behaviors evoked by formalin injection. Isobolographic analysis showed a superadditive interaction between copper and ketamine at the spinal level, but this interaction was only additive at the trigeminal level. Conclusion: The results suggest that copper salts could be used to synergistically improve the efficacy of some commercial centrally acting analgesic agents, such as ketamine, while reducing the possibility of side effects. However, a synergistic effect probably should not be expected if treatment is for orofacial pain.</t>
  </si>
  <si>
    <t>Morales Castañeda, Bernardo/GPP-1642-2022; Hernandez, Alejandro/M-4796-2019</t>
  </si>
  <si>
    <t>Constandil, Luis/0000-0002-2504-0119; Hernandez, Alejandro/0000-0001-9222-6522</t>
  </si>
  <si>
    <t>2333-0384</t>
  </si>
  <si>
    <t>2333-0376</t>
  </si>
  <si>
    <t>PMID 29767648</t>
  </si>
  <si>
    <t>10.11607/ofph.1961</t>
  </si>
  <si>
    <t>WOS:000444007400004</t>
  </si>
  <si>
    <t>Falomir, H; Gamboa, J; Méndez, F; Gondolo, P</t>
  </si>
  <si>
    <t>Falomir, H.; Gamboa, J.; Mendez, F.; Gondolo, P.</t>
  </si>
  <si>
    <t>Inflation without inflaton: A model for dark energy</t>
  </si>
  <si>
    <t>The interaction between two initially causally disconnected regions of the Universe is studied using analogies of noncommutative quantum mechanics and the deformation of Poisson manifolds. These causally disconnect regions are governed by two independent Friedmann-Lemaitre-Robertson-Walker (FLRW) metrics with scale factors a and b and cosmological constants Lambda(a) and Lambda(b), respectively. The causality is turned on by positing a nontrivial Poisson bracket [P-alpha; P-beta] = epsilon(alpha beta)kappa/G, where G is Newton's gravitational constant and. is a dimensionless parameter. The posited deformed Poisson bracket has an interpretation in terms of 3-cocycles, anomalies, and Poissonian manifolds. The modified FLRW equations acquire an energy-momentum tensor from which we explicitly obtain the equation of state parameter. The modified FLRW equations are solved numerically and the solutions are inflationary or oscillating depending on the values of.. In this model, the accelerating and decelerating regime may be periodic. The analysis of the equation of state clearly shows the presence of dark energy. By completeness, the perturbative solution for kappa &lt;&lt; 1 is also studied.</t>
  </si>
  <si>
    <t>Falomir, Horacio/0000-0001-8188-1062; Gondolo, Paolo/0000-0002-8071-8535; Gamboa, Jorge/0000-0001-7992-7199</t>
  </si>
  <si>
    <t>2470-0010</t>
  </si>
  <si>
    <t>2470-0029</t>
  </si>
  <si>
    <t>10.1103/PhysRevD.96.083534</t>
  </si>
  <si>
    <t>WOS:000414036500003</t>
  </si>
  <si>
    <t>Kämpfer, P; Irgang, R; Poblete-Morales, M; Glaeser, SP; Cortez-San Martín, M; Avendaño-Herrera, R</t>
  </si>
  <si>
    <t>Kaempfer, Peter; Irgang, Rute; Poblete-Morales, Matias; Glaeser, Stefanie P.; Cortez-San Martin, Marcelo; Avendano-Herrera, Ruben</t>
  </si>
  <si>
    <t>Psychromonas aquatilis sp nov., isolated from seawater samples obtained in the Chilean Antarctica</t>
  </si>
  <si>
    <t>INTERNATIONAL JOURNAL OF SYSTEMATIC AND EVOLUTIONARY MICROBIOLOGY</t>
  </si>
  <si>
    <t>A slightly beige-white pigmented, Gram-staining-negative, rod-shaped bacterium, strain M1A1(T), was isolated from seawater samples obtained in Fildes Bay, Antarctica (62 degrees 12'S 58 degrees 57' W). Phylogenetic analysis based on nearly full-length 16S rRNA gene sequences showed that the isolate shared 98.4% 16S rRNA gene sequence identity to the type strain of Psychromonas arctica, but less than 97% 16S rRNA gene sequence similarities to all other species of the genus Psychromonas. DNA-DNA hybridization with Psychromonas arctica DSM 14288(T) showed low values (21 %, reciprocal 27 %). The main cellular fatty acid of strain M1A1(T) was summed feature 3 fatty acids (C(16 : omega)7c/C-16 : 1 omega 8c), followed by C-16 : 0. Based on phylogenetic, chemotaxonomic, genomic and phenotypic analyses, we propose a novel species of the genus Psychromonas with the name Psychromonas aquatilis sp. nov. and the strain M1A1(T) (= CIP 111183(T) = CCM 8710(T) = LMG 29766(T)) as type strain.</t>
  </si>
  <si>
    <t>Avendaño-Herrera, Ruben/H-2368-2015; Irgang, Rute/H-2399-2015; Glaeser, Stefanie/ABI-5518-2020; Kampfer, Peter/P-7643-2019; Poblete-Morales, Matías/AAS-1973-2020</t>
  </si>
  <si>
    <t>Avendano-Herrera, Ruben/0000-0001-5368-4475; Poblete-Morales, Matias/0000-0001-9064-3285; Irgang, Rute/0000-0001-5608-0060; Kampfer, Peter/0000-0002-7165-3418</t>
  </si>
  <si>
    <t>1466-5026</t>
  </si>
  <si>
    <t>1466-5034</t>
  </si>
  <si>
    <t>10.1099/ijsem.0.001801</t>
  </si>
  <si>
    <t>WOS:000403696100030</t>
  </si>
  <si>
    <t>Warren, C; Inostroza-Ponta, M; Moscato, P</t>
  </si>
  <si>
    <t>Keith, JM</t>
  </si>
  <si>
    <t>Warren, Chloe; Inostroza-Ponta, Mario; Moscato, Pablo</t>
  </si>
  <si>
    <t>Using the QAPgrid Visualization Approach for Biomarker Identification of Cell-Specific Transcriptomic Signatures</t>
  </si>
  <si>
    <t>BIOINFORMATICS, VOL II: STRUCTURE, FUNCTION, AND APPLICATIONS, 2ND EDITION</t>
  </si>
  <si>
    <t>Methods in Molecular Biology</t>
  </si>
  <si>
    <t>In this chapter, we illustrate the use of an integrated mathematical method for joint clustering and visualization of large-scale datasets. In applying these clustering methodologies to biological datasets, we aim to identify differentially expressed genes according to cell type by building molecular signatures supported by statistical scores. In doing so, we also aim to find a global map of highly co-expressed clusters. Variations in these clusters may well indicate other pathological trends and changes.</t>
  </si>
  <si>
    <t>Inostroza-Ponta, Mario/0000-0003-1295-8972; Moscato, Pablo/0000-0003-2570-5966</t>
  </si>
  <si>
    <t>1064-3745</t>
  </si>
  <si>
    <t>1940-6029</t>
  </si>
  <si>
    <t>978-1-4939-6613-4; 978-1-4939-6611-0</t>
  </si>
  <si>
    <t>10.1007/978-1-4939-6613-4_16</t>
  </si>
  <si>
    <t>10.1007/978-1-4939-6613-4</t>
  </si>
  <si>
    <t>WOS:000415155100017</t>
  </si>
  <si>
    <t>Salinas, V; Vargas, Y; Louisnard, O; Gaete, L</t>
  </si>
  <si>
    <t>Salinas, V.; Vargas, Y.; Louisnard, O.; Gaete, L.</t>
  </si>
  <si>
    <t>Influence of the liquid viscosity on the formation of bubble structures in a 20 kHz field</t>
  </si>
  <si>
    <t>ULTRASONICS SONOCHEMISTRY</t>
  </si>
  <si>
    <t>The cavitation field in a cylindrical vessel bottom-insonified by a 19.7 kHz large area transducer is studied experimentally. By adding controlled amounts of Poly-Ethylene Glycol (PEG) to water, the viscosity of the liquid is varied between one- and nine-fold the viscosity of pure water. For each liquid, and for various displacement amplitudes of the transducer, the liquid is imaged by a high-speed camera and the acoustic field is measured along the symmetry axis. For low driving amplitudes, only a spherical cap bubble structure appears on the transducer, growing with amplitude, and the axial acoustic pressure field displays a standing-wave shape. Above some threshold amplitude of the transducer, a flare-like structure starts to build up, involving bubbles strongly expelled from the transducer surface, and the axial pressure profile becomes almost monotonic. Increasing more the driving amplitude, the structure extends in height, and the pressure profile remains monotonic but decreases its global amplitude. This behavior is similar for all the water-PEG mixtures used, but the threshold for structure formation increases with the viscosity of the liquid. The images of the bubble structures are interpreted and correlated to the measured acoustic pressure profiles. The appearance of traveling waves near the transducer, produced by the strong energy dissipated by inertial bubbles, is conjectured to be a key mechanism accompanying the sudden appearance of the flare-like structure. (C) 2014 Elsevier B.V. All rights reserved.</t>
  </si>
  <si>
    <t>LOUISNARD, Olivier/G-5304-2015; Salinas, Vicente/B-9803-2013</t>
  </si>
  <si>
    <t>LOUISNARD, Olivier/0000-0002-3151-5192; Gaete-Garreton, Luis/0000-0002-2234-8783; Salinas, Vicente/0000-0002-5759-9371</t>
  </si>
  <si>
    <t>1350-4177</t>
  </si>
  <si>
    <t>1873-2828</t>
  </si>
  <si>
    <t>10.1016/j.ultsonch.2014.07.007</t>
  </si>
  <si>
    <t>WOS:000343019700033</t>
  </si>
  <si>
    <t>Martínez, C; Ordoñez, S; Serafini, D; Guzmán, D; Rojas, P</t>
  </si>
  <si>
    <t>Martinez, Carola; Ordonez, Stella; Serafini, Daniel; Guzman, Danny; Rojas, Paula</t>
  </si>
  <si>
    <t>Study of the formation and thermal stability of Mg2Co obtained by mechanical alloying and heat treatment</t>
  </si>
  <si>
    <t>The microstructural evolution of Mg and Co in a 2: 1 atomic ratio was investigated during mechanical alloying and subsequent heat treatments. Microstructural characterization was determined using X-ray diffraction and scanning electron microscopy, while thermal stability was studied by means of differential scanning calorimetry. The results show that mechanical alloying produces amorphization and promotes greater microstructural refinement. Formation of Mg2Co requires an additional heat treatment at temperatures between 679 and 705 K, depending on milling time. Additionally, it was determined that the activation energy for Mg2Co crystallization decreases from 206 to 184 kJ/mol when the milling time increases from 12 to 36 h, respectively. Finally, a combination of the mechanical alloying process and heat treatment phase evolutions was proposed as an optimal processing route in order to obtain the Mg2Co compound. (C) 2013 Elsevier B.V. All rights reserved.</t>
  </si>
  <si>
    <t>Rojas, Paula/AFS-1987-2022; Martinez Ugalde, Carola/P-5399-2018</t>
  </si>
  <si>
    <t>Serafini, Daniel/0000-0002-1764-5900; Rojas, Paula/0000-0002-2529-993X; Martinez Ugalde, Carola/0000-0001-5247-6703; Guzman Mendez, Danny/0000-0002-8020-9247</t>
  </si>
  <si>
    <t>MAR 25</t>
  </si>
  <si>
    <t>10.1016/j.jallcom.2013.12.123</t>
  </si>
  <si>
    <t>WOS:000330579600074</t>
  </si>
  <si>
    <t>Akyildiz, FT; Neustupa, J; Siginer, D</t>
  </si>
  <si>
    <t>Akyildiz, Fahir Talay; Neustupa, Jiri; Siginer, Dennis</t>
  </si>
  <si>
    <t>A Steady Weak Solution of the Equations of Motion of a Viscous Incompressible Fluid through Porous Media in a Domain with a Non-Compact Boundary</t>
  </si>
  <si>
    <t>ACTA APPLICANDAE MATHEMATICAE</t>
  </si>
  <si>
    <t>We assume that Omega is a domain in ae(2) or in ae(3) with a non-compact boundary, representing a generally inhomogeneous and anisotropic porous medium. We prove the weak solvability of the boundary-value problem, describing the steady motion of a viscous incompressible fluid in Omega. We impose no restriction on sizes of the velocity fluxes through unbounded components of the boundary of Omega. The proof is based on the construction of appropriate Galerkin approximations and study of their convergence. In Sect. 4, we provide several examples of concrete forms of Omega and prescribed velocity profiles on a,Omega, when our main theorem can be applied.</t>
  </si>
  <si>
    <t>Akyildiz, Fahir/N-4520-2013; Neustupa, Jiri/D-5459-2014; Akyildiz, Fahir/JWG-1446-2024</t>
  </si>
  <si>
    <t>0167-8019</t>
  </si>
  <si>
    <t>10.1007/s10440-011-9659-x</t>
  </si>
  <si>
    <t>WOS:000303582000002</t>
  </si>
  <si>
    <t>Meller, P; Valdés, G; Lara, B</t>
  </si>
  <si>
    <t>Meller, Patricio; Valdes, Gonzalo; Lara, Bernardo</t>
  </si>
  <si>
    <t>FEMALE DISCRIMINATION AT THE PROFESSIONAL LEVEL IN CHILE</t>
  </si>
  <si>
    <t>INTERCIENCIA</t>
  </si>
  <si>
    <t>This work examines the role played by women in the labor market pertaining to Chilean university professionals. Over the last century the role of women has changed paradigm, from zero or low levels of participation to a generalized participation. This article analyzes the different stages of such participation and the current wage differential between men and women is estimated. For two cohorts of these professionals the wage gap is estimated using a new data base which allows to control variables such as personal characteristics, skills (via the use of university entrance point scores) and socioeconomic influence. The results indicate a gender wage differential of around 23%.</t>
  </si>
  <si>
    <t>Lara E, Bernardo/HJY-7986-2023</t>
  </si>
  <si>
    <t>Lara Escalona, Bernardo/0000-0003-2031-2741</t>
  </si>
  <si>
    <t>0378-1844</t>
  </si>
  <si>
    <t>WOS:000297963400006</t>
  </si>
  <si>
    <t>Aguayo, J; Navarro, S; Nova, M</t>
  </si>
  <si>
    <t>Berz, M; Shamseddine, K</t>
  </si>
  <si>
    <t>Aguayo, Jose; Navarro, Samuel; Nova, Miguel</t>
  </si>
  <si>
    <t>Strict topologies on spaces of vector-valued continuous functions over non-Archimedean field</t>
  </si>
  <si>
    <t>ADVANCES IN P-ADIC AND NON-ARCHIMEDEAN ANALYSIS</t>
  </si>
  <si>
    <t>Contemporary Mathematics</t>
  </si>
  <si>
    <t>10th International Conference on p-adic and Non-Archimedean Analysis</t>
  </si>
  <si>
    <t>JUN 30-JUL 03, 2008</t>
  </si>
  <si>
    <t>Michigan State Univ, E Lansing, MI</t>
  </si>
  <si>
    <t>Michigan State Univ</t>
  </si>
  <si>
    <t>Locally convex topologies beta(P) on C-b (X, E) are introduced and developed, where X is a zero-dimensional topological space, E a locally K-convex space and K is a non-Archimedean valued field. Among other things, different strict topologies are compared, bounded subsets of C-b (X, E) are characterized, polarity property of these strict topologies and gDF property are studied. The paper finishes with the proof of a theorem as the same type of the Ascoli's Theorem.</t>
  </si>
  <si>
    <t>Navarro, Samuel/AAD-2021-2020</t>
  </si>
  <si>
    <t>0271-4132</t>
  </si>
  <si>
    <t>978-0-8218-4740-4</t>
  </si>
  <si>
    <t>WOS:000278995400001</t>
  </si>
  <si>
    <t>Zhang, H; Douraghy, A; Bao, QA; Rannou, FR; Silverman, RW; Taschereau, R; Stout, DB; Behrenbruch, CP; Phelps, ME; Chatziioannou, AF</t>
  </si>
  <si>
    <t>Zhang, Hui; Douraghy, Ali; Bao, Qinan; Rannou, Fernando R.; Silverman, Robert W.; Taschereau, Richard; Stout, David B.; Behrenbruch, Christian P.; Phelps, Michael E.; Chatziioannou, Arion F.</t>
  </si>
  <si>
    <t>PETbox: A benchtop high throughput preclinical PET system</t>
  </si>
  <si>
    <t>JOURNAL OF NUCLEAR MEDICINE</t>
  </si>
  <si>
    <t>0161-5505</t>
  </si>
  <si>
    <t>1535-5667</t>
  </si>
  <si>
    <t>WOS:000444145700297</t>
  </si>
  <si>
    <t>Noseda, R; Monconduit, L; Constandil, L; Chalus, M; Villanueva, L</t>
  </si>
  <si>
    <t>Noseda, R.; Monconduit, L.; Constandil, L.; Chalus, M.; Villanueva, L.</t>
  </si>
  <si>
    <t>Central nervous system networks involved in the processing of meningeal and cutaneous inputs from the ophthalmic branch of the trigeminal nerve in the rat</t>
  </si>
  <si>
    <t>CEPHALALGIA</t>
  </si>
  <si>
    <t>This study analysed the organization of central nervous system networks involved in the processing of meningeal inputs in the male, Sprague-Dawley rat. We injected the anterograde tracer, biotin dextran, into areas of the medullary trigeminal nucleus caudalis (Sp5C), which receive inputs from the ophthalmic division of the trigeminal nerve. Double-labelling immunohistochemical studies were then performed to compare calcitonin gene-related peptide (CGRP) or serotonin 1D (5HT1(D)) receptor distributions in the areas innervated by Sp5C neurons. Dense, topographically organized intratrigeminal connections were observed. Sp5C neurons projected to the commissural subnucleus of the solitary tract, A5 cell group region/superior salivatory nucleus, lateral periaqueductal grey matter, inferior colliculus and parabrachial nuclei. Trigeminothalamic afferents were restricted to the posterior group and ventroposteromedial thalamic nuclei. Some of these areas are also immunoreactive for 5HT1(D) and CGRP and thus remain potential central targets of triptan molecules and other antimigraine drugs.</t>
  </si>
  <si>
    <t>Noseda, Rodrigo/AAN-1761-2020; VILLANUEVA, LUIS/AAX-2817-2020; monconduit, lenaic/GYV-2004-2022</t>
  </si>
  <si>
    <t>monconduit, lenaic/0000-0001-8856-3809; Noseda, Rodrigo/0000-0002-9641-4691; Constandil, Luis/0000-0002-2504-0119; Villanueva, Luis/0000-0003-3872-9211</t>
  </si>
  <si>
    <t>0333-1024</t>
  </si>
  <si>
    <t>1468-2982</t>
  </si>
  <si>
    <t>10.1111/j.1468-2982.2008.01588.x</t>
  </si>
  <si>
    <t>WOS:000257717200002</t>
  </si>
  <si>
    <t>Leal, D; Matsuhiro, B; Rossi, M; Caruso, F</t>
  </si>
  <si>
    <t>Leal, David; Matsuhiro, Betty; Rossi, Miriam; Caruso, Francesco</t>
  </si>
  <si>
    <t>FT-IR spectra of alginic acid block fractions in three species of brown seaweeds</t>
  </si>
  <si>
    <t>Sodium alginates obtained by alkaline extraction of Lessonia ftavicans, Desmarestia ligulata and Desmarestia distans (Phaeophyta) from southern Chile were partially hydrolyzed with HCl. Each alginate gave three fractions that were characterized using FT-IR spectroscopy. The fractions soluble in 0.3 M HCl presented in the fingerprint region four vibrations at around 960, 911 890 and 815 cm(-1) that were assigned to heteropolymeric blocks. The fractions soluble at pH 2.85 showed bands at around 948, 888 and 820 cm(-1) attributed to homopolymannuronic acid blocks, the first band is resolved in the second-derivative spectra into two bands at 951 and 936 cm-1. The fractions insoluble at pH 2.85 presented four bands at around 947, 903, 812 and 781 cm(-1), which were assigned to homopolyguluronic acid blocks. For some samples, the second derivative FT-IR spectra showed new bands indicating the presence of other structures, in low proportions. Structures deduced by FT-IR spectroscopy were corroborated by solution H-1 and C-13 NMR spectroscopy. Two-dimensional spectra were collected to confirm the fine structure of the hetero- and homopolymeric fractions. A geometrically optimized model for the disaccharide alpha-L-gulopyranuronosyl-(1 -&gt; 4)-alpha-L-gulopyranuronic acid was calculated using density functional theory; good agreement was obtained between its corresponding calculated vibrations and the experimental bands assigned to homopolyguluronic acid blocks. (c) 2007 Elsevier Ltd. All rights reserved.</t>
  </si>
  <si>
    <t>rossi, massimo/C-8411-2012</t>
  </si>
  <si>
    <t>Rossi, Miriam/0000-0001-9609-474X</t>
  </si>
  <si>
    <t>1873-426X</t>
  </si>
  <si>
    <t>FEB 4</t>
  </si>
  <si>
    <t>10.1016/j.carres.2007.10.016</t>
  </si>
  <si>
    <t>WOS:000253026500016</t>
  </si>
  <si>
    <t>Romero, G; López, CE; Lastra, F; Solano, E; Retamal, JC</t>
  </si>
  <si>
    <t>Romero, G.; Lopez, C. E.; Lastra, F.; Solano, E.; Retamal, J. C.</t>
  </si>
  <si>
    <t>Direct measurement of concurrence for atomic two-qubit pure states</t>
  </si>
  <si>
    <t>We propose a general scheme to measure the concurrence of an arbitrary two-qubit pure state in atomic systems. The protocol is based on one- and two-qubit operations acting on two available copies of the bipartite system, and followed by a global qubit readout. We show that it is possible to encode the concurrence in the probability of finding all atomic qubits in the ground state. Two possible scenarios are considered: atoms crossing three-dimensional microwave cavities and trapped ion systems.</t>
  </si>
  <si>
    <t>Retamal, Juan/G-6425-2010; López, Carlos/B-8456-2009; Solano, Enrique/C-2895-2017; Romero, Guillermo/C-8245-2009; Romero, Guillermo/C-8245-2009</t>
  </si>
  <si>
    <t>Romero, Guillermo/0000-0003-4366-4950; Romero, Guillermo/0000-0003-2917-7814; SOLANO VILLANUEVA, ENRIQUE LEONIDAS/0000-0002-8602-1181; Retamal Abarzua, Juan Carlos/0000-0002-7174-7879</t>
  </si>
  <si>
    <t>10.1103/PhysRevA.75.032303</t>
  </si>
  <si>
    <t>WOS:000245326300035</t>
  </si>
  <si>
    <t>Olivares, IE; Kunze, HJ</t>
  </si>
  <si>
    <t>Measurement of the ion feature of collective Thomson scattering in collisionless plasmas</t>
  </si>
  <si>
    <t>It is demonstrated that the collisionless theory of Salpeter [Phys. Rev. 120, 1528 (1960)] can be fitted rather well to the ion feature of collective Thomson scattering on dense plasmas in equilibrium for elements up to argon. (c) 2006 American Institute of Physics.</t>
  </si>
  <si>
    <t>Olivares, Ignacio/AAU-9355-2021</t>
  </si>
  <si>
    <t>Olivares, Ignacio/0000-0001-8440-7665</t>
  </si>
  <si>
    <t>10.1063/1.2207830</t>
  </si>
  <si>
    <t>WOS:000238730000020</t>
  </si>
  <si>
    <t>Díaz, OP; Leyton, I; Muñoz, O; Núñez, N; Devesa, V; Súñer, MA; Vélez, D; Montoro, R</t>
  </si>
  <si>
    <t>Contribution of water, bread, and vegetables (raw and cooked) to dietary intake of inorganic arsenic in a rural village of Northern Chile</t>
  </si>
  <si>
    <t>Total and inorganic As contents of cooked vegetables obtained from an arsenic endemic area of Chile were analyzed. Inorganic As intake from those foods, bread, and water was estimated. The study was performed in two different periods, in which the water used by the population for drinking and cooking purposes contained 0.572 (first period) or 0.041 mug mL(-1) (second period). In the first period, the FAO/WHO reference intake was exceeded by all of the persons interviewed. In the second period, the reference intake was exceeded by all of the persons interviewed ages 13-15. The foods studied contributed 4% (first period) or 25% (second period) of the inorganic As intake. The results show the contribution of food to inorganic As intake and the risk to which those ages 15 or younger are exposed.</t>
  </si>
  <si>
    <t>Velez, Dinoraz/H-4255-2012; Munoz, Ociel/K-2951-2016; Devesa, Vicenta/I-2102-2012</t>
  </si>
  <si>
    <t>Munoz, Ociel/0000-0002-2445-4336; Velez Pacios, Dinoraz/0000-0001-8679-5622; Devesa, Vicenta/0000-0002-1988-2985</t>
  </si>
  <si>
    <t>10.1021/jf035168t</t>
  </si>
  <si>
    <t>WOS:000220285600058</t>
  </si>
  <si>
    <t>Cong, HN; Guadarrama, VDG; Gautier, JL; Chartier, P</t>
  </si>
  <si>
    <t>NixCo3-xO4 mixed valence oxide nanoparticles/polypyrrole composite electrodes for oxygen reduction</t>
  </si>
  <si>
    <t>JOURNAL OF NEW MATERIALS FOR ELECTROCHEMICAL SYSTEMS</t>
  </si>
  <si>
    <t>The direct incorporation into a polypyrrole matrix Of NixCO3-xO4 (x=0.3 and 1) mixed valence oxide nanoparticles from their suspension in the electrolyte during the electropolymerization process led to the formation of composite electrodes having a good electrocatalytic reactivity towards the oxygen reduction reaction (ORR) and exhibiting remarkable stability.</t>
  </si>
  <si>
    <t>1480-2422</t>
  </si>
  <si>
    <t>WOS:000174086000006</t>
  </si>
  <si>
    <t>Zucco, C; Dall'Oglio, EL; Salmoria, GV; Gallardo, H; Neves, A; Rezende, MC</t>
  </si>
  <si>
    <t>NMR and semi-empirical study of the tautomerism of 2,2′-bisbenzimidazolyl</t>
  </si>
  <si>
    <t>JOURNAL OF PHYSICAL ORGANIC CHEMISTRY</t>
  </si>
  <si>
    <t>A dynamic NMR study of the tautomerism of 2,2'-bisbenzimidazolyl in DMSO-d(6) and a mechanistic interpretation of the process, based on a stepwise, single-proton transfer and formation of a zwitterionic intermediate, are presented. This interpretation is substantiated by semi-empirical calculations of the postulated intermediate and transition state, that yield results which are compared with previous studies on related aliphatic systems. (C) 1998 John Wiley &amp; Sons, Ltd.</t>
  </si>
  <si>
    <t>Dall´Oglio, Evandro/S-1896-2019; Caroli, Marcos/H-3570-2019; Salmoria, Gean/ABD-8254-2020; Neves, Ademir/E-1660-2013; Gallardo, Hugo/A-9093-2008</t>
  </si>
  <si>
    <t>Rezende, Marcos/0000-0003-2040-9009; Gallardo, Hugo/0000-0002-8640-3120; Salmoria, Gean Vitor/0000-0003-1377-6433; Neves, Ademir/0000-0002-6713-798X</t>
  </si>
  <si>
    <t>0894-3230</t>
  </si>
  <si>
    <t>10.1002/(SICI)1099-1395(199806)11:6&lt;411::AID-POC9&gt;3.0.CO;2-L</t>
  </si>
  <si>
    <t>WOS:000075124800006</t>
  </si>
  <si>
    <t>Bamon, R; Moreira, CG; Plaza, S; Vera, J</t>
  </si>
  <si>
    <t>Differentiable structures of central Cantor sets</t>
  </si>
  <si>
    <t>Central Canter sets form a class of symmetric Canter sets of the real line. Here we give a complete characterization of the Ck+alpha regularity of these Canter sets. We also give a classification of central Canter sets up to global and local diffeomorphisms. Examples of central Canter sets with special dynamical and measure-theoretical properties are also provided. Finally, we calculate the fractal dimensions of an arbitrary central Canter set.</t>
  </si>
  <si>
    <t>Plata, Sergio/AAA-6144-2019</t>
  </si>
  <si>
    <t>10.1017/S014338579708629X</t>
  </si>
  <si>
    <t>WOS:A1997YF19800002</t>
  </si>
  <si>
    <t>Allendes, C; Mussagy, CU; Caicedo-Paz, A; Cáceres-Mella, A; Farias, FO; Romero, J; Quijada-Maldonado, E</t>
  </si>
  <si>
    <t>Allendes, Cristian; Mussagy, Cassamo U.; Caicedo-Paz, Angie, V; Caceres-Mella, Alejandro; Farias, Fabiane O.; Romero, Julio; Quijada-Maldonado, Esteban</t>
  </si>
  <si>
    <t>Understanding the molecular structure of natural anthocyanins during recovery with ionic liquids: A combined COSMO-RS and experimental study</t>
  </si>
  <si>
    <t>Anthocyanins, water-soluble vacuolar pigments found in various fruits and vegetables, exhibit vibrant red, purple, or blue hues contingent upon their pH levels. The stability of these pigments depends on pH. Due to that, conventional extraction methods use volatile organic acidic solvents in solid-liquid extractions (SLE). Despite the widespread use of such solvents, the molecular mechanisms governing the stability of anthocyanins during SLE with different solvents remain inadequately explored. This study aimed to enhance the understanding of anthocyanin stability by identifying alternative neoteric solvents, specifically hydrophilic ionic liquids (ILs). A COSMO-RS prescreening was conducted to evaluate the impact of solvent cations and anions on the anthocyanin skeleton during extraction from grape pomace. The results revealed that acetate-based ILs exhibited the highest affinity for anthocyanins. However, experimental validation demonstrated that hydrogen sulfate anion-based ILs, particularly [bmim][HSO4], yielded the most favorable outcomes, with approximately 4 mg/g of total anthocyanin equivalent at 298.15K while maintaining low pH values ensuring stability for anthocyanin molecules. Interestingly, the choice of cations within the ILs did not significantly influence the results. The main extraction mechanism is attributed to hydrogen bonding interaction. Thus, this research not only identifies an effective solvent for anthocyanin extraction but also sheds light on the crucial role of the neoteric solvent's acid characteristics in maintaining the structural integrity of these valuable pigments.</t>
  </si>
  <si>
    <t>Mussagy, Cassamo Ussemane/AAS-8664-2020; Farias, Fabiane/P-1613-2019; Romero, Julio/I-6705-2013</t>
  </si>
  <si>
    <t>Quijada-Maldonado, Esteban/0000-0003-1411-4327; Caceres Mella, Alejandro/0000-0001-6490-9107; Mussagy, Cassamo Ussemane/0000-0003-2907-5826; Romero, Julio/0000-0002-1229-1592; Caicedo Paz, Angie Vanessa/0000-0002-0681-1109</t>
  </si>
  <si>
    <t>10.1016/j.fbio.2024.105283</t>
  </si>
  <si>
    <t>WOS:001338833300001</t>
  </si>
  <si>
    <t>Aranda, PM; García-Herrera, C; Celentano, D; Tuninetti, V; Toro, SA; Landeros, F</t>
  </si>
  <si>
    <t>Aranda, Pedro Miguel; Garcia-Herrera, Claudio; Celentano, Diego; Tuninetti, Victor; Toro, Sebastian Andres; Landeros, Felipe</t>
  </si>
  <si>
    <t>Hybrid numerical-experimental strategy for damage characterization of SAE 1045 steel</t>
  </si>
  <si>
    <t>EUROPEAN JOURNAL OF MECHANICS A-SOLIDS</t>
  </si>
  <si>
    <t>In this work, the elastoplastic behavior with continuous mechanical damage in a SAE 1045 steel is characterized using mainly torsional tests and simulations. A numerical-experimental inverse analysis procedure is proposed to fit a von Mises-type elastoplastic model and a Lemaitre-type continuous damage model to the material's mechanical response obtained in torsional tests. A FEM simulation campaign is carried out to calibrate the damage model, considering a two-step linear evolution of the damage variable in terms of the degradation of the elastic torsional stiffness measured in cyclic torsional tests. The procedure is validated with a numerical- experimental comparison in tensile tests to demonstrate the validity of the solution in other loading paths. The numerical model obtained is used to analyze the local effects of the damage and its distribution in torsional and tensile tests.</t>
  </si>
  <si>
    <t>García-Herrera, Claudio/ABE-8991-2020; Toro, Sebastian/CAH-7489-2022; Celentano, Diego/JQW-5027-2023; Tuninetti, Victor/ABC-7615-2022</t>
  </si>
  <si>
    <t>Tuninetti, Victor/0000-0002-2808-0415; Toro, Sebastian Andres/0000-0002-2004-1382</t>
  </si>
  <si>
    <t>0997-7538</t>
  </si>
  <si>
    <t>1873-7285</t>
  </si>
  <si>
    <t>10.1016/j.euromechsol.2023.105169</t>
  </si>
  <si>
    <t>WOS:001102544300001</t>
  </si>
  <si>
    <t>Ortega-Bastidas, P; Gómez, B; Aqueveque, P; Luarte-Martínez, S; Cano-de-la-Cuerda, R</t>
  </si>
  <si>
    <t>Ortega-Bastidas, Paulina; Gomez, Britam; Aqueveque, Pablo; Luarte-Martinez, Soledad; Cano-de-la-Cuerda, Roberto</t>
  </si>
  <si>
    <t>Instrumented Timed Up and Go Test (iTUG)-More Than Assessing Time to Predict Falls: A Systematic Review</t>
  </si>
  <si>
    <t>The Timed Up and Go (TUG) test is a widely used tool for assessing the risk of falls in older adults. However, to increase the test's predictive value, the instrumented Timed Up and Go (iTUG) test has been developed, incorporating different technological approaches. This systematic review aims to explore the evidence of the technological proposal for the segmentation and analysis of iTUG in elderlies with or without pathologies. A search was conducted in five major databases, following PRISMA guidelines. The review included 40 studies that met the eligibility criteria. The most used technology was inertial sensors (75% of the studies), with healthy elderlies (35%) and elderlies with Parkinson's disease (32.5%) being the most analyzed participants. In total, 97.5% of the studies applied automatic segmentation using rule-based algorithms. The iTUG test offers an economical and accessible alternative to increase the predictive value of TUG, identifying different variables, and can be used in clinical, community, and home settings.</t>
  </si>
  <si>
    <t>Gómez, Britam/AAY-6534-2020; Aqueveque, Pablo/I-1463-2012; Cano de la Cuerda, Roberto/KDO-9312-2024</t>
  </si>
  <si>
    <t>Gomez, Britam/0000-0001-6563-2955; Aqueveque, Pablo/0000-0001-9101-0383; Ortega-Bastidas, Paulina/0000-0002-9333-3036; Luarte, Sole/0000-0003-3429-6412; Cano de la Cuerda, Roberto/0000-0002-1118-4234</t>
  </si>
  <si>
    <t>10.3390/s23073426</t>
  </si>
  <si>
    <t>WOS:000970292500001</t>
  </si>
  <si>
    <t>Maquieira, CP; Espinosa-Méndez, C; Gahona-Flores, O</t>
  </si>
  <si>
    <t>Maquieira, Carlos P.; Espinosa-Mendez, Christian; Gahona-Flores, Orlando</t>
  </si>
  <si>
    <t>How does economic policy uncertainty (EPU) impact copper-firms stock returns? International evidence</t>
  </si>
  <si>
    <t>RESOURCES POLICY</t>
  </si>
  <si>
    <t>Using monthly data, we study 43 copper firms between January 2011 and March 2022. We analyze how copper-firms stock returns depend on copper-spot prices returns. Nevertheless, the main contribution of this article is to study how changes in Global EPU (GEPU) and Local EPU may impact on copper-firms stock returns and how both of them may influence the sensitivity of stock returns to copper prices returns. We find that both GEPU and Local EPU have a statistically significant and negative impact on stock returns. We also study regimes of high and low levels of EPU (Global and Local). For high levels of GEPU we find a negative relationship between stock returns and GEPU and for low levels of GEPU we detect a positive relationship. We also consider how high levels and low levels of Local EPU impact the relationship between copper spot returns and stock returns. When there are high levels of GEPU the sensitivity of stock returns to copper spot returns increases and the opposite is verified when there are low levels of GEPU. Using Local EPU we do not find significant changes in the sensitivity of stock returns to copper spot returns. As robustness test, we consider firms from other four industries (Gold, Oil, Electric Distribution and Gas Distribution). Most of the results show different behavior in each industry regarding the association between EPU and stock returns. We also run the main equations considering a six-factor model for returns (five factors from Fama and French) and the momentum factor. Finally, we do the analysis for copper future returns (90 days and 15 months), reporting similar results. We do not find significant changes in the results after doing all the robustness checking.</t>
  </si>
  <si>
    <t>Espinosa-Méndez, Christian/G-5177-2019; Maquieira, Carlos/ISB-9473-2023</t>
  </si>
  <si>
    <t>Espinosa-Mendez, Christian/0000-0001-6499-2414; Gahona-Flores, Doctor Orlando/0000-0002-6749-4522; Maquieira, Carlos/0000-0001-5710-4669</t>
  </si>
  <si>
    <t>0301-4207</t>
  </si>
  <si>
    <t>1873-7641</t>
  </si>
  <si>
    <t>10.1016/j.resourpol.2023.103372</t>
  </si>
  <si>
    <t>WOS:000965589100001</t>
  </si>
  <si>
    <t>Diaz, PAM; Nazif-Munoz, J; Magaña, I; Rojas, G</t>
  </si>
  <si>
    <t>Diaz, P. A. Martinez; Nazif-Munoz, J.; Magana, I.; Rojas, G.</t>
  </si>
  <si>
    <t>Structural gender inequalities and symptoms of postpartum depression in 40 countries</t>
  </si>
  <si>
    <t>EUROPEAN PSYCHIATRY</t>
  </si>
  <si>
    <t>30th European Congress of Psychiatry</t>
  </si>
  <si>
    <t>JUN 04-07, 2022</t>
  </si>
  <si>
    <t>0924-9338</t>
  </si>
  <si>
    <t>1778-3585</t>
  </si>
  <si>
    <t>EPV1629</t>
  </si>
  <si>
    <t>S852</t>
  </si>
  <si>
    <t>10.1192/j.eurpsy.2022.2208</t>
  </si>
  <si>
    <t>WOS:000897965702685</t>
  </si>
  <si>
    <t>Castillo, H; Collado, H; Droguett, T; Vesely, M; Garrido, P; Palma, S</t>
  </si>
  <si>
    <t>Castillo, Hengels; Collado, Humberto; Droguett, Thomas; Vesely, Mario; Garrido, Pamela; Palma, Sergio</t>
  </si>
  <si>
    <t>State of the art of geopolymers: A review</t>
  </si>
  <si>
    <t>E-POLYMERS</t>
  </si>
  <si>
    <t>Geopolymers emerge as an ecological alternative for construction materials. These consist of a mixture of aluminosilicate sources and an alkaline solution that dissolves the silicon and aluminum monomers that come from the source to generate a gel called N-A-S-H that will control the main properties of the geopolymer. The geopolymer stands out for having good resistance to compression, as well as good resistance to high temperatures and corrosive environments. They have great potential as a replacement for classical technologies such as concrete, however, require further applied research to determine their feasibility on an industrial scale.</t>
  </si>
  <si>
    <t>Droguett, Thomas/0000-0003-3483-0566; Castillo, Hengels/0000-0002-9319-1808</t>
  </si>
  <si>
    <t>2197-4586</t>
  </si>
  <si>
    <t>1618-7229</t>
  </si>
  <si>
    <t>10.1515/epoly-2022-0015</t>
  </si>
  <si>
    <t>WOS:000740800500001</t>
  </si>
  <si>
    <t>Villada, MDB; Bujanda, CEG; Baeza, ES; Matus, AM</t>
  </si>
  <si>
    <t>Buitrago Villada, Maria del Pilar; Garcia Bujanda, Carlos Enrique; Baeza, Erick Sierra; Matus, A. Marcelo</t>
  </si>
  <si>
    <t>Optimal Expansion and Reliable Renewable Energy Integration in Long-Term Planning Using FESOP</t>
  </si>
  <si>
    <t>2022 IEEE KANSAS POWER AND ENERGY CONFERENCE (KPEC 2022)</t>
  </si>
  <si>
    <t>IEEE Kansas Power and Energy Conference (KPEC)</t>
  </si>
  <si>
    <t>APR 25-26, 2022</t>
  </si>
  <si>
    <t>Manhattan, KS</t>
  </si>
  <si>
    <t>IEEE,IEEE Ind Applicat Soc,IEEE Power Elect Soc,IEEE Power &amp; Energy Soc</t>
  </si>
  <si>
    <t>Nowadays, where a profound transformation and climate change adaptation are crossing the energy industry, optimal expansion planning is critical for the more needed renewable and clean energy integration in medium and large systems. Moreover, we need to do this reliably and economically suitable for the final customers and the companies serving them. This work presents the results of applying the FESOP (Fabulous Energy System Optimizer) tool to analyze the Aysen electric system's optimal expansion. We developed FESOP to extend the long-term operational planning and include capacity expansion, variable energy resource representation, and modern flexibility systems capabilities, such as manageable storage systems and spinning reserve constraints. The resulting optimal expansion plans fulfill the expected demand for the next 30 years of the study, considering four growing scenarios. In the process, more renewable energy is integrated into the system. Moreover, given the spinning reserve requirement, the system always has enough reserve to cover full wind and solar generation.</t>
  </si>
  <si>
    <t>Sierra Baeza, Erick/AAV-9616-2021</t>
  </si>
  <si>
    <t>978-1-6654-6591-5</t>
  </si>
  <si>
    <t>10.1109/KPEC54747.2022.9814781</t>
  </si>
  <si>
    <t>WOS:000853634000034</t>
  </si>
  <si>
    <t>Arenas-Sánchez, G; Martínez-Barrera, C; Hernández-Cazcarra, ; Madariaga-Flores, B; Farías-Valenzuela, C; Espinoza-Salinas, A</t>
  </si>
  <si>
    <t>Arenas-Sanchez, G.; Martinez-Barrera, C.; Hernandez-Cazcarra, V; Madariaga-Flores, B.; Farias-Valenzuela, C.; Espinoza-Salinas, A.</t>
  </si>
  <si>
    <t>EFFECTS OF THE EXERCISE OF STRENGTH AND FLEXIBILITY ON THE KINETICS OF MUSCLE OXYGENATION AND THE RANGE OF HIP MOVEMENT IN SENIORS BASKETBALL PLAYERS</t>
  </si>
  <si>
    <t>Objective: to compare the effects of eccentric training and static stretching on the muscle oxygenation hamstrings and hip range of motion kinetics in seniors basketball players. Material and methods: the sample included 21 trained men aged 69 (+/- 2), BMI of 26,7 (+/- 0,5) (kg/m2). The sample was selected by simple randomization forming a dead weight group (DW-G: n: 11) and a neuromuscular proprioceptive facilitation group (NPF-G; n: 10). The training program was carried out during 4 weeks. The analyzed variables was joint range of motion (ROM) and muscle oxygenation (MO) pre and post training. Results: ROM increases were observed in both groups, NPF group went from 74 (+/- 3,8) to 93,27 (+/- 4,3) and the DW group from 74,45 (+/- 3,4) to 94,18 (+/- 2,8). The most noticeable difference between groups is the significant increase of muscle oxygenation (%) in the DW group 63,73 (+/- 1,6) to 69,73 (+/- 1,67) (p = 0,0177) compared to the NPF group. Significant p value &lt; 0,05. Conclusion: both groups present significant changes in terms of ROM increase; nevertheless MO was only significant in the group that performed eccentric strength training.</t>
  </si>
  <si>
    <t>WOS:000700078200009</t>
  </si>
  <si>
    <t>Sánchez, J; Dax, D; Tapiero, Y; Xu, CL; Willför, S</t>
  </si>
  <si>
    <t>Sanchez, Julio; Dax, Daniel; Tapiero, Yesid; Xu, Chunlin; Willfoer, Stefan</t>
  </si>
  <si>
    <t>Bio-Based Hydrogels With Ion Exchange Properties Applied to Remove Cu(II), Cr(VI), and As(V) Ions From Water</t>
  </si>
  <si>
    <t>Hydrogels with ion exchange properties were synthesized from compounds derived from wood biopolymer hemicellulose and from commercial vinyl monomers to be tested as active materials for the removal of Cu(II), Cr(VI), and As(V) ions. The hemicellulose O-acetyl galactoglucomannan (GGM) was used as the precursor material, and through a transesterification reaction, GGM was converted into a macromonomer GGM-glycidyl methacrylate (GGM-GMA). Subsequently, the GGM-GMA macromonomer, containing more than one methacrylate group, was used as a crosslinking agent in the synthesis of hydrogels through free-radical polymerization reactions in combination with a 2-acrylamido-2-methyl-1-propanesulfonic acid monomer to produce a cation exchange hydrogel. Also, (3-acrylamidopropyl)trimethylammonium chloride monomer was applied together with the GGM-GMA to form hydrogels that can be used as anion exchange hydrogel. The hydrogels were characterized by Fourier transform-infrared (FT-IR), H-1-NMR spectroscopy, and thermogravimetric analysis (TGA), as well as derivative thermogravimetry (DTG). The microstructure of the hydrogels was characterized by scanning electron microscopy (SEM) analysis with X-ray microanalysis energy-dispersive spectroscopy (EDS). The results obtained regarding the absorption capacity of the Cu(II), Cr(VI), and As(V) ions were studied as a function of the pH value and the initial concentration of the metal ions in the solutions. Absorption was carried out in consecutive batches, and it was found that the poly(GGM-GMA/AMPSH) hydrogel reached an absorption capacity of 90 mg g(-1) for Cu(II). The poly(GGM-GMA/APTACl) hydrogel reached values of 69 and 60 mg g(-1) for Cr(VI) and As(V) oxyanions, respectively. Tests with polymer blends (mixtures of anionic and cationic hydrogels) were also carried out to remove Cu(II), Cr(VI), and As(V) ions from multi-ionic solutions, obtaining satisfactory results.</t>
  </si>
  <si>
    <t>Sanchez, Julio/AEO-4360-2022; Xu, Chunlin/AGY-2562-2022; Willför, Stefan/HDL-6712-2022; Xu, Chunlin/H-5224-2012</t>
  </si>
  <si>
    <t>Dax, Daniel/0000-0003-3445-4492; Xu, Chunlin/0000-0003-1860-9669</t>
  </si>
  <si>
    <t>10.3389/fbioe.2021.656472</t>
  </si>
  <si>
    <t>WOS:000657306300001</t>
  </si>
  <si>
    <t>Mura, J; Alvarez, VH; Oberman, DZ; Cardenas, AR; Rabelo, NN; Figueiredo, EG</t>
  </si>
  <si>
    <t>Mura, Jorge; Alvarez, Victor Hernandez; Oberman, Dan Zimelewicz; Cardenas, Aladino Rojas; Rabelo, Nicollas Nunes; Figueiredo, Eberval Gadelha</t>
  </si>
  <si>
    <t>Management of Giant Thrombosed MCA Aneurysm: Double STA-MCA Revascularization</t>
  </si>
  <si>
    <t>WORLD NEUROSURGERY</t>
  </si>
  <si>
    <t>Giant middle cerebral artery (MCA) aneurysms are rare complex cerebrovascular lesions to treat.(1) The management of those aneurysms may be very challenging, despite the introduction of refined microsurgical techniques and the rapid progress in endovascular methods, which often require bypass surgery as part of the strategy.(2-4) This approach is particularly relevant to giant, dolichoectatic, and thrombotic aneurysms.(5,6) This video shows the surgical strategy and stepwise depiction of the surgical treatment of a complex giant thrombosed aneurysm using a double-barrel superficial temporal artery (STA) to MCA bypass (Video 1). Informed written consent was obtained from the patient and his family. The patient was a 50-year-old man, previously healthy, who presented with headache, memory difficulty, and left-sided involuntary movements for 2 months. Computed tomography scan showed a giant round calcified and heterogeneous lesion compatible with a thrombosed MCA aneurysm. Brain magnetic resonance imaging showed the same lesion with a flow void signal inside in a serpentine fashion and a complete hemosiderin halo. Conventional angiography showed the false lumen and the filling of the distal MCA branches with a certain degree of arterial delay. The lesion was located between M1 and M3 segments of MCA. Extracranial-intracranial STA-MCA bypass was performed. Then we opened the aneurysm sac for decompression and observed the lenticulostriate artery branches arising away from the aneurysm sac. The complete clipping and patency of the anastomosis was validated during surgery by indocyanine green angiography. Postoperative cerebral computed tomography angiography revealed good patency from the STA to the MCA. The patient was neurologically intact without complains.</t>
  </si>
  <si>
    <t>Figueiredo, Eberval/H-3488-2012; Mura, Jorge/HPF-5221-2023; RABELO, NICOLLAS/V-9824-2018</t>
  </si>
  <si>
    <t>1878-8750</t>
  </si>
  <si>
    <t>1878-8769</t>
  </si>
  <si>
    <t>10.1016/j.wneu.2021.01.125</t>
  </si>
  <si>
    <t>WOS:000646895900002</t>
  </si>
  <si>
    <t>Saavedra, E; Corona, RM; Vidal-Silva, N; Palma, JL; Altbir, D; Escrig, J</t>
  </si>
  <si>
    <t>Saavedra, E.; Corona, R. M.; Vidal-Silva, N.; Palma, J. L.; Altbir, D.; Escrig, J.</t>
  </si>
  <si>
    <t>Dynamic and static properties of stadium-shaped antidot arrays</t>
  </si>
  <si>
    <t>In this work we performed a detailed numerical analysis on the static and dynamic properties of magnetic antidot arrays as a function of their geometry. In particular, we explored how by varying the shape of these antidot arrays from circular holes to stadium-shaped holes, we can effectively control the magnetic properties of the array. Using micromagnetic simulations we evidenced that coercivity is very sensitive to the shape of antidots, while the remanence is more robust to these changes. Furthermore, we studied the dynamic susceptibility of these systems, finding that it is possible to control both the position and the number of resonance peaks simply by changing the geometry of the holes. Thus, this work provides useful insights on the behavior of antidot arrays for different geometries, opening routes for the design and improvement of two-dimensional technologies.</t>
  </si>
  <si>
    <t>Saavedra, Eduardo/IQS-4264-2023; Altbir, Dora/R-6781-2018; Palma, Juan/IAP-4554-2023; Escrig, Juan/N-4304-2015; Vidal Silva, Nicolas/IAN-0226-2023</t>
  </si>
  <si>
    <t>Saavedra Diaz, Eduardo Andres/0000-0002-2842-2526; Corona, Rosa/0000-0001-6054-5019; Escrig, Juan/0000-0002-3958-8185; Vidal Silva, Nicolas/0000-0002-3717-3816; Palma, JuanLuis/0000-0003-2068-174X</t>
  </si>
  <si>
    <t>10.1038/s41598-020-77074-2</t>
  </si>
  <si>
    <t>WOS:000595719100009</t>
  </si>
  <si>
    <t>Eugenín, J; Larraín, C; Zapata, P</t>
  </si>
  <si>
    <t>Eugenin, Jaime; Larrain, Carolina; Zapata, Patricio</t>
  </si>
  <si>
    <t>Plasticity of cardiovascular chemoreflexes after prolonged unilateral carotid body denervation: implications for its therapeutic use</t>
  </si>
  <si>
    <t>AMERICAN JOURNAL OF PHYSIOLOGY-HEART AND CIRCULATORY PHYSIOLOGY</t>
  </si>
  <si>
    <t>Unilateral carotid body denervation has been proposed as treatment for sympathetic-related human diseases such as systolic heart failure, hypertension, obstructive sleep apnea, and cardiometabolic diseases. The long-term therapeutic effects of carotid body removal will be maintained if the remnant buffer nerves, that is. the contralateral carotid nerve and the aortic nerves that innervate second-order neurons at the solitary tract nuclei (NTS), do not modify their contributions to the cardiovascular chemoreflexes. Here, we studied the cardiovascular chemoreflexes 1 mo after unilateral carotid body denervation either by excision of the petrosal ganglion (petrosal ganglionectomy, which eliminates central carotid afferents) or exeresis of a segment of one carotid nerve (carotid neurectomy, which preserves central afferents). Cardiovascular chemoreflexes were induced by intravenous (iv) injections of sodium cyanide in pentobarbitone-anesthetized adult cats. After 1 mo of unilateral petmsal ganglionectomy, without significant changes in basal arterial pressure, the contribution of the contralateral carotid nerve to the chemoreflex increases in arterial pressure was enhanced without changes in the contribution provided by the aortic nerves. By contrast, after 1 mo of unilateral carotid neureetomy, the contribution of remnant buffer nerves to cardiovascular chemoreflexes remained unmodified. These results indicate that a carotid nerve interruption involving denervation of second-order chemosensory neurons at the NTS will trigger cardiovascular chemoreflex plasticity on the contralateral carotid pathway. Then. unilateral carotid body denervation as therapeutic tool should consider the maintenance of the integrity of carotid central chemoafferents to prevent plasticity on remnant buffer nerves. NEW &amp; NOTEWORTHY Unilateral carotid body denervation has been proposed as treatment for sympathetic hyperactivity-related human disorders. Its therapeutic effectiveness for maintaining a persistent decrease in the sympathetic outflow activity will depend on the absence of compensatory chemoreflex plasticity in the remnant carotid and aortic afferents. Here, we suggest that the integrity of central afferents after carotid body denervation is essential to prevent the emergence of plastic functional changes on the contralateral intact carotid nerve.</t>
  </si>
  <si>
    <t>Zapata, Patricio/JAC-7460-2023</t>
  </si>
  <si>
    <t>0363-6135</t>
  </si>
  <si>
    <t>1522-1539</t>
  </si>
  <si>
    <t>H1325</t>
  </si>
  <si>
    <t>H1336</t>
  </si>
  <si>
    <t>10.1152/ajpheart.00451.2019</t>
  </si>
  <si>
    <t>WOS:000532579000028</t>
  </si>
  <si>
    <t>Ibacache, JA; Valderrama, JA; Faúndes, J; Danimann, A; Recio, FJ; Zúñiga, CA</t>
  </si>
  <si>
    <t>Andrea Ibacache, Juana; Valderrama, Jaime A.; Faundes, Judith; Danimann, Alex; Recio, Francisco J.; Zuniga, Cesar A.</t>
  </si>
  <si>
    <t>Green Synthesis and Electrochemical Properties of Mono- and Dimers Derived from Phenylaminoisoquinolinequinones</t>
  </si>
  <si>
    <t>In the search for new quinoid compounds endowed with potential anticancer activity, the synthesis of novel heterodimers containing the cytotoxic 7-phenylaminoisoquinolinequinone and 2-phenylaminonaphthoquinone pharmacophores, connected through methylene and ethylene spacers, is reported. The heterodimers were prepared from their respective isoquinoline and naphthoquinones and 4,4'-diaminodiphenyl alkenes. The access to the target heterodimers and their corresponding monomers was performed both through oxidative amination reactions assisted by ultrasound and CeCl(3)7H(2)O catalysis in water. This eco-friendly procedure was successfully extended to the one-pot synthesis of homodimers derived from the 7-phenylaminoisoquinolinequinone pharmacophore. The electrochemical properties of the monomers and dimers were determined by cyclic and square wave voltammetry. The number of electrons transferred during the oxidation process, associated to the redox potential E-1/2(I), was determined by controlled potential coulometry.</t>
  </si>
  <si>
    <t>Recio, Javier/GVU-5031-2022; Zúñiga-Loyola, César/AAN-5621-2021</t>
  </si>
  <si>
    <t>Recio, Francisco/0000-0002-5181-3197; Zuniga-Loyola, Cesar/0000-0002-0894-3383; Faundes, Judith/0000-0001-8063-7885</t>
  </si>
  <si>
    <t>10.3390/molecules24234378</t>
  </si>
  <si>
    <t>WOS:000507294400177</t>
  </si>
  <si>
    <t>Manikandan, V; Singh, M; Yadav, BC; Denardin, JC</t>
  </si>
  <si>
    <t>Manikandan, V.; Singh, Monika; Yadav, B. C.; Denardin, Juliano C.</t>
  </si>
  <si>
    <t>Fabrication of lithium substituted copper ferrite (Li-CuFe2O4) thin film as an efficient gas sensor at room temperature</t>
  </si>
  <si>
    <t>JOURNAL OF SCIENCE-ADVANCED MATERIALS AND DEVICES</t>
  </si>
  <si>
    <t>A Li-CuFe2O4 thin film has a well-defined nanocrystalline structure with a crystallite size of similar to 17 nm. The TEM and SEM images of the Li-CuFe2O4 thin film show a polyhedron shape of nanoparticles with uneven sizes, resulting in a significant change in its gas sensing characteristics such as sensitivity and sensor response. An optical analysis shows that the Li-CuFe2O4 thin film has a semiconducting nature, and the band gap of the thin film is determined to be 1.15 eV. The gas sensor analysis demonstrates repeatability of the sensing behavior of the Li-CuFe2O4 thin film and this ensures a reliable and efficient gas sensor at room temperature. (C) 2018 The Authors. Publishing services by Elsevier B.V. on behalf of Vietnam National University, Hanoi.</t>
  </si>
  <si>
    <t>Singh, Monika/HKV-4368-2023; vairaven, Manikandan/A-8703-2016; YADAV, BAL/AAD-2095-2019; Denardin, Juliano/S-6407-2019</t>
  </si>
  <si>
    <t>Venkatraman, Manikandan/0000-0003-4882-2663; Yadav, Bal Chandra/0000-0001-7790-4647</t>
  </si>
  <si>
    <t>2468-2284</t>
  </si>
  <si>
    <t>2468-2179</t>
  </si>
  <si>
    <t>10.1016/j.jsamd.2018.03.008</t>
  </si>
  <si>
    <t>WOS:000437216800003</t>
  </si>
  <si>
    <t>Hernández, G; León, R; Urtubia, A</t>
  </si>
  <si>
    <t>Panda, SK; Shetty, PH</t>
  </si>
  <si>
    <t>Hernandez, Gonzalo; Leon, Roberto; Urtubia, Alejandra</t>
  </si>
  <si>
    <t>Application of Computational Intelligence Techniques for Forecasting Problematic Wine Fermentations Using Data from Classical Chemical Measurements</t>
  </si>
  <si>
    <t>INNOVATIONS IN TECHNOLOGIES FOR FERMENTED FOOD AND BEVERAGE INDUSTRIES</t>
  </si>
  <si>
    <t>Food Microbiology and Food Safety</t>
  </si>
  <si>
    <t>The early forecasting of normal and problematic wine fermentations is one of the main problems of winemaking processes, due to its significant impacts in wine quality and utility. In Chile this is a critical problem because it is one of the top ten wine-producing countries. In this chapter, we review the computational intelligence methods that have been applied to solve this problem. Both methods studied, support vector machines and artificial neural networks, show excellent results with respect to the overall prediction error for different training/testing/validation percentages, different time cutoffs, and several parameter configurations. These results are of great importance for wine production because they are based only on measurement of classical chemical variables and they confirm that computational intelligence methods are a useful tool to the winemakers in order to correct in time a potential problem in the fermentation process.</t>
  </si>
  <si>
    <t>Leon, Roberto/C-5291-2017; Urtubia, Alejandra/N-4038-2013</t>
  </si>
  <si>
    <t>978-3-319-74820-7; 978-3-319-74819-1</t>
  </si>
  <si>
    <t>10.1007/978-3-319-74820-7_16</t>
  </si>
  <si>
    <t>10.1007/978-3-319-74820-7</t>
  </si>
  <si>
    <t>WOS:000449846200016</t>
  </si>
  <si>
    <t>Papi, S; Montalvo, S; Papic, L; Borja, R</t>
  </si>
  <si>
    <t>Papi, S.; Montalvo, S.; Papic, Lj.; Borja, R.</t>
  </si>
  <si>
    <t>Biological removal of gaseous sulfur dioxide through the reduction to hydrogen sulfide by means of Desulfovibrio desulfuricans</t>
  </si>
  <si>
    <t>INTERNATIONAL BIODETERIORATION &amp; BIODEGRADATION</t>
  </si>
  <si>
    <t>The biological removal of gaseous sulfur dioxide using the sulfate reducing bacteria Desulfovibrio desulfuricans is studied. Laboratory-scale bioreactors were designed to generate sulfur dioxide in them through a chemical reaction. To evaluate the biological reduction, three kinetics (in triplicate) were taken in batch mode with loads of 15, 20 and 25 mmol of SO2 generated in the gas phase per liter of culture medium in the liquid phase. Lactate was used as substrate (electron donor) and carbon source. The experimental results showed a 100% SO2 reduction for all the evaluated loads. The tests lasted 24, 72 and 192 h, with lower, intermediate and higher loads, respectively. The total sulfide (S2-) produced varied between 75 and 126 mg for the tests with lower and higher load, respectively. These amounts were composed of a fraction in the aqueous phase (287 and 533 mg of S2- /L and another in the gas phase (0.9 x 10(8) and 2.7 x 10(8) mu g H2S/m(3)). The mass ratio between product formation (sulfide) and electron donor consumption (expressed as COD) ranged from 81% to 90% of the theoretical value (0.67 mg of sulfide produced per mg of COD consumed).</t>
  </si>
  <si>
    <t>0964-8305</t>
  </si>
  <si>
    <t>1879-0208</t>
  </si>
  <si>
    <t>10.1016/j.ibiod.2017.09.023</t>
  </si>
  <si>
    <t>WOS:000418981900003</t>
  </si>
  <si>
    <t>Sánchez, J; Mendoza, N; Rivas, BL; Basaez, L; Santiago-García, JL</t>
  </si>
  <si>
    <t>Sanchez, Julio; Mendoza, Nicole; Rivas, Bernabe L.; Basaez, Luis; Santiago-Garcia, J. L.</t>
  </si>
  <si>
    <t>Preparation and characterization of water-soluble polymers and their utilization in chromium sorption</t>
  </si>
  <si>
    <t>In this article, we study the sorption of chromium from aqueous solutions using water-soluble polymers (WSPs): poly[2-(acryloyloxy) ethyl] trimethylammonium chloride, P(ClAETA); poly[2-(methacryloyloxy) ethyl] trimethylammonium methyl sulfate, P(SAETA); and poly(sodium 4-styrenesulfonate), P(NaSS). These WSPs were obtained by radical polymerization and purified by fractionation through ultrafiltration membranes with different molar mass cut-offs (30 and 100 kDa). The characterization was carried out by thermogravimetric analysis (TGA), FTIR, and H-1-NMR spectroscopies and scanning electron microscopy/energy dispersive X-ray spectroscopy. The chromium retention properties of the polymers were determined in terms of pH, optimal polymer concentration, and the effect of interfering ions. The results show yields above 80% for all of the synthesized WSPs. Characterization by spectroscopy confirmed the chemical structure of the polymers. TGA shows thermal decomposition temperatures of 264 and 324 degrees C for P(ClAETA) and P(SAETA), respectively. In the case of P(NaSS), the first thermal decomposition begins at approximately 450 degrees C. Maximum retention of Cr(VI) (100%) by the polymers P(ClAETA) and P(SAETA) was achieved at pH 9, and the maximum retention of Cr(III) (100%) was achieved by P(NaSS) at pH 3. The optimal polymer:Cr molar ratio obtained was 20:1. The retention of chromium(VI) was decreased by the presence of interfering ions, and the hydrodynamic flux was almost constant during ultrafiltration. (c) 2017 Wiley Periodicals, Inc. J. Appl. Polym. Sci. 2017, 134, 45355.</t>
  </si>
  <si>
    <t>García, José/O-5528-2016; Sanchez, Julio/AEO-4360-2022; Rivas, Bernabé/D-9945-2015</t>
  </si>
  <si>
    <t>10.1002/app.45355</t>
  </si>
  <si>
    <t>WOS:000405633000020</t>
  </si>
  <si>
    <t>Morelo, G; Márquez-Ruiz, G; Holgado, F; Giménez, B; Robert, P</t>
  </si>
  <si>
    <t>Morelo, Guibeth; Marquez-Ruiz, Gloria; Holgado, Francisca; Gimenez, Begona; Robert, Paz</t>
  </si>
  <si>
    <t>Design of flavonoid microparticles with channel forming properties to improve oxidative stability of sunflower oil</t>
  </si>
  <si>
    <t>EUROPEAN JOURNAL OF LIPID SCIENCE AND TECHNOLOGY</t>
  </si>
  <si>
    <t>Quercetin (Q) and epicatechin (E) microparticles were designed using an oil-insoluble polymer (inulin [In]) as encapsulating agent and with or without an oil-soluble polymer (soy protein isolate [SPI]) by spray-drying. Encapsulation efficiencies were significantly higher for the E systems than for Q systems, suggesting that the spatial arrangement may affect the hydroxyl groups availability to form hydrogen bonds. The microencapsulated flavonoids were added to sunflower oil (SO) in order to evaluate its oxidative stability. The induction period (IP) of SO, determined in Rancimat at 60 degrees C, significantly increased when Q-microparticles with or without SPI were added, showing those with SPI the highest IP value. In the case of E systems, the IP of SO increased only when E-In microparticles with SPI were added. These results suggest that SPI may favor the diffusion of flavonoids to the lipid medium by the formation of channels into the microparticles. The channels formation was observed for Q-In-SPI and E-In-SPI by a confocal laser scanning microscopy study. Additional oxidation studies under conditions of lower oxygen availability resulted in overall more retarded oxidation and no clear effect of SPI incorporation was observed. Practical application: The results show that it is possible to design flavonoid microparticles with antioxidant activity in bulk oils. The inclusion of a lipid-soluble polymer such as soy protein isolate in the microparticles favors the flavonoid release from the microparticles to bulk oil by channel formation. Epicatechin (E) and quercetin (Q) microparticles designed with inulin (IN, encapsulating agent) and soy protein isolate (SPI, channelizing agent) are incorporated to sunflower oil (SO). The channels formation is observed for Q-In-SPI and E-In-SPI by confocal laser scanning microscopy. The induction period (IP) of SO (Rancimat at 60 degrees C) significantly increases when Q-microparticles with or without SPI are added, showing those with SPI the highest IP value. Regarding E systems, the IP of SO increases only when E-In microparticles with SPI are added. No clear effect of SPI incorporation is observed in additional oxidation studies under conditions of lower oxygen availability.</t>
  </si>
  <si>
    <t>Robert, Paz/G-8198-2014; Holgado, Francisca/AAC-1822-2020; Marquez-Ruiz, Gloria/B-6925-2013</t>
  </si>
  <si>
    <t>HOLGADO, FRANCISCA/0000-0003-4950-5950; Marquez-Ruiz, Gloria/0000-0002-8548-837X; Morelo Hernandez, Guibeth Liliana/0000-0003-0814-6162</t>
  </si>
  <si>
    <t>1438-7697</t>
  </si>
  <si>
    <t>1438-9312</t>
  </si>
  <si>
    <t>10.1002/ejlt.201700041</t>
  </si>
  <si>
    <t>WOS:000412122500021</t>
  </si>
  <si>
    <t>Díaz-Báñez, JM; Fabila-Monroy, R; Pérez-Lantero, P; Ventura, I</t>
  </si>
  <si>
    <t>Diaz-Banez, J. M.; Fabila-Monroy, R.; Perez-Lantero, P.; Ventura, I.</t>
  </si>
  <si>
    <t>New results on the coarseness of bicolored point sets</t>
  </si>
  <si>
    <t>INFORMATION PROCESSING LETTERS</t>
  </si>
  <si>
    <t>Let S be a set n points in general position in the plane. A 2-coloring of S is an assignment of one of two colors (red or blue) to each point of S. Recently, a parameter called coarseness was introduced by Bereg et al. (2013) [7]; it is a measure of how well blended a given 2-coloring of S is. Informally, the coarseness of a 2-coloring is high when S can be split into blocks, each with a large difference in its number of red and blue points. In this paper, we study two questions related to this parameter: Given a 2-coloring of S, can its coarseness be approximated to a constant factor in polynomial time? What is the minimum coarseness over all 2-colorings of S? For the first problem, we show that there exists a polynomial-time algorithm that for a given 2-coloring of S, approximates its coarseness to a constant ratio. For the second problem, we prove that every set of n points can be 2-colored such that its coarseness is at most O(n(1/2)root Iogn). We show that this bound is almost tight since there exist sets of n points such that every 2-coloring has coarseness at least Omega(n(1/4)). (C) 2017 Elsevier B.V. All rights reserved.</t>
  </si>
  <si>
    <t>Fabila-Monroy, Ruy/A-2890-2016; Ventura Molina, Inmaculada/J-3309-2017; Diaz-Banez, Jose Miguel/L-1996-2014</t>
  </si>
  <si>
    <t>Ventura Molina, Inmaculada/0000-0003-1217-3913; Diaz-Banez, Jose Miguel/0000-0002-4031-4309</t>
  </si>
  <si>
    <t>0020-0190</t>
  </si>
  <si>
    <t>1872-6119</t>
  </si>
  <si>
    <t>10.1016/j.ip1.2017.02.007</t>
  </si>
  <si>
    <t>WOS:000400878300001</t>
  </si>
  <si>
    <t>Díaz, HA; Maureira, F; Córdova, F</t>
  </si>
  <si>
    <t>Ahuja, V; Shi, Y; Khazanchi, D; Abidi, N; Tian, Y; Berg, D; Tien, JM</t>
  </si>
  <si>
    <t>Diaz M, Hernan A.; Maureira, Fernando; Cordova, Felisa</t>
  </si>
  <si>
    <t>Temporal scaling and inter-individual hemispheric asymmetry of chaos estimation from EEG time series</t>
  </si>
  <si>
    <t>5TH INTERNATIONAL CONFERENCE ON INFORMATION TECHNOLOGY AND QUANTITATIVE MANAGEMENT, ITQM 2017</t>
  </si>
  <si>
    <t>5th International Conference on Information Technology and Quantitative Management (ITQM)</t>
  </si>
  <si>
    <t>DEC 08-10, 2017</t>
  </si>
  <si>
    <t>New Delhi, INDIA</t>
  </si>
  <si>
    <t>Int Acad Informat Technol &amp; Quantitat Management,Jaypee Business Sch,Chinese Acad Sci, Res Ctr Fictitious Econ &amp; Data Sci,Chinese Acad Sci, Key Lab Big Data Min &amp; Knowledge Management,Univ Chinese Acad Sci, Sch Econ &amp; Management,Chinese Acad Sci, Inst Policy &amp; Management,Univ Nebraska Omaha,Chinese Acad Management,Grad Sch Management Technol,Hoseo Univ,Chinese Assoc Artificial Intelligence</t>
  </si>
  <si>
    <t>The aim of the present research was to measure the brain order/chaos inter-hemispheric asymmetry, long memory processing, and predictability of an EEG signal at different timescales during a simple exercise of closed eyes imagination or mental projection. We studied inter-hemispheric asymmetries in frontal, temporal and occipital areas of the brain during 2 minutes of silent and relaxed mental projective task of visualizing themselves performing a physical exercise practice. EEG signal was recorded using the brain-computer device EmotivEpoc (R) from 8 subjects aged between 20 and 30 years, all fellowships in two weeks of modern dance workshop. The results showed that Hurst (H) exponent used as anestimator of the persistence/anti-persistence dynamics of the EEG process vary inversely with the length of the time window (1, 3, 12, 30 and 120 s) used to calculate H at different timescales.We foundsignificant inter-hemispheric asymmetry in the temporal and occipital regions, with left hemisphere having the higher scores of H. Together with a common general trend we observed inter-individual variability of inter-hemispheric asymmetry between frontal, temporal and occipital lobes, being the temporal the one with the highest scores. We evaluated statistically these differences and significance. (C) 2017 The Authors. Published by Elsevier B.V.</t>
  </si>
  <si>
    <t>Arciniegas, Hugo Armando/GSN-3657-2022; CORDOVA, FELISA/S-1093-2019</t>
  </si>
  <si>
    <t>10.1016/j.procs.2017.11.378</t>
  </si>
  <si>
    <t>WOS:000426698300045</t>
  </si>
  <si>
    <t>Saldías, C; Méndez-López, M; Saavedra-Torres, M; Pereira, A; Rojas, MA; Avila-Salas, F; Bonardd, S; Pino-Orellana, M; Saldías, S; Quezada, C; Leiva, A; Radic, D</t>
  </si>
  <si>
    <t>Saldias, Cesar; Mendez-Lopez, Maximiliano; Saavedra-Torres, Mario; Pereira, Alfredo; Rojas, Moises A.; Avila-Salas, Fabian; Bonardd, Sebastian; Pino-Orellana, Maximiliano; Saldias, Soledad; Quezada, Caterina; Leiva, Angel; Radic, Deodato</t>
  </si>
  <si>
    <t>Interfacial behavior of PAMAM-PCL dendrimers and in situ spontaneous formation of gold nanoparticles at the toluene-water and air-water interfaces: Experimental and theoretical studies</t>
  </si>
  <si>
    <t>EUROPEAN POLYMER JOURNAL</t>
  </si>
  <si>
    <t>Using pendant drop and Langmuir techniques, the interfacial behavior of hydroxyl terminated poly(amido amine) (PAMAM-OH) dendrimers of generation 4, modified with poly(epsilon-caprolactone) (PAMAM-PCL), were analyzed and characterized. The study was performed at the toluene-water and air-water interfaces using two different molecular weights of PAMAM-PCL. Using this method, the interfacial activity of the dendrimers is shown to depend on the chain length of the PCL blocks. Using the Gibbs equation, the driving force for the adsorption process at the toluene-water interface was found to be of an enthalpic nature. In addition, stable monolayers of PAMAM-PCL at the air-water interface were obtained. For this analysis, the elasticity and critical exponent of the excluded volume, nu, for the PAMAM-PCL spread monolayers were determined. Alternatively, when the pure water phase was changed to an AuCl4- aqueous solution for both interfaces, different behavior in the interfacial activity of PAMAM-PCL was detected. Moreover, the spontaneous formation of gold nanoparticles at room temperature, at both interfaces, was observed. This was confirmed by UV-vis spectra and atomic force microscopy (AFM) images. Finally, molecular simulations and electronic structure calculations helped us to gain insights on the behavior of the dendrimers at the toluene-water interface and the PAMAM-PCL-gold nanoparticle interactions, respectively. (C) 2016 Elsevier Ltd. All rights reserved.</t>
  </si>
  <si>
    <t>Bonardd, Sebastian/AAH-9448-2019</t>
  </si>
  <si>
    <t>Avila-Salas, Fabian/0000-0002-0247-6868; Mendez-Lopez, Maximiliano/0000-0002-8919-2066; Pereira, Alfredo/0000-0002-0258-0948; Saavedra, Mario/0000-0003-2030-2375; Bonardd, Sebastian/0000-0002-3764-9968; Saldias, Cesar/0000-0001-6124-6205; Leiva-Campusano, Angel Rodrigo/0000-0003-3744-1945</t>
  </si>
  <si>
    <t>0014-3057</t>
  </si>
  <si>
    <t>1873-1945</t>
  </si>
  <si>
    <t>10.1016/j.eurpolymj.2016.09.017</t>
  </si>
  <si>
    <t>WOS:000390181800016</t>
  </si>
  <si>
    <t>Vera-Villarroel, P; Celis-Atenas, K; Urzúa, A; Silva, J; Contreras, D; Lillo, S</t>
  </si>
  <si>
    <t>Vera-Villarroel, Pablo; Celis-Atenas, Karem; Urzua, Alfonso; Silva, Jaime; Contreras, Daniela; Lillo, Sebastian</t>
  </si>
  <si>
    <t>THE MEDIATING ROLE OF AFFECTS IN THE RELATION BETWEEN OPTIMISM AND WELL-BEING</t>
  </si>
  <si>
    <t>Using a cross-sectional non-experimental design, the mediating role of (positive and negative) affects was assessed in the relation between optimism and well-being (subjective and psychological). A total of 421 people aged between 18 and 60 years with no diagnosed mental pathology participated in this study. Each participant responded to a set of questionnaires (optimism, happiness, satisfaction with life, psychological well-being, positive and negative affect). The relations between the variables are what was expected theoretically: optimism and well-being are correlated negatively with negative affect and positively with positive affect. The indicators of fit are moderate and show the relation between optimism and well-being (subjective and psychological) mediated by the affects. Therefore, optimism could be considered a promoter of the levels of people's well-being, with this relation being mediated by the affects. The results obtained contribute to the explanatory models of well-being based on internal variables.</t>
  </si>
  <si>
    <t>Vera-Villarroel, Pablo/AAQ-8476-2020; Lillo, Sara/KVB-4124-2024; Urzua, Alfonso/A-1208-2012; Vera-Villarroel, Pablo/A-1134-2011</t>
  </si>
  <si>
    <t>Urzua, Alfonso/0000-0002-0882-2194; Vera-Villarroel, Pablo/0000-0001-9187-8414</t>
  </si>
  <si>
    <t>1851-7951</t>
  </si>
  <si>
    <t>WOS:000385262200010</t>
  </si>
  <si>
    <t>Garrido-Ramírez, EG; Mora, ML; Marco, JF; Ureta-Zañartu, MS</t>
  </si>
  <si>
    <t>Garrido-Ramirez, E. G.; Mora, M. L.; Marco, J. F.; Ureta-Zanartu, M. S.</t>
  </si>
  <si>
    <t>Characterization of nanostructured allophane clays and their use as support of iron species in a heterogeneous electro-Fenton system</t>
  </si>
  <si>
    <t>APPLIED CLAY SCIENCE</t>
  </si>
  <si>
    <t>Nanostructured allophane clays supported with iron oxide (AlSi2Fe6) were characterized by X-ray photoelectron spectroscopy (XPS) and Mossbauer spectroscopy showing the presence of both Fe3+ and Fe2+ species on the allophane surface. A glassy carbon disk (GC) modified with a film obtained by the deposition of drops of a dispersion formed by graphite and AlSi2Fe6 in water was used as working electrode in a heterogeneous electro-Fenton system (HE-Fenton) for the oxidation of atrazine. The effect of the initial pHs and the proportion of AlSi2Fe6/graphite in the mixture were studied and compared with the heterogeneous Fenton process. The HE-Fenton system using AlSi2Fe6-GC electrodes showed higher efficiency towards the oxidation of atrazine than the heterogeneous Fenton one; mainly due to the continuous and simultaneous electro-regeneration of iron species (Fe-3+/Fe2+) and electro-generation of hydrogen peroxide by the oxygen reduction process. The degradation of atrazine in this HE-Fenton system reached almost 100% at pH 3.0 after 8 h, whereas at more neutral pH (similar to 6) a 76% of degradation was obtained. Two reaction products were identified by HPLC: desethyl-atrazine (DEA) and desethyl-desisopropyl-atrazine (DEIA). (C) 2013 Elsevier B.V. All rights reserved.</t>
  </si>
  <si>
    <t>Ureta-Zañartu, Maria/G-5239-2019; Mora Gil, Maria Luz/AAT-4081-2021; Marco, JF/N-3176-2014</t>
  </si>
  <si>
    <t>Garrido-Ramirez, Elizabeth/0000-0002-1685-7979; Marco, JF/0000-0002-5147-1449; Mora, Maria Luz/0000-0002-7474-1595</t>
  </si>
  <si>
    <t>0169-1317</t>
  </si>
  <si>
    <t>1872-9053</t>
  </si>
  <si>
    <t>10.1016/j.clay.2013.10.001</t>
  </si>
  <si>
    <t>WOS:000328597100020</t>
  </si>
  <si>
    <t>Ren, B; Yang, N; Wang, J; Ma, XL; Wang, Q; Xie, F; Guo, H; Liu, ZH; Pugin, B; Zhang, LX</t>
  </si>
  <si>
    <t>Ren, Biao; Yang, Na; Wang, Jian; Ma, Xiao-Long; Wang, Qian; Xie, Feng; Guo, Hui; Liu, Zhi-Heng; Pugin, Benoit; Zhang, Li-Xin</t>
  </si>
  <si>
    <t>Amphibacillus marinus sp nov., a member of the genus Amphibacillus isolated from marine mud</t>
  </si>
  <si>
    <t>A Gram-positive, spore-forming, rod-shaped bacterium, designated J1(T) was isolated from deepsea mud collected from the South China Sea and subjected to polyphasic taxonomic investigation. Phylogenetic analysis based on 16S rRNA gene sequences revealed that J1(T) clustered with the type strains of Amphibacillus cookii, Amphibacillus sediminis and Amphibacillus jilinensis and exhibited a range of similarity of 93.9-97.0% to members of the genus Amphibacillus. The DNA G+C content was 36.7 mol%. Chemotaxonomic analysis showed no quinones, and the cell wall contained meso-diaminopimelic acid as the diagnostic diamino acid for strain J1(T). The major cellular fatty acids were iso-C-15:0 and anteiso-C-15:0. Strain J1(T) was positive for catalase activity and negative for oxidase activity. On the basis of phylogenetic position and phenotypic properties, strain J1(T) represents a novel species of the genus Amphibacillus and the name Amphibacillus marinus sp. nov. is proposed. The type strain is J1(T) (=CGMCC 1.10434(T)=JCM 17099(T)).</t>
  </si>
  <si>
    <t>Ren, Biao/P-1067-2015; Zhang, Lixin/LRU-1412-2024; Pugin, Benoit/X-2984-2018</t>
  </si>
  <si>
    <t>Zhang, Lixin/0000-0003-0894-9520; Pugin, Benoit/0000-0001-7132-9477; , Biao/0000-0003-4215-2873; Guo, Hui/0000-0002-6839-6238</t>
  </si>
  <si>
    <t>10.1099/ijs.0.045807-0</t>
  </si>
  <si>
    <t>WOS:000319785700043</t>
  </si>
  <si>
    <t>Torres, S; Ferraudi, G; Aguirre, MJ; Isaacs, M; Matsuhiro, B; Chandía, NP; Mendoza, L</t>
  </si>
  <si>
    <t>Torres, Simonet; Ferraudi, Guillermo; Aguirre, Maria Jesus; Isaacs, Mauricio; Matsuhiro, Betty; Chandia, Nancy P.; Mendoza, Leonora</t>
  </si>
  <si>
    <t>On the Ligand-to-Metal Charge-Transfer Photochemistry of the Copper(II) Complexes of Quercetin and Rutin</t>
  </si>
  <si>
    <t>HELVETICA CHIMICA ACTA</t>
  </si>
  <si>
    <t>In contrast to the UV-photoinduced ligand photoionization of the flavonoid complexes of Fe-III, redox reactions initiated in ligand-to-metal charge-transfer excited states were observed on irradiation of the quercetin (1) and rutin (2) complexes of Cu-II. Solutions of complexes with stoichiometries [(CuL2)-L-II] (L=quercetin, rutin) and [(Cu2Ln)-L-II] (n=1, L=quercetin; n=3, L=rutin) were flash-irradiated at 351 nm. Transient spectra observed in these experiments showed the formation of radical ligands corresponding to the one-electron oxidation of L and the reduction of Cu-II to Cu-I. The radical ligands remained coordinated to the Cu-I centers, and the substitution reactions replacing them by solvent occurred with lifetimes tau &lt; 350 ns. These are lifetimes shorter than the known lifetimes (tau &gt; 1 ms) of the quercetin and rutin radical's decay.</t>
  </si>
  <si>
    <t>Aguirre, Maria/A-3935-2013; Isaacs, Mauricio/N-3027-2013</t>
  </si>
  <si>
    <t>Isaacs Casanova, Mauricio/0000-0003-0503-0949; Aguirre, Maria/0000-0003-1134-4469</t>
  </si>
  <si>
    <t>0018-019X</t>
  </si>
  <si>
    <t>1522-2675</t>
  </si>
  <si>
    <t>10.1002/hlca.201000227</t>
  </si>
  <si>
    <t>WOS:000288032600015</t>
  </si>
  <si>
    <t>Aguirre, P; Brown, K; Venegas-Yazigi, D; Paredes-García, V; Spodine, E</t>
  </si>
  <si>
    <t>Costamagna, J; Rabagliati, FM; Rivas, BL</t>
  </si>
  <si>
    <t>Aguirre, Pedro; Brown, Kareen; Venegas-Yazigi, Diego; Paredes-Garcia, Veronica; Spodine, Evgenia</t>
  </si>
  <si>
    <t>[Cu(H2btec)(bipy)]∞: Reusable Metal Organic Polymer Catalyst for Epoxidation Reactions</t>
  </si>
  <si>
    <t>MACROMOLECULAR COMPLEXES</t>
  </si>
  <si>
    <t>Macromolecular Symposia</t>
  </si>
  <si>
    <t>13th IUPAC International Symposium on Macromoleculer Complexes (MMC)</t>
  </si>
  <si>
    <t>NOV 15-17, 2009</t>
  </si>
  <si>
    <t>Termas de Chillan, CHILE</t>
  </si>
  <si>
    <t>IUPAC</t>
  </si>
  <si>
    <t>The search of new inorganic materials with better catalytic properties is an important field of research. Reusability, efficiency and atom economy correspond to the main parameters to characterize a catalyst. In this work, we inform the effectiveness of [Cu(H(2)btec)(bipy)](infinity) (H(4)btec = 1,2,4,5-benzenetetracarboxylic acid) as an heterogeneous coordination polymer catalyst for the oxidation of olefins. The catalyst exhibits good atom economy, high turnover numbers and good selectivity for a ratio of 4000/1 substrate/catalyst for cyclohexene and styrene oxidation. Furthermore, the catalyst was recycled and reused for seven consecutive cycles, retaining the structural integrity and effectiveness as catalyst in all the performed experiments.</t>
  </si>
  <si>
    <t>Paredes-Garcia, Veronica/C-4415-2011; Venegas-Yazigi, Diego/C-5022-2009</t>
  </si>
  <si>
    <t>Venegas-Yazigi, Diego/0000-0001-7816-2841</t>
  </si>
  <si>
    <t>1022-1360</t>
  </si>
  <si>
    <t>10.1002/masy.201150609</t>
  </si>
  <si>
    <t>WOS:000297026400009</t>
  </si>
  <si>
    <t>The origin of the hidden supersymmetry</t>
  </si>
  <si>
    <t>The hidden supersymmetry and related tri-supersymmetric structure of the free particle system, the Dirac delta potential problem and the Aharonov-Bohm effect (planar, bound state, and tubule models) are explained by a special nonlocal unitary transformation, which for the usual N = 2 supercharges has a nature of Foldy-Wouthuysen transformation. We show that in general case, the bosonized supersymmetry of nonlocal, parity even systems emerges in the same construction, and explain the origin of the unusual N = 2 supersymmetry of electron in three-dimensional parity even magnetic field. The observation extends to include the hidden superconformal symmetry. (C) 2010 Published by Elsevier B.V.</t>
  </si>
  <si>
    <t>AUG 16</t>
  </si>
  <si>
    <t>10.1016/j.physletb.2010.07.014</t>
  </si>
  <si>
    <t>WOS:000282194200011</t>
  </si>
  <si>
    <t>Vergara, PM; Hahn, IJ; Zeballos, H; Armesto, JJ</t>
  </si>
  <si>
    <t>Vergara, Pablo M.; Hahn, Ingo J.; Zeballos, Horacio; Armesto, Juan J.</t>
  </si>
  <si>
    <t>The importance of forest patch networks for the conservation of the Thorn-tailed Rayaditos in central Chile</t>
  </si>
  <si>
    <t>ECOLOGICAL RESEARCH</t>
  </si>
  <si>
    <t>Conservation of forest birds in fragmented landscapes requires not only determining the critical patch characteristics influencing local population persistence but also identifying patch networks providing connectivity and suitable habitat conditions necessary to ensure regional persistence. In this study, we assessed the importance of patch attributes, patch connectivity, and network components (i.e., groups of interconnected patches) in explaining the occupancy pattern of the Thorn-tailed Rayadito (Aphrastura spinicauda), a forest bird species of central Chile. Using a daily movement threshold distance, we identified a total of 16 network components of sclerophyllous forest within the study area. Among those components, patch area and vegetation structure-composition were important predictors of patch occupancy. However, the inclusion of patch connectivity and component size (i.e., the area of a network component) into the models greatly increases the models' accuracy and parsimony. Using the best-fitted model, a total of 33 patches were predicted to be occupied by rayaditos within the study area, but such occupied patches were distributed in only six network components. These results suggest that persistence of rayaditos in central Chile requires the maintenance of large single patches and patch networks providing habitat and connectivity.</t>
  </si>
  <si>
    <t>Vergara, Pablo/F-2519-2010; Zeballos, Horacio/JNR-2124-2023; Armesto, Juan/G-6467-2016; Ponce-Soto, Luis Alberto/B-1328-2017</t>
  </si>
  <si>
    <t>Vergara, Pablo/0000-0002-0024-1678; Ponce-Soto, Luis Alberto/0000-0001-5976-2913</t>
  </si>
  <si>
    <t>0912-3814</t>
  </si>
  <si>
    <t>1440-1703</t>
  </si>
  <si>
    <t>10.1007/s11284-010-0704-4</t>
  </si>
  <si>
    <t>WOS:000277596100020</t>
  </si>
  <si>
    <t>Pérez, EG; Cassels, BK</t>
  </si>
  <si>
    <t>Cordell, GA</t>
  </si>
  <si>
    <t>Perez, Edwin G.; Cassels, Bruce K.</t>
  </si>
  <si>
    <t>Alkaloids from the Genus Duguetia</t>
  </si>
  <si>
    <t>ALKALOIDS: CHEMISTRY AND BIOLOGY, VOL 68</t>
  </si>
  <si>
    <t>Alkaloids-Chemistry and Biology</t>
  </si>
  <si>
    <t>Perez, Edwin/KVY-5791-2024; Cassels, Bruce/H-6937-2013</t>
  </si>
  <si>
    <t>Perez, Edwin/0000-0002-3777-6297</t>
  </si>
  <si>
    <t>1099-4831</t>
  </si>
  <si>
    <t>978-0-12-381336-7; 978-0-12-381335-0</t>
  </si>
  <si>
    <t>10.1016/S1099-4831(10)06803-3</t>
  </si>
  <si>
    <t>WOS:000310996400004</t>
  </si>
  <si>
    <t>Laroze, D; Martinez-Mardones, J; Pérez, LM; Rameshwar, Y</t>
  </si>
  <si>
    <t>Laroze, D.; Martinez-Mardones, J.; Perez, L. M.; Rameshwar, Y.</t>
  </si>
  <si>
    <t>AMPLITUDE EQUATION FOR STATIONARY CONVECTION IN A ROTATING BINARY FERROFLUID</t>
  </si>
  <si>
    <t>INTERNATIONAL JOURNAL OF BIFURCATION AND CHAOS</t>
  </si>
  <si>
    <t>10th Latin American Workshop on Nonlinear Phenomena</t>
  </si>
  <si>
    <t>Chilean Sci Inst, Fac Phys &amp; Math Sci, Arica, CHILE</t>
  </si>
  <si>
    <t>Univ Chile, Fac Engn,Univ Andes,Inst Adv Res,Univ Tarapaca</t>
  </si>
  <si>
    <t>Chilean Sci Inst, Fac Phys &amp; Math Sci</t>
  </si>
  <si>
    <t>We report both theoretical and numerical results on convection for a binary magnetic mixture under rotation. We focus on the stationary convection for idealized boundary conditions. We obtain explicit expressions of convective thresholds in terms of the control parameters of the system. Close to bifurcation, the coefficients of the corresponding amplitude equation are determined analytically. The effect of the magnetophoresis and Kelvin force are emphasized and, finally, the nature of the bifurcation is discussed.</t>
  </si>
  <si>
    <t>Rameshwar, Yadagiri/AAJ-9709-2020; Pérez, Laura/AAZ-1995-2020; Laroze, David/Z-2852-2019; Perez, Laura/K-9357-2017; Laroze, David/E-9134-2011</t>
  </si>
  <si>
    <t>0218-1274</t>
  </si>
  <si>
    <t>10.1142/S0218127409024463</t>
  </si>
  <si>
    <t>WOS:000271475800023</t>
  </si>
  <si>
    <t>Rodríguez, A; Trigo, M; Pérez, R; Cruz, JM; Paseiro, P; Aubourg, SP</t>
  </si>
  <si>
    <t>Rodriguez, A.; Trigo, M.; Perez, R.; Cruz, J. M.; Paseiro, P.; Aubourg, S. P.</t>
  </si>
  <si>
    <t>Lipid Oxidation Inhibition in Frozen Farmed Salmon (Oncorhynchus kisutch): Effect of Packaging</t>
  </si>
  <si>
    <t>CZECH JOURNAL OF FOOD SCIENCES</t>
  </si>
  <si>
    <t>6th Chemical Reactions in Food Conferene 2009</t>
  </si>
  <si>
    <t>MAY 13-15, 2009</t>
  </si>
  <si>
    <t>Prague, CZECH REPUBLIC</t>
  </si>
  <si>
    <t>Inst Chem Technol, Dept Food Chem &amp; Anal,Food Res Inst Prague,Czech Chem Soc, Div Food &amp; Agr Chem,Czech Technol Platform Foodstuffs,European Assoc Chem &amp; Mol Sci, Div Food Chem</t>
  </si>
  <si>
    <t>Coho salmon (Oncorhynchus kisutch) has recently attracted a great interest as a farmed product. This research focuses on its commercialisation as a frozen product. For it, an advanced storage technology combining vacuum and a polyphenolic rich-film was applied for a 9-months storage period (-18 degrees C). The study was addressed to lipid hydrolysis and oxidation changes and to endogenous antioxidant content in salmon muscle. No effect of packaging conditions could be observed on free fatty acid formation. However, vacuum packaging conditions provided a partial inhibition of primary (peroxide) and secondary (anisidine value) lipid oxidation development; this inhibitory effect was accompanied by a lower tocopherol isomers loss. The employment of a film including polyphenolic compounds led to a partial inhibition of alpha-tocopherol breakdown and to a lower secondary (anisidine value) and tertiary (fluorescent compound formation) lipid oxidation development. A partial inhibitory effect on lipid oxidation development is concluded for the employment of a polyphenolic compound rich-film packaging when applied to farmed coho salmon.</t>
  </si>
  <si>
    <t>Rodriguez, Alicia/H-8550-2016; Losada, Perfecto/B-6882-2009; Cruz Freire, Jose M./A-7834-2011; Aubourg, Santiago/H-5892-2015</t>
  </si>
  <si>
    <t>Cruz Freire, Jose M./0000-0003-1471-9035; Rodriguez, Alicia/0000-0003-2750-2468; Aubourg, Santiago/0000-0002-3136-8137</t>
  </si>
  <si>
    <t>1212-1800</t>
  </si>
  <si>
    <t>1805-9317</t>
  </si>
  <si>
    <t>S182</t>
  </si>
  <si>
    <t>S184</t>
  </si>
  <si>
    <t>10.17221/1084-CJFS</t>
  </si>
  <si>
    <t>WOS:000269005600056</t>
  </si>
  <si>
    <t>Burgos, F; Mardones, L; Campos, M; Castillo, A; Fernández, V; Hernández, A</t>
  </si>
  <si>
    <t>Chronic treatment with clomipramine and desipramine induces deficit in long-term visuo-spatial memory of rats</t>
  </si>
  <si>
    <t>INTERNATIONAL JOURNAL OF NEUROSCIENCE</t>
  </si>
  <si>
    <t>Although the effects of antidepressants in brain neurochemistry have been extensively studied, there are scarce and inconsistent data on the effect of these drugs in learning and memory. The authors studied the effect of daily administration of a single dose of either clomipramine or desipramine, two monoamine-reuptake-inhibitors with preferential serotonergic and noradrenergic profiles, respectively, during 15 days, on the visuo-spatial memory of adults rats measured through their performance in an eight-ann radial maze. Rats receiving 10 mg/kg i.p. daily of clormpramine or desipramine, 30 min before testing, committed a significantly greater number of errors than saline-treated control rats throughout the duration of the test (5 sessions, 15 days), excepting for session one (after 3 days of testing) where there were no difterences between the 3 groups of rats. Results indicated that both serotonergic and noradrenergic antidepressants could impair long-term visuo-spatial memory in the rat, whereas inducing no changes in working memory, effects that are likely related to changes in brain monoamine metabolism induced by the antidepressant drugs.</t>
  </si>
  <si>
    <t>BURGOS, HECTOR/0000-0001-7705-4347; Hernandez, Alejandro/0000-0001-9222-6522</t>
  </si>
  <si>
    <t>0020-7454</t>
  </si>
  <si>
    <t>10.1080/00207450490512641</t>
  </si>
  <si>
    <t>WOS:000226139000005</t>
  </si>
  <si>
    <t>Caceres, PJ; Costamagna, J; De Namor, AD; Matsuhiro, B</t>
  </si>
  <si>
    <t>Lower rim p-tert-butylcalix[4]arene derivatives containing galactitol pendants.: Complexation of 5,11,17,23-tetrakis-(1,1-dimethylethyl)-25,27-dihydroxy-26,28-bis-2-N-(1-deoxy-D-galactityl)-aminoethoxycalix[4]arene with Pb(II) and F(-I).</t>
  </si>
  <si>
    <t>Reductive amination of D-galactose with the bisubstituted p-tert-butylcalix[4]arylethylamine in the presence of sodium cyanoborohydride allowed the introduction of one or two galactitol residues as pendants on the lower rim. The bisubstituted secondary amine, 5,11,17,23-tetrakis(1,1-dimethylethyl)-25,27-dihydroxy-26,28-bis-2-N-(1-deoxy-D-galactityl)-aminoethoxycalix[4]arene (III) was obtained in 24.1% yield. Complexation of this compound with Pb (II) and F(-I) was studied by H-1-NMR and spectrophotometric titration in acetonitrile, showing a stoichiometry of 1:2 (ligand:ion) with equilibrium constants of log K-1=2.22 +/- 0.08 and log K-2=2.07 +/- 0.07 for Pb(II), and log K-1= 1.21 +/- 0.05 and log K-2=1.17 +/- 0.04 for F (-I) ion.</t>
  </si>
  <si>
    <t>CÃ¡ceres, Patricio/KHY-0056-2024</t>
  </si>
  <si>
    <t>WOS:000225815900001</t>
  </si>
  <si>
    <t>Griveau, S; Gulppi, M; Bedioui, F; Zagal, JH</t>
  </si>
  <si>
    <t>Electropolymerized cobalt macro complex-based films for thiols electro-oxidation: effect of the film formation conditions and the nature of the macrocyclic ligand</t>
  </si>
  <si>
    <t>SOLID STATE IONICS</t>
  </si>
  <si>
    <t>53rd Annual Meeting of the International-Society-of-Electrochemistry</t>
  </si>
  <si>
    <t>SEP 15-20, 2002</t>
  </si>
  <si>
    <t>DUSSELDORF, GERMANY</t>
  </si>
  <si>
    <t>Int Soc Electrochem,GDCh Fachgrp Angew Elektrochem</t>
  </si>
  <si>
    <t>We report here on the study of the electrocatalytic behavior of adsorbed and thin electropolymerized cobalt porphyrin and phthalocyanine films towards thiols oxidation with a special emphasize on the effect of the anion used for preparing the films and the nature of the macrocyclic ligand on the catalytic activity. Our results show that there are no effects related to the anions used during the preparation of the films on the electrocatalytic activity of the complex coatings, as evaluated by the cyclic voltammetry investigation of various thiols of different sizes. In contrast, the nature of the ligand around the cobalt centre of the macrocyclic complex has a strong effect on the catalytic activity for the oxidation of 2-mercaptoethanol (2-ME). This clearly illustrates the fact that the Co-II/Co-I formal redox potential of the macrocycle needs to be located in a rather narrow window to obtain maximum activity. (C) 2003 Published by Elsevier B.V.</t>
  </si>
  <si>
    <t>0167-2738</t>
  </si>
  <si>
    <t>1872-7689</t>
  </si>
  <si>
    <t>APR 30</t>
  </si>
  <si>
    <t>10.1016/S0167-2738(03)00083-3</t>
  </si>
  <si>
    <t>WOS:000222429700011</t>
  </si>
  <si>
    <t>Nguyen-Cong, H; Guadarrama, VD; Gautier, JL; Chartier, P</t>
  </si>
  <si>
    <t>Oxygen reduction on NixCo3-xO4 spinel particles/polypyrrole composite electrodes:: hydrogen peroxide formation</t>
  </si>
  <si>
    <t>The oxygen reduction reaction (orr) was studied on composite electrodes GC/PPy/PPy(NixCo3-xO4)/PPY with x =0.3 and 1, in 2.5 x 10(-3) M KOH+0.8 M KCl at room temperature. The orr takes place on the oxide particles with formation of hydrogen peroxide (H2O2), which diffuses through the polymer layers to reach the bulk of electrolyte solution. The amount of H2O2 produced, determined indirectly by iodine spectrometry, depended strongly on the oxide stoichiometry. The effects of the orr and of the generation of H2O2 on the conductivity of PPy and on the behaviour of the embedded oxide particles are discussed. (C) 2003 Elsevier Science Ltd. All rights reserved.</t>
  </si>
  <si>
    <t>10.1016/S0013-4686(03)00252-4</t>
  </si>
  <si>
    <t>WOS:000184166900003</t>
  </si>
  <si>
    <t>Constandil, L; Pelissier, T; Soto-Moyano, R; Mondaca, M; Sáez, H; Laurido, C; Muñoz, C; López, N; Hernández, A</t>
  </si>
  <si>
    <t>Interleukin-1β increases spinal cord wind-up activity in normal but not in monoarthritic rats</t>
  </si>
  <si>
    <t>NEUROSCIENCE LETTERS</t>
  </si>
  <si>
    <t>Cytokines produced by spinal cord glia after peripheral inflammation, infection or trauma have a relevant role in the maintenance of pain states. The effect of intrathecally administered interleukin-1beta (IL-1beta) on spinal cord nociceptive transmission was studied in normal and monoarthritic rats by assessing wind-up activity in a C-fiber-mediated reflex paradigm evoked by repetitive (1 Hz) electric stimulation. Low i.t. doses of IL-1beta (0.03. 0.12, 0.5 and 2.0 ng) dose-dependently enhanced wind-up activity in normal rats, while higher doses (8.0 ng) only produced a marginal unsignificant effect. IL-1beta administration to monoarthritic rats did not significantly change wind-up scores at any dose. Adaptive changes developed in the spinal cord during chronic pain may underlie the ineffectiveness of exogenous IL-1beta to up-regulate nociceptive transmission. (C) 2003 Elsevier Science Ireland Ltd. All rights reserved.</t>
  </si>
  <si>
    <t>Lopez, Natalia/HTM-1245-2023; Hernandez, Alejandro/M-4796-2019</t>
  </si>
  <si>
    <t>0304-3940</t>
  </si>
  <si>
    <t>MAY 22</t>
  </si>
  <si>
    <t>10.1016/S0304-3940(03)00278-7</t>
  </si>
  <si>
    <t>WOS:000183093200001</t>
  </si>
  <si>
    <t>Louisnard, O; Lyczko, N; Espitalier, F; Urzedowski, M; Vargas-Hernandez, Y; Sanchez-Romero, C</t>
  </si>
  <si>
    <t>High bubble concentrations produced by ultrasounds in binary mixtures</t>
  </si>
  <si>
    <t>7th Meeting of the European-Society-of-Sonochemistry</t>
  </si>
  <si>
    <t>MAY 14-18, 2000</t>
  </si>
  <si>
    <t>BIARRITZ GUETHARY, FRANCE</t>
  </si>
  <si>
    <t>European Soc Sonochem</t>
  </si>
  <si>
    <t>It was discovered that simultaneous insonification and air blowing of different aqueous binary solutions such as water/sodium-dodecyl-sulphate (SDS), water/methanol or water/potassium-sulphate yields a very concentrated bubble cloud invading the whole vessel in a few seconds. After the end of insonification, this cloudiness remained in the solution for about 1 min. The phenomenon was investigated by computer-treatment of solution pictures recorded every second after the end of insonification. Turbidity appeared to increase with ultrasound power, and also with SDS concentration. During the disappearance of the cloud, a turbidity front appeared rising and spreading upward. This front was studied in the characteristic plane and interpreted as a spatial segregation of different bubble sizes rising with different terminal velocities. The bubble sizes involved were estimated to about 10 mum. Adsorption of surface active species are invoked to explain the cloud formation and its abnormally slow disappearance, but the occurrence of the phenomenon for potassium-sulphate salt remains unexplained. (C) 2001 Elsevier Science B.V. All rights reserved.</t>
  </si>
  <si>
    <t>LOUISNARD, Olivier/G-5304-2015</t>
  </si>
  <si>
    <t>Lyczko, Nathalie/0000-0002-4425-9853; ESPITALIER, Fabienne/0000-0002-0402-5104; LOUISNARD, Olivier/0000-0002-3151-5192</t>
  </si>
  <si>
    <t>10.1016/S1350-4177(01)00076-1</t>
  </si>
  <si>
    <t>WOS:000169537500005</t>
  </si>
  <si>
    <t>1-loop improved lattice action for the nonlinear σ-model</t>
  </si>
  <si>
    <t>NUCLEAR PHYSICS B-PROCEEDINGS SUPPLEMENTS</t>
  </si>
  <si>
    <t>17th International Symposium on Lattice Field Theory (Lattice 99)</t>
  </si>
  <si>
    <t>JUN 29-JUL 03, 1999</t>
  </si>
  <si>
    <t>PISA, ITALY</t>
  </si>
  <si>
    <t>Univ Pisa, Dept Fisica,INFN,Scuola Normale Superiore,CNR,Regione Toscana,Comune Pisa,Soc Italiana Fisica</t>
  </si>
  <si>
    <t>In this paper we show the Wilson effective action for the 2-dimensional O(N + 1)-symmetric lattice nonlinear sigma-model computed in the 1-loop approximation for the nonlinear choice of blockspin Phi(x), Phi(x) = C phi(x)/\C phi(x)\,where C is averaging of the fundamental field phi(x) over a square x of side (a) over tilde. The result for S-eff is composed of the classical perfect action with a renormalized coupling constant beta(eff), an augmented contribution from a Jacobian, and further genuine 1-loop correction terms. Our result extends Polyakov's calculation which had furnished those contributions to the effective action which are of order ln (a) over tilde/a, where a is the lattice spacing of the fundamental lattice. An analytic approximation for the background field which enters the classical perfect action will be presented elsewhere [1].</t>
  </si>
  <si>
    <t>0920-5632</t>
  </si>
  <si>
    <t>83-4</t>
  </si>
  <si>
    <t>WOS:000086729700245</t>
  </si>
  <si>
    <t>Valdes, JE; Vargas, P; Arista, NR</t>
  </si>
  <si>
    <t>Electronic energy loss of slow protons channeled in metals</t>
  </si>
  <si>
    <t>The electronic energy loss for low-velocity protons channeled in the [100] direction of single-crystal Au and Al is calculated. The proton trajectories are determined by solving the equation of motion. In the proton dynamics two forces are included, a repulsive term arising from the nuclei and core electrons and a friction ford, depending on proton velocity, arising from the valence electrons. The repulsive force on the proton is evaluated using a superposition of conservative potentials. The friction coefficient is evaluated by using the local density of valence electrons, and a quantum-mechanical transport cross-section approach with a self-consistent model based on Friedel's sum rule. The results allow us to describe the nonlinear behavior of energy loss with ion velocity observed experimentally in Au, as well as the linear behavior observed in Al. [S1050-2947(97)05311-0].</t>
  </si>
  <si>
    <t>10.1103/PhysRevA.56.4781</t>
  </si>
  <si>
    <t>WOS:A1997YK23300056</t>
  </si>
  <si>
    <t>Kolbe, M; Bintanja, R; Linden, ECV; Cordero, RR</t>
  </si>
  <si>
    <t>Kolbe, Marlen; Bintanja, Richard; Linden, Eveline C. van der; Cordero, Raul R.</t>
  </si>
  <si>
    <t>Vertical structure and surface impact of atmospheric rivers reaching antarctic sea ice and land</t>
  </si>
  <si>
    <t>ATMOSPHERIC RESEARCH</t>
  </si>
  <si>
    <t>Recent extremes in Antarctic temperature, surface melt and sea ice loss have been robustly linked to the occurrence of atmospheric rivers (ARs). However, the precise mechanisms that generate variations in the surface impacts of ARs are poorly understood, especially in the Antarctic. Based on Arctic evidence that the vertical and horizontal advancement of ARs over sea ice strongly depends on meteorological conditions, the season, as well as the underlying surface before reaching sea ice, we investigate the vertical structure and impact of extreme ARs reaching sea ice and also the Antarctic ice sheet. Based on MERRA-2, ERA5 and six CMIP6 models (1985-2014), we find that surface inversions are twice as likely to occur during AR conditions in austral summer compared to climatology, and also find a significant increase in the frequency of double inversions. Our results suggest that land-locked sea ice acts as a protective barrier for the Antarctic continent, diminishing wind speeds and moisture levels, and that seasonal variations exhibit a predominant influence of downward shortwave and longwave flux anomalies in summer and winter, respectively. Furthermore, surface warming induced by ARs over sea ice is notably enhanced under conditions of upper-air subsidence, coupled with reduced cloud cover and precipitation in summer, and intensified turbulent heat and downward longwave fluxes in winter. By contrast, the surface warming associated with ARs reaching land is mainly caused by the cloud radiative effect, where the most intense ARs are further enhanced by positive downward sensible and latent heat fluxes.</t>
  </si>
  <si>
    <t>Kolbe, Marlen/0000-0003-4244-5027</t>
  </si>
  <si>
    <t>0169-8095</t>
  </si>
  <si>
    <t>1873-2895</t>
  </si>
  <si>
    <t>10.1016/j.atmosres.2024.107841</t>
  </si>
  <si>
    <t>WOS:001385706300001</t>
  </si>
  <si>
    <t>Aragón-Caqueo, D; Aguilera, C; Rodríguez, M; Aedo, G</t>
  </si>
  <si>
    <t>Aragon-Caqueo, Diego; Aguilera, Camila; Rodriguez, Manuel; Aedo, Gabriel</t>
  </si>
  <si>
    <t>Lymphogranuloma venereum: An emerging infection in a rare environment</t>
  </si>
  <si>
    <t>REVISTA CHILENA DE INFECTOLOGIA</t>
  </si>
  <si>
    <t>The increase in sexually transmitted infections (STIs) in Chile reflects a global trend. Lymphogranuloma venereum (LGV) is uncommon in the country although it has been increasing. Its initial presentation as a genital ulcer and inguinal lymphadenopathies can be confused with other, more common STIs, complicating diagnosis. We report the case of a young migrant male, with HIV infection, who developed a painful, fluctuating inguinal lymphadenopathy, with a fistula to the skin. The PCR study for Chlamydia trachomatis confirmed the diagnosis, and treatment with doxycycline was successful. Given the resurgence of this condition, this report aims to review the essential clinical, microbiological, and therapeutic aspects of LGV.</t>
  </si>
  <si>
    <t>0716-1018</t>
  </si>
  <si>
    <t>0717-6341</t>
  </si>
  <si>
    <t>10.4067/s0716-10182024000600171</t>
  </si>
  <si>
    <t>WOS:001410894400013</t>
  </si>
  <si>
    <t>Baigorrotegui, G; Schaeffer, C</t>
  </si>
  <si>
    <t>Baigorrotegui, Gloria; Schaeffer, Colombina</t>
  </si>
  <si>
    <t>Ch'ixi animals in two environmental conflicts: evocations of Humboldt penguins and Huemuls</t>
  </si>
  <si>
    <t>SCIENCE AS CULTURE</t>
  </si>
  <si>
    <t>The agency of animals in technoscience has been much debated in science and technology studies, animal studies, and environmental collective action studies. In particular, the prominence of animals as mediators in environmental conflict opens avenues for dialogue with perspectives from the Global South, especially in the face of persistent colonial mining-energy regimes. The evocation of human-animal encounters contributed to the closure of two electricity generation projects in Chile and provided an insight into the surprises and complications of the inclusion of animal species - huemuls and Humboldt penguins - in distinct environmental campaigns. Although the influence of such 'charismatic' animals stands out as a fruitful approach to understanding the role of animals in environmental conflicts, it is helpful to consider alternative anti-colonial perspectives from the global South. In particular, the ch'ixi metaphor of the Aymara people - representing the politics of beings resulting from the juxtaposition of antagonistic realities, or what is and is not at the same time - creates productive frictions in human-animal encounters that differs from the notion of charismatic animals as mediators, especially when it comes to modes of resistance by local communities. This perspective recognizes the differentiated strength of the semiotic-material mediations of nonhumans that can emerge from human-animal ch'ixi encounters in collective environmental actions.</t>
  </si>
  <si>
    <t>Baigorrotegui, Gloria/C-1681-2018</t>
  </si>
  <si>
    <t>Baigorrotegui Baigorrotegui, Gloria A./0000-0002-8381-5728</t>
  </si>
  <si>
    <t>0950-5431</t>
  </si>
  <si>
    <t>1470-1189</t>
  </si>
  <si>
    <t>10.1080/09505431.2024.2361867</t>
  </si>
  <si>
    <t>WOS:001257991300001</t>
  </si>
  <si>
    <t>Adaptive diversification and niche packing on rugged fitness landscapes</t>
  </si>
  <si>
    <t>JOURNAL OF THEORETICAL BIOLOGY</t>
  </si>
  <si>
    <t>Explaining the emergence of diversity and the coexistence of competing types has long been one of the main goals of ecological theory. Rugged fitness landscapes have often been used to explain diversity through the presence of local peaks, or adaptive zones, in the fitness landscape acting as available niches for different species. Alternatively, niche-packing and theories based on limiting similarity describe frequency-dependent selection leading to the organic differentiation of a continuous phenotype space into multiple coexisting types. By combining rugged carrying capacity landscapes with frequency-dependent selection, here we investigate the effects of ruggedness on adaptive diversification and stably maintained diversity. We show that while increased ruggedness often leads to a decreased opportunity for adaptive diversification, it is the shape of the global carrying capacity function, not the local ruggedness, that determines the diversity of the ESS and the total diversity a system can stably maintain.</t>
  </si>
  <si>
    <t>0022-5193</t>
  </si>
  <si>
    <t>1095-8541</t>
  </si>
  <si>
    <t>10.1016/j.jtbi.2023.111421</t>
  </si>
  <si>
    <t>WOS:000931966300001</t>
  </si>
  <si>
    <t>Cáceres, D; Ochoa, M; González-Ortiz, M; Bravo, K; Eugenín, J</t>
  </si>
  <si>
    <t>Gonzalez-Ortiz, M</t>
  </si>
  <si>
    <t>Caceres, Daniela; Ochoa, Martin; Gonzalez-Ortiz, Marcelo; Bravo, Karina; Eugenin, Jaime</t>
  </si>
  <si>
    <t>Effects of Prenatal Cannabinoids Exposure upon Placenta and Development of Respiratory Neural Circuits</t>
  </si>
  <si>
    <t>ADVANCES IN MATERNAL-FETAL BIOMEDICINE: Cellular and Molecular Mechanisms of Pregnancy Pathologies</t>
  </si>
  <si>
    <t>Cannabis use has risen dangerously during pregnancy in the face of incipient therapeutic use and a growing perception of safety. The main psychoactive compound of the Cannabis sativa plant is the phytocannabinoid delta-9-tetrahydrocannabinol (A-9 THC), and its status as a teratogen is controversial. THC and its endogenous analogues, anandamide (AEA) and 2-AG, exert their actions through specific receptors (eCBr) that activate intracellular signaling pathways. CB1r and CB2r, also called classic cannabinoid receptors, together with their endogenous ligands and the enzymes that synthesize and degrade them, constitute the endocannabinoid system. This system is distributed ubiquitously in various central and peripheral tissues. Although the endocannabinoid system's most studied role is controlling the release of neurotransmitters in the central nervous system, the study of long-term exposure to cannabinoids on fetal development is not well known and is vital for understanding environmental or pathological embryo-fetal or postnatal conditions. Prenatal exposure to cannabinoids in animal models has induced changes in placental and embryo-fetal organs. Particularly, cannabinoids could influence both neural and nonneural tissues and induce embryo-fetal pathological conditions in critical processes such as neural respiratory control. This review aims at the acute and chronic effects of prenatal exposure to cannabinoids on placental function and the embryo-fetal neurodevelopment of the respiratory pattern. The information provided here will serve as a theoretical framework to critically evaluate the teratogen effects of the consumption of cannabis during pregnancy.</t>
  </si>
  <si>
    <t>Bravo García, Martha/KZT-8810-2024; Gonzalez Ortiz, Marcelo/O-4416-2016</t>
  </si>
  <si>
    <t>Bravo-Flores, Karina Alejandra/0000-0001-8871-294X; Gonzalez Ortiz, Marcelo/0000-0002-0521-3633</t>
  </si>
  <si>
    <t>978-3-031-32556-4; 978-3-031-32554-0; 978-3-031-32553-3</t>
  </si>
  <si>
    <t>10.1007/978-3-031-32554-0_9</t>
  </si>
  <si>
    <t>10.1007/978-3-031-32554-0</t>
  </si>
  <si>
    <t>WOS:001168210800009</t>
  </si>
  <si>
    <t>Neira, JY; Andrés, B; Roa, K; Oyarzún, DP; Sánchez, J</t>
  </si>
  <si>
    <t>Neira, Jose Y.; Andres, Boulett; Roa, Karina; Oyarzun, Diego P.; Sanchez, Julio</t>
  </si>
  <si>
    <t>Vegetable filters reinforced with fibrillated cellulose for iron removal from water and organic white wines</t>
  </si>
  <si>
    <t>ENVIRONMENTAL TECHNOLOGY &amp; INNOVATION</t>
  </si>
  <si>
    <t>This work presents an effective and practical alternative for iron removal in aqueous solutions and organic white wines based on continuous filtration via mechanically prepared filters composed of vegetable fibres from Scirpus californicus (Totora) and Gunnera tinctoria (Nalca) and fibrillated cellulose (CF) extracted from Eucalyptus globulus (Eucalipto). These filter materials were characterized by techniques such as Fourier transform infrared spectroscopy (FT-IR), scanning electron microscopy (SEM), thermogravimetric analysis (TGA) and dynamic mechanical analysis (DMA). FT-IR signals confirmed that hydroxyl and carboxyl groups were present in the fibres; SEM micrographs showed a compact surface morphology among the three fibres studied; and TGA and DMA identified a thermal improvement and an increase in the compressive strength of the blend after the addition of CF. The effect of the amount of each fibre on iron retention in water and wine was evaluated, and the results showed that filters with 15% CF presented improved iron retention performance. Moreover, the iron retention capacities or efficiencies were 139.4 mg kg(-1) and 57.3% in aqueous solution and 26% in white wine using the system composed of 21% GT, 64% SC and 15% CF. These results indicate the potential of these natural fibres in the demetallization of organic wines. (C) 2021 The Authors. Published by Elsevier B.V.</t>
  </si>
  <si>
    <t>Sanchez, Julio/AEO-4360-2022; Oyarzun, Diego/MTF-4062-2025</t>
  </si>
  <si>
    <t>2352-1864</t>
  </si>
  <si>
    <t>10.1016/j.eti.2021.102104</t>
  </si>
  <si>
    <t>WOS:000783834300021</t>
  </si>
  <si>
    <t>Díaz, E; Herrera, G; Oyarzún, S; Munoz, RC</t>
  </si>
  <si>
    <t>Diaz, Eva; Herrera, Guillermo; Oyarzun, Simon; Munoz, Raul C.</t>
  </si>
  <si>
    <t>Evidence of weak Anderson localization revealed by the resistivity, transverse magnetoresistance and Hall effect measured on thin Cu films deposited on mica</t>
  </si>
  <si>
    <t>We report the resistivity of 5 Cu films approximately 65 nm thick, measured between 5 and 290 K, and the transverse magnetoresistance and Hall effect measured at temperatures 5 K &lt; T &lt; 50 K. The mean grain diameters are D = (8.9, 9.8, 20.2, 31.5, 34.7) nm, respectively. The magnetoresistance signal is positive in samples where D &gt; L/2 (where L = 39 nm is the electron mean free path in the bulk at room temperature), and negative in samples where D &lt; L/2. The sample where D = 20.2 nm exhibits a negative magnetoresistance at B &lt; 2 Tesla and a positive magnetoresistance at B &gt; 3 Tesla. A negative magnetoresistance in Cu films has been considered evidence of charge transport involving weak Anderson localization. These experiments reveal that electron scattering by disordered grain boundaries found along L leads to weak Anderson localization, confirming the localization phenomenon predicted by the quantum theory of resistivity of nanometric metallic connectors. Anderson localization becomes a severe obstacle for the successful development of the circuit miniaturization effort pursued by the electronic industry, for it leads to a steep rise in the resistivity of nanometric metallic connectors with decreasing wire dimensions (D &lt; L/2) employed in the design of Integrated Circuits.</t>
  </si>
  <si>
    <t>Munoz, Raul/H-7640-2015; Díaz, Eva/JSL-6587-2023; Oyarzun, Simon/M-1769-2014</t>
  </si>
  <si>
    <t>Diaz, Eva/0009-0004-2445-3554; Herrera, Guillermo/0000-0001-6342-2970; Oyarzun, Simon/0000-0002-8764-7944</t>
  </si>
  <si>
    <t>10.1038/s41598-021-97210-w</t>
  </si>
  <si>
    <t>WOS:000693895300064</t>
  </si>
  <si>
    <t>Raijmakers, Mariella/ABD-8342-2021; Hod-Dvorai, Reut/H-9791-2019; Shetty, Aneesha/JPL-1411-2023</t>
  </si>
  <si>
    <t>WOS:000705310101377</t>
  </si>
  <si>
    <t>Arias, P; Karamitros, D; Roszkowski, L</t>
  </si>
  <si>
    <t>Arias, Paola; Karamitros, Dimitrios; Roszkowski, Leszek</t>
  </si>
  <si>
    <t>Frozen-in fermionic singlet dark matter in non-standard cosmology with a decaying fluid</t>
  </si>
  <si>
    <t>JOURNAL OF COSMOLOGY AND ASTROPARTICLE PHYSICS</t>
  </si>
  <si>
    <t>We perform a detailed study of dark matter production via freeze-in under the assumption that some fluid dominates the early Universe before depositing its energy to the plasma causing entropy injection. As a dark matter candidate we consider a fermionic singlet that is produced through its interactions with a scalar particle in the thermal plasma. The fluid alters the expansion rate of the Universe, as well as the scaling of the temperature, which significantly affects the evolution of both the number density and the mean momentum of the dark matter particle. We identify and discuss in detail the effects of the evolution of these quantities by considering several examples representing dark matter production at different stages of expansion and entropy injection. We find that, since the dark matter density is reduced when the entropy injection to the plasma continues after freeze-in, in order to reproduce its observational value an enhanced rate of dark matter production is required relative to standard cosmology. Furthermore, the impact of the assumed non-standard cosmological history on the dark matter mean momentum can result in either a relaxed or a tightened bound on the dark matter mass from large structure formation data.</t>
  </si>
  <si>
    <t>Roszkowski, Leszek/JPK-6178-2023; Karamitros, Dimitrios/LJL-6500-2024; Arias, Paola/Q-5912-2017</t>
  </si>
  <si>
    <t>Karamitros, Dimitrios/0000-0001-8284-743X; Arias, Paola/0000-0001-5551-9182; Roszkowski, Leszek/0000-0003-2346-0512</t>
  </si>
  <si>
    <t>1475-7516</t>
  </si>
  <si>
    <t>10.1088/1475-7516/2021/05/041</t>
  </si>
  <si>
    <t>WOS:000654421200021</t>
  </si>
  <si>
    <t>Carvalho-Santos, VL; Castro, MA; Salazar-Aravena, D; Laroze, D; Corona, RM; Allende, S; Altbir, D</t>
  </si>
  <si>
    <t>Carvalho-Santos, V. L.; Castro, M. A.; Salazar-Aravena, D.; Laroze, D.; Corona, R. M.; Allende, S.; Altbir, D.</t>
  </si>
  <si>
    <t>Skyrmion propagation along curved racetracks</t>
  </si>
  <si>
    <t>The interplay between curvature and magnetization is a cornerstone in magnetism. Thus, in this work, we address the role of curvature on the propagation of magnetic skyrmions along a curved race track. Using a micromagnetic approach and simulations, we observed the creation of a curvature-induced force (CIF) that acts on the skyrmion while traveling along the track. We also show that curvature can stop the skyrmion if the current density is below a critical value. Above this limit, the skyrmion goes through the defect, a direct consequence of the CIF. Our results allow a better definition of the electric current needed for moving skyrmions along curved tracks.</t>
  </si>
  <si>
    <t>Laroze, David/Z-2852-2019; Castro, Mario/ABD-7776-2021; Salazar-Aravena, Diego/AHH-4692-2022; Salazar-Aravena, Diego/F-5133-2016; Laroze, David/E-9134-2011; Carvalho-Santos, Vagson/E-8806-2013; Altbir, Dora/R-6781-2018</t>
  </si>
  <si>
    <t>Salazar-Aravena, Diego/0000-0002-6250-8358; Laroze, David/0000-0002-6487-8096; Corona, Rosa/0000-0001-6054-5019; castro, Mario/0000-0002-6956-8564; Carvalho-Santos, Vagson/0000-0002-2759-2152; Altbir, Dora/0000-0002-2945-4909</t>
  </si>
  <si>
    <t>APR 26</t>
  </si>
  <si>
    <t>10.1063/5.0045969</t>
  </si>
  <si>
    <t>WOS:000644064000019</t>
  </si>
  <si>
    <t>Kaschel, H; Toledo, K; Gómez, JT; García, MJFG</t>
  </si>
  <si>
    <t>Kaschel, Hector; Toledo, Karel; Gomez, Jorge Torres; Garcia, M. Julia Fernandez-Getino</t>
  </si>
  <si>
    <t>Energy-Efficient Cooperative Spectrum Sensing Based on Stochastic Programming in Dynamic Cognitive Radio Sensor Networks</t>
  </si>
  <si>
    <t>Nowadays, Cognitive Radio Sensor Networks (CRSN) arise as an emergent technology to deal with the spectrum scarcity issue and the focus is on devising novel energy-efficient solutions. In static CRSN, where nodes have spatial fixed positions, several reported solutions are implemented via sensor selection strategies to reduce consumed energy during cooperative spectrum sensing. However, energy-efficient solutions for dynamic CRSN, where nodes are able to change their spatial positions due to their movement, are nearly reported despite today's growing applications of mobile networks. This paper investigates a novel framework to optimally predict energy consumption in cooperative spectrum sensing tasks, considering node mobility patterns suitable to model dynamic CRSN. A solution based on the Kataoka criterion is presented, that allows to minimize the consumed energy. It accurately estimates -with a given probability-the spent energy on the network, then to derive an optimal energy-efficient solution. An algorithm of reduced-complexity is also implemented to determine the total number of active nodes improving the exhaustive search method. Proper performance of the proposed strategy is illustrated by extensive simulation results for pico-cells and femto-cells in dynamic scenarios.</t>
  </si>
  <si>
    <t>Torres Gómez, Jorge/AAE-8595-2022; Toledo de la Garza, Karel/V-5325-2019; Torres Gomez, Jorge/F-8061-2016</t>
  </si>
  <si>
    <t>Toledo de la Garza, Karel/0000-0001-9896-9570; FERNANDEZ-GETINO GARCIA, MARIA JULIA/0000-0001-8346-8140; Torres Gomez, Jorge/0000-0001-9523-048X; Kaschel, Hector/0000-0002-0868-7834</t>
  </si>
  <si>
    <t>10.1109/ACCESS.2020.3046466</t>
  </si>
  <si>
    <t>WOS:000606580400001</t>
  </si>
  <si>
    <t>Kim, Sang-Hyun; Koberda, Thomas; Rivas, Cristobal</t>
  </si>
  <si>
    <t>DIRECT PRODUCTS, OVERLAPPING ACTIONS, AND CRITICAL REGULARITY</t>
  </si>
  <si>
    <t>We address the problem of computing the critical regularity of groups of homeomorphisms of the interval. Our main result is that if H and K are two non-solvable groups then a faithful C-1,C-tau action of HxK on a compact interval I is not overlapping for all tau &gt; 0, which by definition means that there must be non-trivial h is an element of H and k is an element of K with disjoint support. As a corollary we prove that the right-angled Artin group (F-2 x F-2) (*) Z has critical regularity one, which is to say that it admits a faithful C-1 action on I, but no faithful C-1,C-tau action. This is the first explicit example of a group of exponential growth which is without nonabelian subexponential growth subgroups, whose critical regularity is finite, achieved, and known exactly. Another corollary we get is that Thompson's group F does not admit a faithful C-1 overlapping action on I, so that F * Z is a new example of a locally indicable group admitting no faithful C-1 action on I.</t>
  </si>
  <si>
    <t>Koberda, Thomas/0000-0001-5465-2651; Rivas, Cristobal/0000-0003-4021-2705</t>
  </si>
  <si>
    <t>10.3934/jmd.2021009</t>
  </si>
  <si>
    <t>WOS:000663807000001</t>
  </si>
  <si>
    <t>Oyaneder-Terrazas, J; Polanco, C; Figueroa, D; Barriga, A; García, C</t>
  </si>
  <si>
    <t>Oyaneder-Terrazas, Javiera; Polanco, Cassandra; Figueroa, Diego; Barriga, Andres; Garcia, Carlos</t>
  </si>
  <si>
    <t>In vitrobiotransformation of OA-group and PTX-group toxins in visceral and non-visceral tissues ofMytilus chilensisandAmeghinomya antiqua</t>
  </si>
  <si>
    <t>FOOD ADDITIVES AND CONTAMINANTS PART A-CHEMISTRY ANALYSIS CONTROL EXPOSURE &amp; RISK ASSESSMENT</t>
  </si>
  <si>
    <t>Lipophilic marine toxins (LMTs) are made up of multiple groups of toxic analogues, which are characterised by different levels of cellular and toxic action. The most prevalent groups in the southern Pacific zone are: a) okadaic acid group (OA-group) which consists of okadaic acid (OA) and dinophysistoxin-1 (DTX-1); and, b) pectenotoxin-2 (PTX2) group which consists of pectenotoxin-2 (PTX-2). The main objective of our study was to examinein vitrobiotransformation of OA-group and PTX-group in the tissues of two endemic species of bivalves from southern Chile; blue mussels (Mytilus chilensis) and clams (Ameghinomya antiqua). The biotransformation processes of both groups were only detected in the digestive glands of both species using LC-MS/MS. The most frequently detected analogues were acyl derivatives (approximate to 2.0 +/- 0.1 mu g ml(-1)) for OA-group and PTX-2SA (approximate to 1.4 +/- 0.1 mu g ml(-1)) for PTX-group, with a higher percentage of biotransformation for OA-group (p&lt; .001). In addition, simultaneous incubations of the different analogues (OA/PTX-2; DTX-1/PTX-2 and OA/DTX-1/PTX-2) did not show any interaction between the biotransformation processes. These results show that the toxicological variability of endemic species leads to biotransformation of the profile of toxins, so that these new analogues may affect people's health.</t>
  </si>
  <si>
    <t>Garcia Mansilla, Carlos/0000-0001-7594-2156; Barriga, Andres/0000-0003-4375-4155</t>
  </si>
  <si>
    <t>1944-0049</t>
  </si>
  <si>
    <t>1944-0057</t>
  </si>
  <si>
    <t>10.1080/19440049.2020.1750710</t>
  </si>
  <si>
    <t>WOS:000543573700001</t>
  </si>
  <si>
    <t>Marín, G; Singh, DP; Rincón, C; Wasim, SM; Delgado, GE; Enríquez, J; Essaleh, L</t>
  </si>
  <si>
    <t>Marin, G.; Singh, D. P.; Rincon, C.; Wasim, S. M.; Delgado, G. E.; Enriquez, J.; Essaleh, L.</t>
  </si>
  <si>
    <t>Structural Characterization, Optical Absorption and Electrical Conduction in Ordered Defect Compound Cu3In5Se9 of the Ternary Cu-In-Se Semiconductor System</t>
  </si>
  <si>
    <t>JOURNAL OF ELECTRONIC MATERIALS</t>
  </si>
  <si>
    <t>The optical absorption coefficient a and electrical conduction as a function of temperature of the semiconductor Cu3In5Se9, an ordered defect compound which crystallizes in a tetragonal structure with space group P similar to 42c, have been studied. The band gap energy EG varies between 0.994 eV and 0.983 eV in the temperature range between 25 and 300 K. The exponential variation of a with photon energy, observed just below the fundamental absorption edge, confirms the existence in Cu3In5Se9 of the Urbach's tail. The phonon energy hmp associated with this tail is 101 meV. This is about three times higher than the highest optical phonon mode reported for Cu3In5Se9 from infrared reflectivity spectra. The origin of this high energy is attributed due to the contribution of localized modes produced by structural disorders due to deviation from ideal stoichiometry and donor-acceptor defects pairs. From the analysis of electrical data of n-type Cu3In5Se9 in the temperature range from 80 K to 300 K, it was found that above 100 K the electrical conduction is due to the activation of two shallow donor levels of about 40 meV and 80 meV, probably due to selenium vacancies.</t>
  </si>
  <si>
    <t>Delgado, Gerzon/AAS-3024-2021; Rincon, Carlos/I-8345-2014; Delgado, Gerzon E./C-6744-2016; SINGH, DINESH/A-2509-2011</t>
  </si>
  <si>
    <t>Rincon, Carlos/0000-0001-6614-9746; Delgado, Gerzon E./0000-0003-3970-2387; SINGH, DINESH/0000-0002-2893-7749</t>
  </si>
  <si>
    <t>0361-5235</t>
  </si>
  <si>
    <t>1543-186X</t>
  </si>
  <si>
    <t>10.1007/s11664-019-07816-0</t>
  </si>
  <si>
    <t>WOS:000514136400042</t>
  </si>
  <si>
    <t>Ahumada, C; Kaschel, H; Osorio-Comparan, R; Lefranc, G</t>
  </si>
  <si>
    <t>Ahumada, Cristian; Kaschel, Hector; Osorio-Comparan, Roman; Lefranc, Gaston</t>
  </si>
  <si>
    <t>Design of Microstrip Patch Antenna with quarter wave transformer for ISM Band</t>
  </si>
  <si>
    <t>This paper presents a design of microstrip patch antenna with quarter wave transformer for ISM Band. The antenna is designed over the operating frequency is 2.4 GHz using the substrate material as FR-4. The designed antenna can be used for ISM (industrial, scientific and medical) band applications in Wireless Body Area Networks (WBAN). Different performance parameters of the antenna such as operating frequency, Return Loss, Voltage Standing Wave Ratio (VSWR), directivity, SAR have been analyzed both in planar conditions on the human tissue model by using CST Microwave Studio. Finally, Specific Absorption Rate (SAR) is evaluated to satisfy the antenna safety concern on the human body.</t>
  </si>
  <si>
    <t>10.1109/chilecon47746.2019.8986857</t>
  </si>
  <si>
    <t>WOS:000542919100001</t>
  </si>
  <si>
    <t>Sevilla, FRS; Korba, P; Barocio, E; Chavez, H; Sattinger, W</t>
  </si>
  <si>
    <t>Sevilla, Felix Rafael Segundo; Korba, Petr; Barocio, Emilio; Chavez, Hector; Sattinger, Walter</t>
  </si>
  <si>
    <t>Data Analytic Tool for Clustering Identification based on Dimensionality Reduction of Frequency Measurements</t>
  </si>
  <si>
    <t>2019 INTERNATIONAL CONFERENCE ON SMART GRID SYNCHRONIZED MEASUREMENTS AND ANALYTICS (SGSMA)</t>
  </si>
  <si>
    <t>MAY 20-23, 2019</t>
  </si>
  <si>
    <t>Texas A&amp;M Univ, College Station, TX</t>
  </si>
  <si>
    <t>IEEE Power &amp; Energy Soc,NSF,Texas A&amp;M Engn Experiment Stat,TEES Smart Grid Ctr,Texas A&amp;M Univ Div Res,Texas A&amp;M, Elect &amp; Comp Engn, Energy &amp; Power Grp,SEL,Texas A&amp;M, Elect &amp; Comp Engn,Elect Power Grp,Elect Power Res Inst,NuGrid,VR Energy</t>
  </si>
  <si>
    <t>Texas A&amp;M Univ</t>
  </si>
  <si>
    <t>This work presents a data analytic tool for clustering analysis based on Dimensionality Reduction (DR) of power system measurements. The proposed method is applied to frequency measurements of the ENTSO-E dynamic model of continental Europe and the results are compared with other conventional DR approaches. After considerable reduction of the raw measurements, a phasor metric for identification of coherency groups of generators is proposed. The recommended measure stands for its simple implementation, interpretation and fast computation. To illustrate the effectiveness of the clustering approach and the coherency of the metrics, a particular study case following the outage of a representative generation unit in France is presented.</t>
  </si>
  <si>
    <t>Segundo Sevilla, Felix Rafael/0000-0002-9562-3547; Korba, Petr/0000-0002-5408-7653</t>
  </si>
  <si>
    <t>978-1-7281-1607-5</t>
  </si>
  <si>
    <t>WOS:000494746200027</t>
  </si>
  <si>
    <t>Stock, RI; Sandri, C; Rezende, MC; Machado, VG</t>
  </si>
  <si>
    <t>Stock, Rafaela I.; Sandri, Crislaine; Rezende, Marcos C.; Machado, Vanderlei G.</t>
  </si>
  <si>
    <t>Solvatochromic behavior of substituted 4-(nitrostyryl)phenolate dyes in pure solvents and in binary solvent mixtures composed of water and alcohols</t>
  </si>
  <si>
    <t>Several 4-(nitrostyryl)phenolates have been used recently as solvatochromic dyes in the investigation of pure solvents. Changes in their molecular structures allow a comparison of their solvation patterns to be made in different binary solvent mixtures, in an effort to relate structural factors to the preferential solvation (PS) observed in these media. Firstly, the solvatochromism of four of these probes was studied and a reversal in their solvatochromism was verified, which was expected following a comparison with other similar systems previously studied. The solvatochromic behavior of a series of twelve 4-(nitrostyryl)phenolate dyes was then investigated in water-alcohol mixtures. A sigmoid behavior was verified for one of the dyes in ethane-12-diol-water mixtures, and the dye was preferentially solvated by water in the alcohol-rich region. For all other mixture compositions a strong synergy was observed, with the PS of the dye molecules occurring through the less polar moiety of the water-alcohol aggregates in the binary mixtures. In addition, synergy was observed for some dyes, with PS occurring through the less polar moiety of the alcohol-water aggregates. For all of the other water-alcohol mixtures, the probes were preferentially solvated by the alcohol cosolvent. In order to quantify these deviations, a PS (or non-ideality) index PSI was proposed. The PSI values obtained correlated well with the hydrogen-bond donating ability of the alcoholic co-solvent, and also with the basicity of the phenolate dyes, and the trends observed were confirmed with data from the literature for two other phenolate dyes. (C) 2018 Elsevier B.V. All rights reserved.</t>
  </si>
  <si>
    <t>Machado, Vanderlei/C-7045-2018; Caroli, Marcos/H-3570-2019</t>
  </si>
  <si>
    <t>10.1016/j.molliq.2018.05.042</t>
  </si>
  <si>
    <t>WOS:000436913900040</t>
  </si>
  <si>
    <t>Bruneau, V; Miranda, P</t>
  </si>
  <si>
    <t>Bruneau, Vincent; Miranda, Pablo</t>
  </si>
  <si>
    <t>Threshold singularities of the spectral shift function for a half-plane magnetic Hamiltonian</t>
  </si>
  <si>
    <t>JOURNAL OF FUNCTIONAL ANALYSIS</t>
  </si>
  <si>
    <t>We consider the Schrodinger operator with constant magnetic field defined on the half-plane with a Dirichlet boundary condition, H-0, and a decaying electric perturbation V. We study the Spectral Shift Function (SSF) associated to the pair (H-0 + V, H-0) near the Landau levels, which are thresholds in the spectrum of H-0. For perturbations of a fixed sign, we estimate the SSF in terms of the eigenvalue counting function for certain compact operators. If the decay of V is power like, then using pseudodifferential analysis, we deduce that there are singularities at the thresholds and we obtain the corresponding asymptotic behavior of the SSF. Our technique gives also results for the Neumann boundary condition. (C) 2017 Elsevier Inc. All rights reserved.</t>
  </si>
  <si>
    <t>0022-1236</t>
  </si>
  <si>
    <t>1096-0783</t>
  </si>
  <si>
    <t>10.1016/j.jfa.2017.10.007</t>
  </si>
  <si>
    <t>WOS:000428966100002</t>
  </si>
  <si>
    <t>Palma, M; Márquez-Ruiz, G; García, P; Holgado, F; Vergara, C; Giménez, B; Robert, P</t>
  </si>
  <si>
    <t>Palma, Manuel; Marquez-Ruiz, Gloria; Garcia, Paula; Holgado, Francisca; Vergara, Cristina; Gimenez, Begona; Robert, Paz</t>
  </si>
  <si>
    <t>Effect of Spray-Dried Flavonoid Microparticles on Oxidative Stability of Methyl Linoleate as Lipid Model System</t>
  </si>
  <si>
    <t>JOURNAL OF THE AMERICAN OIL CHEMISTS SOCIETY</t>
  </si>
  <si>
    <t>Microencapsulated quercetin (Q) and epicatechin (E) were prepared by spray-drying using inulin (IN) as encapsulating agent (Q-IN and E-IN) as well as with Capsul (C) as channelizing agent (Q-IN-C and E-IN-C). Microparticles were added to methyl linoleate (ML) and results showed that Q microparticles markedly improved its oxidative stability by increasing the induction period values and delaying the formation of oxidation compounds, as determined by high-performance size-exclusion chromatography, with respect to E microparticles, thus suggesting the importance of flavonoid C-ring substitution. Remaining levels of Q in the lipid system throughout oxidation of ML added with Q microparticles seemed to show two releasing zones: the first one corresponds to the equilibrium zone, when Q released from microparticles replaces Q that is being degraded; the second zone corresponds to the degradation of Q, when the release rate of the encapsulated Q is slower than its degradation rate. In contrast, E microparticles showed only one zone corresponding to the release of surface E. The end of the induction period was in line with the exhaustion of Q and E and the initiation of formation of advanced oxidation products (polymers). In conclusion, Q microparticles have a potential application to extend the shelf-life of lipid matrixes.</t>
  </si>
  <si>
    <t>Vergara, Cristina/AAT-9575-2021; Holgado, Francisca/AAC-1822-2020; Robert, Paz/G-8198-2014; GARCIA, PAULA/H-3149-2018; Marquez-Ruiz, Gloria/B-6925-2013</t>
  </si>
  <si>
    <t>HOLGADO, FRANCISCA/0000-0003-4950-5950; Marquez-Ruiz, Gloria/0000-0002-8548-837X</t>
  </si>
  <si>
    <t>0003-021X</t>
  </si>
  <si>
    <t>1558-9331</t>
  </si>
  <si>
    <t>10.1007/s11746-016-2920-8</t>
  </si>
  <si>
    <t>WOS:000393586000010</t>
  </si>
  <si>
    <t>Panerai, RB; Jara, JL; Saeed, NP; Horsfield, MA; Robinson, TG</t>
  </si>
  <si>
    <t>Panerai, Ronney B.; Jara, Jose L.; Saeed, Nazia P.; Horsfield, Mark A.; Robinson, Thompson G.</t>
  </si>
  <si>
    <t>Dynamic cerebral autoregulation following acute ischaemic stroke: Comparison of transcranial Doppler and magnetic resonance imaging techniques</t>
  </si>
  <si>
    <t>JOURNAL OF CEREBRAL BLOOD FLOW AND METABOLISM</t>
  </si>
  <si>
    <t>Novel MRI-based dynamic cerebral autoregulation (dCA) assessment enables the estimation of both global and spatially discriminated autoregulation index values. Before exploring this technique for the evaluation of focal dCA in acute ischaemic stroke (AIS) patients, it is necessary to compare global dCA estimates made using both TCD and MRI. Both techniques were used to study 11 AIS patients within 48 h of symptom onset, and nine healthy controls. dCA was assessed by the rate of return of CBFV (R-turn) following a sudden drop induced by the thigh cuff manoeuvre. No significant between-hemisphere differences were seen in controls using either the TCD or MRI technique. Inter-hemisphere averaged Rturn values were not different between TCD (1.89 +/- 0.67%/s) and MRI (2.07 +/- 0.60%/s) either. In patients, there were no differences between the affected and unaffected hemispheres whether assessed by TCD (R-turn 0.67 +/- 0.72 vs. 0.98 +/- 1.09%/s) or MRI (0.55 +/- 1.51 vs. 1.63 +/- 0.63%/s). Rturn for both TCD and MRI was impaired in AIS patients compared to controls in both unaffected and affected hemispheres (ANOVA, p = 0.00005). These findings pave the way for wider use of MRI for dCA assessment in health and disease.</t>
  </si>
  <si>
    <t>Robinson, Tila/IXN-4785-2023; Horsfield, Mark/C-6569-2013; Jara, JL/J-7254-2015</t>
  </si>
  <si>
    <t>Jara, JL/0000-0002-3348-7017; Robinson, Thompson/0000-0003-2144-2468</t>
  </si>
  <si>
    <t>0271-678X</t>
  </si>
  <si>
    <t>1559-7016</t>
  </si>
  <si>
    <t>10.1177/0271678X15615874</t>
  </si>
  <si>
    <t>WOS:000389138200016</t>
  </si>
  <si>
    <t>Peña, VS</t>
  </si>
  <si>
    <t>Sanchez, DC</t>
  </si>
  <si>
    <t>Pena, Victor S.</t>
  </si>
  <si>
    <t>The winding road to a public policy State</t>
  </si>
  <si>
    <t>POLITICAS PUBLICAS: RETOS Y DESAFIOS PARA LA GOBERNABILIDAD</t>
  </si>
  <si>
    <t>978-958-631-955-3</t>
  </si>
  <si>
    <t>10.2307/j.ctvbcczzg</t>
  </si>
  <si>
    <t>WOS:000570893300003</t>
  </si>
  <si>
    <t>Ispolatov, I; Madhok, V; Allende, S; Doebeli, M</t>
  </si>
  <si>
    <t>Ispolatov, Iaroslav; Madhok, Vaibhav; Allende, Sebastian; Doebeli, Michael</t>
  </si>
  <si>
    <t>Chaos in high-dimensional dissipative dynamical systems</t>
  </si>
  <si>
    <t>For dissipative dynamical systems described by a system of ordinary differential equations, we address the question of how the probability of chaotic dynamics increases with the dimensionality of the phase space. We find that for a system of d globally coupled ODE's with quadratic and cubic non-linearities with randomly chosen coefficients and initial conditions, the probability of a trajectory to be chaotic increases universally from similar to 10(-5) -10(-4) for d = 3 to essentially one for d similar to 50. In the limit of large d, the invariant measure of the dynamical systems exhibits universal scaling that depends on the degree of non-linearity, but not on the choice of coefficients, and the largest Lyapunov exponent converges to a universal scaling limit. Using statistical arguments, we provide analytical explanations for the observed scaling, universality, and for the probability of chaos.</t>
  </si>
  <si>
    <t>10.1038/srep12506</t>
  </si>
  <si>
    <t>WOS:000358867500001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</si>
</sst>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74</v>
      </c>
      <c r="AC2" s="1" t="s">
        <v>74</v>
      </c>
      <c r="AD2" s="1" t="s">
        <v>74</v>
      </c>
      <c r="AE2" s="1" t="s">
        <v>74</v>
      </c>
      <c r="AF2" s="1" t="s">
        <v>74</v>
      </c>
      <c r="AG2" s="1" t="s">
        <v>74</v>
      </c>
      <c r="AH2" s="1" t="s">
        <v>74</v>
      </c>
      <c r="AI2" s="1" t="s">
        <v>74</v>
      </c>
      <c r="AJ2" s="1" t="s">
        <v>74</v>
      </c>
      <c r="AK2" s="1" t="s">
        <v>74</v>
      </c>
      <c r="AL2" s="1" t="s">
        <v>74</v>
      </c>
      <c r="AM2" s="1" t="s">
        <v>74</v>
      </c>
      <c r="AN2" s="1" t="s">
        <v>74</v>
      </c>
      <c r="AO2" s="1" t="s">
        <v>80</v>
      </c>
      <c r="AP2" s="1" t="s">
        <v>81</v>
      </c>
      <c r="AQ2" s="1" t="s">
        <v>74</v>
      </c>
      <c r="AR2" s="1" t="s">
        <v>74</v>
      </c>
      <c r="AS2" s="1" t="s">
        <v>74</v>
      </c>
      <c r="AT2" s="1" t="s">
        <v>82</v>
      </c>
      <c r="AU2" s="1">
        <v>2021.0</v>
      </c>
      <c r="AV2" s="1">
        <v>165.0</v>
      </c>
      <c r="AW2" s="1">
        <v>1.0</v>
      </c>
      <c r="AX2" s="1" t="s">
        <v>74</v>
      </c>
      <c r="AY2" s="1" t="s">
        <v>74</v>
      </c>
      <c r="AZ2" s="1" t="s">
        <v>74</v>
      </c>
      <c r="BA2" s="1" t="s">
        <v>74</v>
      </c>
      <c r="BB2" s="1">
        <v>28.0</v>
      </c>
      <c r="BC2" s="1">
        <v>39.0</v>
      </c>
      <c r="BD2" s="1" t="s">
        <v>74</v>
      </c>
      <c r="BE2" s="1" t="s">
        <v>83</v>
      </c>
      <c r="BF2" s="2" t="str">
        <f>HYPERLINK("http://dx.doi.org/10.1007/s10474-021-01166-2","http://dx.doi.org/10.1007/s10474-021-01166-2")</f>
        <v>http://dx.doi.org/10.1007/s10474-021-01166-2</v>
      </c>
      <c r="BG2" s="1" t="s">
        <v>74</v>
      </c>
      <c r="BH2" s="1" t="s">
        <v>84</v>
      </c>
      <c r="BI2" s="1" t="s">
        <v>74</v>
      </c>
      <c r="BJ2" s="1" t="s">
        <v>74</v>
      </c>
      <c r="BK2" s="1" t="s">
        <v>74</v>
      </c>
      <c r="BL2" s="1" t="s">
        <v>74</v>
      </c>
      <c r="BM2" s="1" t="s">
        <v>74</v>
      </c>
      <c r="BN2" s="1" t="s">
        <v>74</v>
      </c>
      <c r="BO2" s="1" t="s">
        <v>74</v>
      </c>
      <c r="BP2" s="1" t="s">
        <v>74</v>
      </c>
      <c r="BQ2" s="1" t="s">
        <v>74</v>
      </c>
      <c r="BR2" s="1" t="s">
        <v>74</v>
      </c>
      <c r="BS2" s="1" t="s">
        <v>85</v>
      </c>
      <c r="BT2" s="1" t="str">
        <f>HYPERLINK("https%3A%2F%2Fwww.webofscience.com%2Fwos%2Fwoscc%2Ffull-record%2FWOS:000692303800011","View Full Record in Web of Science")</f>
        <v>View Full Record in Web of Science</v>
      </c>
    </row>
    <row r="3" ht="12.75" customHeight="1">
      <c r="A3" s="1" t="s">
        <v>72</v>
      </c>
      <c r="B3" s="1" t="s">
        <v>86</v>
      </c>
      <c r="C3" s="1" t="s">
        <v>74</v>
      </c>
      <c r="D3" s="1" t="s">
        <v>74</v>
      </c>
      <c r="E3" s="1" t="s">
        <v>74</v>
      </c>
      <c r="F3" s="1" t="s">
        <v>87</v>
      </c>
      <c r="G3" s="1" t="s">
        <v>74</v>
      </c>
      <c r="H3" s="1" t="s">
        <v>74</v>
      </c>
      <c r="I3" s="1" t="s">
        <v>88</v>
      </c>
      <c r="J3" s="1" t="s">
        <v>89</v>
      </c>
      <c r="K3" s="1" t="s">
        <v>74</v>
      </c>
      <c r="L3" s="1" t="s">
        <v>74</v>
      </c>
      <c r="M3" s="1" t="s">
        <v>74</v>
      </c>
      <c r="N3" s="1" t="s">
        <v>74</v>
      </c>
      <c r="O3" s="1" t="s">
        <v>74</v>
      </c>
      <c r="P3" s="1" t="s">
        <v>74</v>
      </c>
      <c r="Q3" s="1" t="s">
        <v>74</v>
      </c>
      <c r="R3" s="1" t="s">
        <v>74</v>
      </c>
      <c r="S3" s="1" t="s">
        <v>74</v>
      </c>
      <c r="T3" s="1" t="s">
        <v>74</v>
      </c>
      <c r="U3" s="1" t="s">
        <v>74</v>
      </c>
      <c r="V3" s="1" t="s">
        <v>90</v>
      </c>
      <c r="W3" s="1" t="s">
        <v>74</v>
      </c>
      <c r="X3" s="1" t="s">
        <v>74</v>
      </c>
      <c r="Y3" s="1" t="s">
        <v>74</v>
      </c>
      <c r="Z3" s="1" t="s">
        <v>74</v>
      </c>
      <c r="AA3" s="1" t="s">
        <v>91</v>
      </c>
      <c r="AB3" s="1" t="s">
        <v>92</v>
      </c>
      <c r="AC3" s="1" t="s">
        <v>74</v>
      </c>
      <c r="AD3" s="1" t="s">
        <v>74</v>
      </c>
      <c r="AE3" s="1" t="s">
        <v>74</v>
      </c>
      <c r="AF3" s="1" t="s">
        <v>74</v>
      </c>
      <c r="AG3" s="1" t="s">
        <v>74</v>
      </c>
      <c r="AH3" s="1" t="s">
        <v>74</v>
      </c>
      <c r="AI3" s="1" t="s">
        <v>74</v>
      </c>
      <c r="AJ3" s="1" t="s">
        <v>74</v>
      </c>
      <c r="AK3" s="1" t="s">
        <v>74</v>
      </c>
      <c r="AL3" s="1" t="s">
        <v>74</v>
      </c>
      <c r="AM3" s="1" t="s">
        <v>74</v>
      </c>
      <c r="AN3" s="1" t="s">
        <v>74</v>
      </c>
      <c r="AO3" s="1" t="s">
        <v>93</v>
      </c>
      <c r="AP3" s="1" t="s">
        <v>74</v>
      </c>
      <c r="AQ3" s="1" t="s">
        <v>74</v>
      </c>
      <c r="AR3" s="1" t="s">
        <v>74</v>
      </c>
      <c r="AS3" s="1" t="s">
        <v>74</v>
      </c>
      <c r="AT3" s="1" t="s">
        <v>94</v>
      </c>
      <c r="AU3" s="1">
        <v>2021.0</v>
      </c>
      <c r="AV3" s="1">
        <v>41.0</v>
      </c>
      <c r="AW3" s="1" t="s">
        <v>74</v>
      </c>
      <c r="AX3" s="1" t="s">
        <v>74</v>
      </c>
      <c r="AY3" s="1" t="s">
        <v>74</v>
      </c>
      <c r="AZ3" s="1" t="s">
        <v>74</v>
      </c>
      <c r="BA3" s="1" t="s">
        <v>74</v>
      </c>
      <c r="BB3" s="1" t="s">
        <v>74</v>
      </c>
      <c r="BC3" s="1" t="s">
        <v>74</v>
      </c>
      <c r="BD3" s="1">
        <v>102063.0</v>
      </c>
      <c r="BE3" s="1" t="s">
        <v>95</v>
      </c>
      <c r="BF3" s="2" t="str">
        <f>HYPERLINK("http://dx.doi.org/10.1016/j.jwpe.2021.102063","http://dx.doi.org/10.1016/j.jwpe.2021.102063")</f>
        <v>http://dx.doi.org/10.1016/j.jwpe.2021.102063</v>
      </c>
      <c r="BG3" s="1" t="s">
        <v>74</v>
      </c>
      <c r="BH3" s="1" t="s">
        <v>74</v>
      </c>
      <c r="BI3" s="1" t="s">
        <v>74</v>
      </c>
      <c r="BJ3" s="1" t="s">
        <v>74</v>
      </c>
      <c r="BK3" s="1" t="s">
        <v>74</v>
      </c>
      <c r="BL3" s="1" t="s">
        <v>74</v>
      </c>
      <c r="BM3" s="1" t="s">
        <v>74</v>
      </c>
      <c r="BN3" s="1" t="s">
        <v>74</v>
      </c>
      <c r="BO3" s="1" t="s">
        <v>74</v>
      </c>
      <c r="BP3" s="1" t="s">
        <v>74</v>
      </c>
      <c r="BQ3" s="1" t="s">
        <v>74</v>
      </c>
      <c r="BR3" s="1" t="s">
        <v>74</v>
      </c>
      <c r="BS3" s="1" t="s">
        <v>96</v>
      </c>
      <c r="BT3" s="1" t="str">
        <f>HYPERLINK("https%3A%2F%2Fwww.webofscience.com%2Fwos%2Fwoscc%2Ffull-record%2FWOS:000663322400009","View Full Record in Web of Science")</f>
        <v>View Full Record in Web of Science</v>
      </c>
    </row>
    <row r="4" ht="12.75" customHeight="1">
      <c r="A4" s="1" t="s">
        <v>72</v>
      </c>
      <c r="B4" s="1" t="s">
        <v>97</v>
      </c>
      <c r="C4" s="1" t="s">
        <v>74</v>
      </c>
      <c r="D4" s="1" t="s">
        <v>74</v>
      </c>
      <c r="E4" s="1" t="s">
        <v>74</v>
      </c>
      <c r="F4" s="1" t="s">
        <v>98</v>
      </c>
      <c r="G4" s="1" t="s">
        <v>74</v>
      </c>
      <c r="H4" s="1" t="s">
        <v>74</v>
      </c>
      <c r="I4" s="1" t="s">
        <v>99</v>
      </c>
      <c r="J4" s="1" t="s">
        <v>100</v>
      </c>
      <c r="K4" s="1" t="s">
        <v>74</v>
      </c>
      <c r="L4" s="1" t="s">
        <v>74</v>
      </c>
      <c r="M4" s="1" t="s">
        <v>74</v>
      </c>
      <c r="N4" s="1" t="s">
        <v>74</v>
      </c>
      <c r="O4" s="1" t="s">
        <v>74</v>
      </c>
      <c r="P4" s="1" t="s">
        <v>74</v>
      </c>
      <c r="Q4" s="1" t="s">
        <v>74</v>
      </c>
      <c r="R4" s="1" t="s">
        <v>74</v>
      </c>
      <c r="S4" s="1" t="s">
        <v>74</v>
      </c>
      <c r="T4" s="1" t="s">
        <v>74</v>
      </c>
      <c r="U4" s="1" t="s">
        <v>74</v>
      </c>
      <c r="V4" s="1" t="s">
        <v>101</v>
      </c>
      <c r="W4" s="1" t="s">
        <v>74</v>
      </c>
      <c r="X4" s="1" t="s">
        <v>74</v>
      </c>
      <c r="Y4" s="1" t="s">
        <v>74</v>
      </c>
      <c r="Z4" s="1" t="s">
        <v>74</v>
      </c>
      <c r="AA4" s="1" t="s">
        <v>102</v>
      </c>
      <c r="AB4" s="1" t="s">
        <v>103</v>
      </c>
      <c r="AC4" s="1" t="s">
        <v>74</v>
      </c>
      <c r="AD4" s="1" t="s">
        <v>74</v>
      </c>
      <c r="AE4" s="1" t="s">
        <v>74</v>
      </c>
      <c r="AF4" s="1" t="s">
        <v>74</v>
      </c>
      <c r="AG4" s="1" t="s">
        <v>74</v>
      </c>
      <c r="AH4" s="1" t="s">
        <v>74</v>
      </c>
      <c r="AI4" s="1" t="s">
        <v>74</v>
      </c>
      <c r="AJ4" s="1" t="s">
        <v>74</v>
      </c>
      <c r="AK4" s="1" t="s">
        <v>74</v>
      </c>
      <c r="AL4" s="1" t="s">
        <v>74</v>
      </c>
      <c r="AM4" s="1" t="s">
        <v>74</v>
      </c>
      <c r="AN4" s="1" t="s">
        <v>74</v>
      </c>
      <c r="AO4" s="1" t="s">
        <v>104</v>
      </c>
      <c r="AP4" s="1" t="s">
        <v>105</v>
      </c>
      <c r="AQ4" s="1" t="s">
        <v>74</v>
      </c>
      <c r="AR4" s="1" t="s">
        <v>74</v>
      </c>
      <c r="AS4" s="1" t="s">
        <v>74</v>
      </c>
      <c r="AT4" s="1" t="s">
        <v>106</v>
      </c>
      <c r="AU4" s="1">
        <v>2021.0</v>
      </c>
      <c r="AV4" s="1">
        <v>24.0</v>
      </c>
      <c r="AW4" s="1" t="s">
        <v>74</v>
      </c>
      <c r="AX4" s="1" t="s">
        <v>74</v>
      </c>
      <c r="AY4" s="1" t="s">
        <v>74</v>
      </c>
      <c r="AZ4" s="1" t="s">
        <v>74</v>
      </c>
      <c r="BA4" s="1" t="s">
        <v>74</v>
      </c>
      <c r="BB4" s="1" t="s">
        <v>74</v>
      </c>
      <c r="BC4" s="1" t="s">
        <v>74</v>
      </c>
      <c r="BD4" s="1" t="s">
        <v>107</v>
      </c>
      <c r="BE4" s="1" t="s">
        <v>108</v>
      </c>
      <c r="BF4" s="2" t="str">
        <f>HYPERLINK("http://dx.doi.org/10.1017/SJP.2021.26","http://dx.doi.org/10.1017/SJP.2021.26")</f>
        <v>http://dx.doi.org/10.1017/SJP.2021.26</v>
      </c>
      <c r="BG4" s="1" t="s">
        <v>74</v>
      </c>
      <c r="BH4" s="1" t="s">
        <v>74</v>
      </c>
      <c r="BI4" s="1" t="s">
        <v>74</v>
      </c>
      <c r="BJ4" s="1" t="s">
        <v>74</v>
      </c>
      <c r="BK4" s="1" t="s">
        <v>74</v>
      </c>
      <c r="BL4" s="1" t="s">
        <v>74</v>
      </c>
      <c r="BM4" s="1" t="s">
        <v>74</v>
      </c>
      <c r="BN4" s="1">
        <v>3.3827746E7</v>
      </c>
      <c r="BO4" s="1" t="s">
        <v>74</v>
      </c>
      <c r="BP4" s="1" t="s">
        <v>74</v>
      </c>
      <c r="BQ4" s="1" t="s">
        <v>74</v>
      </c>
      <c r="BR4" s="1" t="s">
        <v>74</v>
      </c>
      <c r="BS4" s="1" t="s">
        <v>109</v>
      </c>
      <c r="BT4" s="1" t="str">
        <f>HYPERLINK("https%3A%2F%2Fwww.webofscience.com%2Fwos%2Fwoscc%2Ffull-record%2FWOS:000637739500001","View Full Record in Web of Science")</f>
        <v>View Full Record in Web of Science</v>
      </c>
    </row>
    <row r="5" ht="12.75" customHeight="1">
      <c r="A5" s="1" t="s">
        <v>72</v>
      </c>
      <c r="B5" s="1" t="s">
        <v>110</v>
      </c>
      <c r="C5" s="1" t="s">
        <v>74</v>
      </c>
      <c r="D5" s="1" t="s">
        <v>74</v>
      </c>
      <c r="E5" s="1" t="s">
        <v>74</v>
      </c>
      <c r="F5" s="1" t="s">
        <v>111</v>
      </c>
      <c r="G5" s="1" t="s">
        <v>74</v>
      </c>
      <c r="H5" s="1" t="s">
        <v>74</v>
      </c>
      <c r="I5" s="1" t="s">
        <v>112</v>
      </c>
      <c r="J5" s="1" t="s">
        <v>113</v>
      </c>
      <c r="K5" s="1" t="s">
        <v>74</v>
      </c>
      <c r="L5" s="1" t="s">
        <v>74</v>
      </c>
      <c r="M5" s="1" t="s">
        <v>74</v>
      </c>
      <c r="N5" s="1" t="s">
        <v>74</v>
      </c>
      <c r="O5" s="1" t="s">
        <v>74</v>
      </c>
      <c r="P5" s="1" t="s">
        <v>74</v>
      </c>
      <c r="Q5" s="1" t="s">
        <v>74</v>
      </c>
      <c r="R5" s="1" t="s">
        <v>74</v>
      </c>
      <c r="S5" s="1" t="s">
        <v>74</v>
      </c>
      <c r="T5" s="1" t="s">
        <v>74</v>
      </c>
      <c r="U5" s="1" t="s">
        <v>74</v>
      </c>
      <c r="V5" s="1" t="s">
        <v>74</v>
      </c>
      <c r="W5" s="1" t="s">
        <v>74</v>
      </c>
      <c r="X5" s="1" t="s">
        <v>74</v>
      </c>
      <c r="Y5" s="1" t="s">
        <v>74</v>
      </c>
      <c r="Z5" s="1" t="s">
        <v>74</v>
      </c>
      <c r="AA5" s="1" t="s">
        <v>114</v>
      </c>
      <c r="AB5" s="1" t="s">
        <v>115</v>
      </c>
      <c r="AC5" s="1" t="s">
        <v>74</v>
      </c>
      <c r="AD5" s="1" t="s">
        <v>74</v>
      </c>
      <c r="AE5" s="1" t="s">
        <v>74</v>
      </c>
      <c r="AF5" s="1" t="s">
        <v>74</v>
      </c>
      <c r="AG5" s="1" t="s">
        <v>74</v>
      </c>
      <c r="AH5" s="1" t="s">
        <v>74</v>
      </c>
      <c r="AI5" s="1" t="s">
        <v>74</v>
      </c>
      <c r="AJ5" s="1" t="s">
        <v>74</v>
      </c>
      <c r="AK5" s="1" t="s">
        <v>74</v>
      </c>
      <c r="AL5" s="1" t="s">
        <v>74</v>
      </c>
      <c r="AM5" s="1" t="s">
        <v>74</v>
      </c>
      <c r="AN5" s="1" t="s">
        <v>74</v>
      </c>
      <c r="AO5" s="1" t="s">
        <v>74</v>
      </c>
      <c r="AP5" s="1" t="s">
        <v>116</v>
      </c>
      <c r="AQ5" s="1" t="s">
        <v>74</v>
      </c>
      <c r="AR5" s="1" t="s">
        <v>74</v>
      </c>
      <c r="AS5" s="1" t="s">
        <v>74</v>
      </c>
      <c r="AT5" s="1" t="s">
        <v>117</v>
      </c>
      <c r="AU5" s="1">
        <v>2021.0</v>
      </c>
      <c r="AV5" s="1">
        <v>12.0</v>
      </c>
      <c r="AW5" s="1" t="s">
        <v>74</v>
      </c>
      <c r="AX5" s="1" t="s">
        <v>74</v>
      </c>
      <c r="AY5" s="1" t="s">
        <v>74</v>
      </c>
      <c r="AZ5" s="1" t="s">
        <v>74</v>
      </c>
      <c r="BA5" s="1" t="s">
        <v>74</v>
      </c>
      <c r="BB5" s="1" t="s">
        <v>74</v>
      </c>
      <c r="BC5" s="1" t="s">
        <v>74</v>
      </c>
      <c r="BD5" s="1">
        <v>663641.0</v>
      </c>
      <c r="BE5" s="1" t="s">
        <v>118</v>
      </c>
      <c r="BF5" s="2" t="str">
        <f>HYPERLINK("http://dx.doi.org/10.3389/fgene.2021.663641","http://dx.doi.org/10.3389/fgene.2021.663641")</f>
        <v>http://dx.doi.org/10.3389/fgene.2021.663641</v>
      </c>
      <c r="BG5" s="1" t="s">
        <v>74</v>
      </c>
      <c r="BH5" s="1" t="s">
        <v>74</v>
      </c>
      <c r="BI5" s="1" t="s">
        <v>74</v>
      </c>
      <c r="BJ5" s="1" t="s">
        <v>74</v>
      </c>
      <c r="BK5" s="1" t="s">
        <v>74</v>
      </c>
      <c r="BL5" s="1" t="s">
        <v>74</v>
      </c>
      <c r="BM5" s="1" t="s">
        <v>74</v>
      </c>
      <c r="BN5" s="1">
        <v>3.3777115E7</v>
      </c>
      <c r="BO5" s="1" t="s">
        <v>74</v>
      </c>
      <c r="BP5" s="1" t="s">
        <v>74</v>
      </c>
      <c r="BQ5" s="1" t="s">
        <v>74</v>
      </c>
      <c r="BR5" s="1" t="s">
        <v>74</v>
      </c>
      <c r="BS5" s="1" t="s">
        <v>119</v>
      </c>
      <c r="BT5" s="1" t="str">
        <f>HYPERLINK("https%3A%2F%2Fwww.webofscience.com%2Fwos%2Fwoscc%2Ffull-record%2FWOS:000632424400001","View Full Record in Web of Science")</f>
        <v>View Full Record in Web of Science</v>
      </c>
    </row>
    <row r="6" ht="12.75" customHeight="1">
      <c r="A6" s="1" t="s">
        <v>72</v>
      </c>
      <c r="B6" s="1" t="s">
        <v>120</v>
      </c>
      <c r="C6" s="1" t="s">
        <v>74</v>
      </c>
      <c r="D6" s="1" t="s">
        <v>74</v>
      </c>
      <c r="E6" s="1" t="s">
        <v>74</v>
      </c>
      <c r="F6" s="1" t="s">
        <v>121</v>
      </c>
      <c r="G6" s="1" t="s">
        <v>74</v>
      </c>
      <c r="H6" s="1" t="s">
        <v>74</v>
      </c>
      <c r="I6" s="1" t="s">
        <v>122</v>
      </c>
      <c r="J6" s="1" t="s">
        <v>123</v>
      </c>
      <c r="K6" s="1" t="s">
        <v>74</v>
      </c>
      <c r="L6" s="1" t="s">
        <v>74</v>
      </c>
      <c r="M6" s="1" t="s">
        <v>74</v>
      </c>
      <c r="N6" s="1" t="s">
        <v>74</v>
      </c>
      <c r="O6" s="1" t="s">
        <v>74</v>
      </c>
      <c r="P6" s="1" t="s">
        <v>74</v>
      </c>
      <c r="Q6" s="1" t="s">
        <v>74</v>
      </c>
      <c r="R6" s="1" t="s">
        <v>74</v>
      </c>
      <c r="S6" s="1" t="s">
        <v>74</v>
      </c>
      <c r="T6" s="1" t="s">
        <v>74</v>
      </c>
      <c r="U6" s="1" t="s">
        <v>74</v>
      </c>
      <c r="V6" s="1" t="s">
        <v>124</v>
      </c>
      <c r="W6" s="1" t="s">
        <v>74</v>
      </c>
      <c r="X6" s="1" t="s">
        <v>74</v>
      </c>
      <c r="Y6" s="1" t="s">
        <v>74</v>
      </c>
      <c r="Z6" s="1" t="s">
        <v>74</v>
      </c>
      <c r="AA6" s="1" t="s">
        <v>125</v>
      </c>
      <c r="AB6" s="1" t="s">
        <v>126</v>
      </c>
      <c r="AC6" s="1" t="s">
        <v>74</v>
      </c>
      <c r="AD6" s="1" t="s">
        <v>74</v>
      </c>
      <c r="AE6" s="1" t="s">
        <v>74</v>
      </c>
      <c r="AF6" s="1" t="s">
        <v>74</v>
      </c>
      <c r="AG6" s="1" t="s">
        <v>74</v>
      </c>
      <c r="AH6" s="1" t="s">
        <v>74</v>
      </c>
      <c r="AI6" s="1" t="s">
        <v>74</v>
      </c>
      <c r="AJ6" s="1" t="s">
        <v>74</v>
      </c>
      <c r="AK6" s="1" t="s">
        <v>74</v>
      </c>
      <c r="AL6" s="1" t="s">
        <v>74</v>
      </c>
      <c r="AM6" s="1" t="s">
        <v>74</v>
      </c>
      <c r="AN6" s="1" t="s">
        <v>74</v>
      </c>
      <c r="AO6" s="1" t="s">
        <v>127</v>
      </c>
      <c r="AP6" s="1" t="s">
        <v>128</v>
      </c>
      <c r="AQ6" s="1" t="s">
        <v>74</v>
      </c>
      <c r="AR6" s="1" t="s">
        <v>74</v>
      </c>
      <c r="AS6" s="1" t="s">
        <v>74</v>
      </c>
      <c r="AT6" s="1" t="s">
        <v>129</v>
      </c>
      <c r="AU6" s="1">
        <v>2021.0</v>
      </c>
      <c r="AV6" s="1">
        <v>22.0</v>
      </c>
      <c r="AW6" s="1">
        <v>6.0</v>
      </c>
      <c r="AX6" s="1" t="s">
        <v>74</v>
      </c>
      <c r="AY6" s="1" t="s">
        <v>74</v>
      </c>
      <c r="AZ6" s="1" t="s">
        <v>74</v>
      </c>
      <c r="BA6" s="1" t="s">
        <v>74</v>
      </c>
      <c r="BB6" s="1">
        <v>526.0</v>
      </c>
      <c r="BC6" s="1">
        <v>532.0</v>
      </c>
      <c r="BD6" s="1" t="s">
        <v>74</v>
      </c>
      <c r="BE6" s="1" t="s">
        <v>130</v>
      </c>
      <c r="BF6" s="2" t="str">
        <f>HYPERLINK("http://dx.doi.org/10.1002/cphc.202000831","http://dx.doi.org/10.1002/cphc.202000831")</f>
        <v>http://dx.doi.org/10.1002/cphc.202000831</v>
      </c>
      <c r="BG6" s="1" t="s">
        <v>74</v>
      </c>
      <c r="BH6" s="1" t="s">
        <v>131</v>
      </c>
      <c r="BI6" s="1" t="s">
        <v>74</v>
      </c>
      <c r="BJ6" s="1" t="s">
        <v>74</v>
      </c>
      <c r="BK6" s="1" t="s">
        <v>74</v>
      </c>
      <c r="BL6" s="1" t="s">
        <v>74</v>
      </c>
      <c r="BM6" s="1" t="s">
        <v>74</v>
      </c>
      <c r="BN6" s="1">
        <v>3.3482036E7</v>
      </c>
      <c r="BO6" s="1" t="s">
        <v>74</v>
      </c>
      <c r="BP6" s="1" t="s">
        <v>74</v>
      </c>
      <c r="BQ6" s="1" t="s">
        <v>74</v>
      </c>
      <c r="BR6" s="1" t="s">
        <v>74</v>
      </c>
      <c r="BS6" s="1" t="s">
        <v>132</v>
      </c>
      <c r="BT6" s="1" t="str">
        <f>HYPERLINK("https%3A%2F%2Fwww.webofscience.com%2Fwos%2Fwoscc%2Ffull-record%2FWOS:000618366700001","View Full Record in Web of Science")</f>
        <v>View Full Record in Web of Science</v>
      </c>
    </row>
    <row r="7" ht="12.75" customHeight="1">
      <c r="A7" s="1" t="s">
        <v>72</v>
      </c>
      <c r="B7" s="1" t="s">
        <v>133</v>
      </c>
      <c r="C7" s="1" t="s">
        <v>74</v>
      </c>
      <c r="D7" s="1" t="s">
        <v>74</v>
      </c>
      <c r="E7" s="1" t="s">
        <v>74</v>
      </c>
      <c r="F7" s="1" t="s">
        <v>134</v>
      </c>
      <c r="G7" s="1" t="s">
        <v>74</v>
      </c>
      <c r="H7" s="1" t="s">
        <v>74</v>
      </c>
      <c r="I7" s="1" t="s">
        <v>135</v>
      </c>
      <c r="J7" s="1" t="s">
        <v>136</v>
      </c>
      <c r="K7" s="1" t="s">
        <v>74</v>
      </c>
      <c r="L7" s="1" t="s">
        <v>74</v>
      </c>
      <c r="M7" s="1" t="s">
        <v>74</v>
      </c>
      <c r="N7" s="1" t="s">
        <v>74</v>
      </c>
      <c r="O7" s="1" t="s">
        <v>74</v>
      </c>
      <c r="P7" s="1" t="s">
        <v>74</v>
      </c>
      <c r="Q7" s="1" t="s">
        <v>74</v>
      </c>
      <c r="R7" s="1" t="s">
        <v>74</v>
      </c>
      <c r="S7" s="1" t="s">
        <v>74</v>
      </c>
      <c r="T7" s="1" t="s">
        <v>74</v>
      </c>
      <c r="U7" s="1" t="s">
        <v>74</v>
      </c>
      <c r="V7" s="1" t="s">
        <v>137</v>
      </c>
      <c r="W7" s="1" t="s">
        <v>74</v>
      </c>
      <c r="X7" s="1" t="s">
        <v>74</v>
      </c>
      <c r="Y7" s="1" t="s">
        <v>74</v>
      </c>
      <c r="Z7" s="1" t="s">
        <v>74</v>
      </c>
      <c r="AA7" s="1" t="s">
        <v>138</v>
      </c>
      <c r="AB7" s="1" t="s">
        <v>139</v>
      </c>
      <c r="AC7" s="1" t="s">
        <v>74</v>
      </c>
      <c r="AD7" s="1" t="s">
        <v>74</v>
      </c>
      <c r="AE7" s="1" t="s">
        <v>74</v>
      </c>
      <c r="AF7" s="1" t="s">
        <v>74</v>
      </c>
      <c r="AG7" s="1" t="s">
        <v>74</v>
      </c>
      <c r="AH7" s="1" t="s">
        <v>74</v>
      </c>
      <c r="AI7" s="1" t="s">
        <v>74</v>
      </c>
      <c r="AJ7" s="1" t="s">
        <v>74</v>
      </c>
      <c r="AK7" s="1" t="s">
        <v>74</v>
      </c>
      <c r="AL7" s="1" t="s">
        <v>74</v>
      </c>
      <c r="AM7" s="1" t="s">
        <v>74</v>
      </c>
      <c r="AN7" s="1" t="s">
        <v>74</v>
      </c>
      <c r="AO7" s="1" t="s">
        <v>140</v>
      </c>
      <c r="AP7" s="1" t="s">
        <v>141</v>
      </c>
      <c r="AQ7" s="1" t="s">
        <v>74</v>
      </c>
      <c r="AR7" s="1" t="s">
        <v>74</v>
      </c>
      <c r="AS7" s="1" t="s">
        <v>74</v>
      </c>
      <c r="AT7" s="1" t="s">
        <v>142</v>
      </c>
      <c r="AU7" s="1">
        <v>2021.0</v>
      </c>
      <c r="AV7" s="1">
        <v>46.0</v>
      </c>
      <c r="AW7" s="1">
        <v>7.0</v>
      </c>
      <c r="AX7" s="1" t="s">
        <v>74</v>
      </c>
      <c r="AY7" s="1" t="s">
        <v>74</v>
      </c>
      <c r="AZ7" s="1" t="s">
        <v>74</v>
      </c>
      <c r="BA7" s="1" t="s">
        <v>74</v>
      </c>
      <c r="BB7" s="1">
        <v>5100.0</v>
      </c>
      <c r="BC7" s="1">
        <v>5111.0</v>
      </c>
      <c r="BD7" s="1" t="s">
        <v>74</v>
      </c>
      <c r="BE7" s="1" t="s">
        <v>143</v>
      </c>
      <c r="BF7" s="2" t="str">
        <f>HYPERLINK("http://dx.doi.org/10.1016/j.ijhydene.2020.11.104","http://dx.doi.org/10.1016/j.ijhydene.2020.11.104")</f>
        <v>http://dx.doi.org/10.1016/j.ijhydene.2020.11.104</v>
      </c>
      <c r="BG7" s="1" t="s">
        <v>74</v>
      </c>
      <c r="BH7" s="1" t="s">
        <v>144</v>
      </c>
      <c r="BI7" s="1" t="s">
        <v>74</v>
      </c>
      <c r="BJ7" s="1" t="s">
        <v>74</v>
      </c>
      <c r="BK7" s="1" t="s">
        <v>74</v>
      </c>
      <c r="BL7" s="1" t="s">
        <v>74</v>
      </c>
      <c r="BM7" s="1" t="s">
        <v>74</v>
      </c>
      <c r="BN7" s="1" t="s">
        <v>74</v>
      </c>
      <c r="BO7" s="1" t="s">
        <v>74</v>
      </c>
      <c r="BP7" s="1" t="s">
        <v>74</v>
      </c>
      <c r="BQ7" s="1" t="s">
        <v>74</v>
      </c>
      <c r="BR7" s="1" t="s">
        <v>74</v>
      </c>
      <c r="BS7" s="1" t="s">
        <v>145</v>
      </c>
      <c r="BT7" s="1" t="str">
        <f>HYPERLINK("https%3A%2F%2Fwww.webofscience.com%2Fwos%2Fwoscc%2Ffull-record%2FWOS:000608682100001","View Full Record in Web of Science")</f>
        <v>View Full Record in Web of Science</v>
      </c>
    </row>
    <row r="8" ht="12.75" customHeight="1">
      <c r="A8" s="1" t="s">
        <v>72</v>
      </c>
      <c r="B8" s="1" t="s">
        <v>146</v>
      </c>
      <c r="C8" s="1" t="s">
        <v>74</v>
      </c>
      <c r="D8" s="1" t="s">
        <v>74</v>
      </c>
      <c r="E8" s="1" t="s">
        <v>74</v>
      </c>
      <c r="F8" s="1" t="s">
        <v>147</v>
      </c>
      <c r="G8" s="1" t="s">
        <v>74</v>
      </c>
      <c r="H8" s="1" t="s">
        <v>74</v>
      </c>
      <c r="I8" s="1" t="s">
        <v>148</v>
      </c>
      <c r="J8" s="1" t="s">
        <v>149</v>
      </c>
      <c r="K8" s="1" t="s">
        <v>74</v>
      </c>
      <c r="L8" s="1" t="s">
        <v>74</v>
      </c>
      <c r="M8" s="1" t="s">
        <v>74</v>
      </c>
      <c r="N8" s="1" t="s">
        <v>74</v>
      </c>
      <c r="O8" s="1" t="s">
        <v>74</v>
      </c>
      <c r="P8" s="1" t="s">
        <v>74</v>
      </c>
      <c r="Q8" s="1" t="s">
        <v>74</v>
      </c>
      <c r="R8" s="1" t="s">
        <v>74</v>
      </c>
      <c r="S8" s="1" t="s">
        <v>74</v>
      </c>
      <c r="T8" s="1" t="s">
        <v>74</v>
      </c>
      <c r="U8" s="1" t="s">
        <v>74</v>
      </c>
      <c r="V8" s="1" t="s">
        <v>150</v>
      </c>
      <c r="W8" s="1" t="s">
        <v>74</v>
      </c>
      <c r="X8" s="1" t="s">
        <v>74</v>
      </c>
      <c r="Y8" s="1" t="s">
        <v>74</v>
      </c>
      <c r="Z8" s="1" t="s">
        <v>74</v>
      </c>
      <c r="AA8" s="1" t="s">
        <v>151</v>
      </c>
      <c r="AB8" s="1" t="s">
        <v>152</v>
      </c>
      <c r="AC8" s="1" t="s">
        <v>74</v>
      </c>
      <c r="AD8" s="1" t="s">
        <v>74</v>
      </c>
      <c r="AE8" s="1" t="s">
        <v>74</v>
      </c>
      <c r="AF8" s="1" t="s">
        <v>74</v>
      </c>
      <c r="AG8" s="1" t="s">
        <v>74</v>
      </c>
      <c r="AH8" s="1" t="s">
        <v>74</v>
      </c>
      <c r="AI8" s="1" t="s">
        <v>74</v>
      </c>
      <c r="AJ8" s="1" t="s">
        <v>74</v>
      </c>
      <c r="AK8" s="1" t="s">
        <v>74</v>
      </c>
      <c r="AL8" s="1" t="s">
        <v>74</v>
      </c>
      <c r="AM8" s="1" t="s">
        <v>74</v>
      </c>
      <c r="AN8" s="1" t="s">
        <v>74</v>
      </c>
      <c r="AO8" s="1" t="s">
        <v>153</v>
      </c>
      <c r="AP8" s="1" t="s">
        <v>154</v>
      </c>
      <c r="AQ8" s="1" t="s">
        <v>74</v>
      </c>
      <c r="AR8" s="1" t="s">
        <v>74</v>
      </c>
      <c r="AS8" s="1" t="s">
        <v>74</v>
      </c>
      <c r="AT8" s="1" t="s">
        <v>82</v>
      </c>
      <c r="AU8" s="1">
        <v>2020.0</v>
      </c>
      <c r="AV8" s="1">
        <v>174.0</v>
      </c>
      <c r="AW8" s="1">
        <v>10.0</v>
      </c>
      <c r="AX8" s="1" t="s">
        <v>74</v>
      </c>
      <c r="AY8" s="1" t="s">
        <v>74</v>
      </c>
      <c r="AZ8" s="1" t="s">
        <v>74</v>
      </c>
      <c r="BA8" s="1" t="s">
        <v>74</v>
      </c>
      <c r="BB8" s="1">
        <v>952.0</v>
      </c>
      <c r="BC8" s="1">
        <v>960.0</v>
      </c>
      <c r="BD8" s="1" t="s">
        <v>74</v>
      </c>
      <c r="BE8" s="1" t="s">
        <v>155</v>
      </c>
      <c r="BF8" s="2" t="str">
        <f>HYPERLINK("http://dx.doi.org/10.1001/jamapediatrics.2020.2400","http://dx.doi.org/10.1001/jamapediatrics.2020.2400")</f>
        <v>http://dx.doi.org/10.1001/jamapediatrics.2020.2400</v>
      </c>
      <c r="BG8" s="1" t="s">
        <v>74</v>
      </c>
      <c r="BH8" s="1" t="s">
        <v>74</v>
      </c>
      <c r="BI8" s="1" t="s">
        <v>74</v>
      </c>
      <c r="BJ8" s="1" t="s">
        <v>74</v>
      </c>
      <c r="BK8" s="1" t="s">
        <v>74</v>
      </c>
      <c r="BL8" s="1" t="s">
        <v>74</v>
      </c>
      <c r="BM8" s="1" t="s">
        <v>74</v>
      </c>
      <c r="BN8" s="1">
        <v>3.2870243E7</v>
      </c>
      <c r="BO8" s="1" t="s">
        <v>74</v>
      </c>
      <c r="BP8" s="1" t="s">
        <v>74</v>
      </c>
      <c r="BQ8" s="1" t="s">
        <v>74</v>
      </c>
      <c r="BR8" s="1" t="s">
        <v>74</v>
      </c>
      <c r="BS8" s="1" t="s">
        <v>156</v>
      </c>
      <c r="BT8" s="1" t="str">
        <f>HYPERLINK("https%3A%2F%2Fwww.webofscience.com%2Fwos%2Fwoscc%2Ffull-record%2FWOS:000593804800009","View Full Record in Web of Science")</f>
        <v>View Full Record in Web of Science</v>
      </c>
    </row>
    <row r="9" ht="12.75" customHeight="1">
      <c r="A9" s="1" t="s">
        <v>72</v>
      </c>
      <c r="B9" s="1" t="s">
        <v>157</v>
      </c>
      <c r="C9" s="1" t="s">
        <v>74</v>
      </c>
      <c r="D9" s="1" t="s">
        <v>74</v>
      </c>
      <c r="E9" s="1" t="s">
        <v>74</v>
      </c>
      <c r="F9" s="1" t="s">
        <v>158</v>
      </c>
      <c r="G9" s="1" t="s">
        <v>74</v>
      </c>
      <c r="H9" s="1" t="s">
        <v>74</v>
      </c>
      <c r="I9" s="1" t="s">
        <v>159</v>
      </c>
      <c r="J9" s="1" t="s">
        <v>160</v>
      </c>
      <c r="K9" s="1" t="s">
        <v>74</v>
      </c>
      <c r="L9" s="1" t="s">
        <v>74</v>
      </c>
      <c r="M9" s="1" t="s">
        <v>74</v>
      </c>
      <c r="N9" s="1" t="s">
        <v>74</v>
      </c>
      <c r="O9" s="1" t="s">
        <v>74</v>
      </c>
      <c r="P9" s="1" t="s">
        <v>74</v>
      </c>
      <c r="Q9" s="1" t="s">
        <v>74</v>
      </c>
      <c r="R9" s="1" t="s">
        <v>74</v>
      </c>
      <c r="S9" s="1" t="s">
        <v>74</v>
      </c>
      <c r="T9" s="1" t="s">
        <v>74</v>
      </c>
      <c r="U9" s="1" t="s">
        <v>74</v>
      </c>
      <c r="V9" s="1" t="s">
        <v>161</v>
      </c>
      <c r="W9" s="1" t="s">
        <v>74</v>
      </c>
      <c r="X9" s="1" t="s">
        <v>74</v>
      </c>
      <c r="Y9" s="1" t="s">
        <v>74</v>
      </c>
      <c r="Z9" s="1" t="s">
        <v>74</v>
      </c>
      <c r="AA9" s="1" t="s">
        <v>74</v>
      </c>
      <c r="AB9" s="1" t="s">
        <v>74</v>
      </c>
      <c r="AC9" s="1" t="s">
        <v>74</v>
      </c>
      <c r="AD9" s="1" t="s">
        <v>74</v>
      </c>
      <c r="AE9" s="1" t="s">
        <v>74</v>
      </c>
      <c r="AF9" s="1" t="s">
        <v>74</v>
      </c>
      <c r="AG9" s="1" t="s">
        <v>74</v>
      </c>
      <c r="AH9" s="1" t="s">
        <v>74</v>
      </c>
      <c r="AI9" s="1" t="s">
        <v>74</v>
      </c>
      <c r="AJ9" s="1" t="s">
        <v>74</v>
      </c>
      <c r="AK9" s="1" t="s">
        <v>74</v>
      </c>
      <c r="AL9" s="1" t="s">
        <v>74</v>
      </c>
      <c r="AM9" s="1" t="s">
        <v>74</v>
      </c>
      <c r="AN9" s="1" t="s">
        <v>74</v>
      </c>
      <c r="AO9" s="1" t="s">
        <v>162</v>
      </c>
      <c r="AP9" s="1" t="s">
        <v>163</v>
      </c>
      <c r="AQ9" s="1" t="s">
        <v>74</v>
      </c>
      <c r="AR9" s="1" t="s">
        <v>74</v>
      </c>
      <c r="AS9" s="1" t="s">
        <v>74</v>
      </c>
      <c r="AT9" s="1" t="s">
        <v>164</v>
      </c>
      <c r="AU9" s="1">
        <v>2019.0</v>
      </c>
      <c r="AV9" s="1">
        <v>113.0</v>
      </c>
      <c r="AW9" s="1" t="s">
        <v>74</v>
      </c>
      <c r="AX9" s="1" t="s">
        <v>74</v>
      </c>
      <c r="AY9" s="1" t="s">
        <v>74</v>
      </c>
      <c r="AZ9" s="1" t="s">
        <v>74</v>
      </c>
      <c r="BA9" s="1" t="s">
        <v>74</v>
      </c>
      <c r="BB9" s="1">
        <v>322.0</v>
      </c>
      <c r="BC9" s="1">
        <v>332.0</v>
      </c>
      <c r="BD9" s="1" t="s">
        <v>74</v>
      </c>
      <c r="BE9" s="1" t="s">
        <v>165</v>
      </c>
      <c r="BF9" s="2" t="str">
        <f>HYPERLINK("http://dx.doi.org/10.1016/j.ijepes.2019.05.054","http://dx.doi.org/10.1016/j.ijepes.2019.05.054")</f>
        <v>http://dx.doi.org/10.1016/j.ijepes.2019.05.054</v>
      </c>
      <c r="BG9" s="1" t="s">
        <v>74</v>
      </c>
      <c r="BH9" s="1" t="s">
        <v>74</v>
      </c>
      <c r="BI9" s="1" t="s">
        <v>74</v>
      </c>
      <c r="BJ9" s="1" t="s">
        <v>74</v>
      </c>
      <c r="BK9" s="1" t="s">
        <v>74</v>
      </c>
      <c r="BL9" s="1" t="s">
        <v>74</v>
      </c>
      <c r="BM9" s="1" t="s">
        <v>74</v>
      </c>
      <c r="BN9" s="1" t="s">
        <v>74</v>
      </c>
      <c r="BO9" s="1" t="s">
        <v>74</v>
      </c>
      <c r="BP9" s="1" t="s">
        <v>74</v>
      </c>
      <c r="BQ9" s="1" t="s">
        <v>74</v>
      </c>
      <c r="BR9" s="1" t="s">
        <v>74</v>
      </c>
      <c r="BS9" s="1" t="s">
        <v>166</v>
      </c>
      <c r="BT9" s="1" t="str">
        <f>HYPERLINK("https%3A%2F%2Fwww.webofscience.com%2Fwos%2Fwoscc%2Ffull-record%2FWOS:000477784100028","View Full Record in Web of Science")</f>
        <v>View Full Record in Web of Science</v>
      </c>
    </row>
    <row r="10" ht="12.75" customHeight="1">
      <c r="A10" s="1" t="s">
        <v>72</v>
      </c>
      <c r="B10" s="1" t="s">
        <v>167</v>
      </c>
      <c r="C10" s="1" t="s">
        <v>74</v>
      </c>
      <c r="D10" s="1" t="s">
        <v>74</v>
      </c>
      <c r="E10" s="1" t="s">
        <v>74</v>
      </c>
      <c r="F10" s="1" t="s">
        <v>168</v>
      </c>
      <c r="G10" s="1" t="s">
        <v>74</v>
      </c>
      <c r="H10" s="1" t="s">
        <v>74</v>
      </c>
      <c r="I10" s="1" t="s">
        <v>169</v>
      </c>
      <c r="J10" s="1" t="s">
        <v>170</v>
      </c>
      <c r="K10" s="1" t="s">
        <v>74</v>
      </c>
      <c r="L10" s="1" t="s">
        <v>74</v>
      </c>
      <c r="M10" s="1" t="s">
        <v>74</v>
      </c>
      <c r="N10" s="1" t="s">
        <v>74</v>
      </c>
      <c r="O10" s="1" t="s">
        <v>171</v>
      </c>
      <c r="P10" s="1" t="s">
        <v>172</v>
      </c>
      <c r="Q10" s="1" t="s">
        <v>173</v>
      </c>
      <c r="R10" s="1" t="s">
        <v>74</v>
      </c>
      <c r="S10" s="1" t="s">
        <v>74</v>
      </c>
      <c r="T10" s="1" t="s">
        <v>74</v>
      </c>
      <c r="U10" s="1" t="s">
        <v>74</v>
      </c>
      <c r="V10" s="1" t="s">
        <v>74</v>
      </c>
      <c r="W10" s="1" t="s">
        <v>74</v>
      </c>
      <c r="X10" s="1" t="s">
        <v>74</v>
      </c>
      <c r="Y10" s="1" t="s">
        <v>74</v>
      </c>
      <c r="Z10" s="1" t="s">
        <v>74</v>
      </c>
      <c r="AA10" s="1" t="s">
        <v>174</v>
      </c>
      <c r="AB10" s="1" t="s">
        <v>74</v>
      </c>
      <c r="AC10" s="1" t="s">
        <v>74</v>
      </c>
      <c r="AD10" s="1" t="s">
        <v>74</v>
      </c>
      <c r="AE10" s="1" t="s">
        <v>74</v>
      </c>
      <c r="AF10" s="1" t="s">
        <v>74</v>
      </c>
      <c r="AG10" s="1" t="s">
        <v>74</v>
      </c>
      <c r="AH10" s="1" t="s">
        <v>74</v>
      </c>
      <c r="AI10" s="1" t="s">
        <v>74</v>
      </c>
      <c r="AJ10" s="1" t="s">
        <v>74</v>
      </c>
      <c r="AK10" s="1" t="s">
        <v>74</v>
      </c>
      <c r="AL10" s="1" t="s">
        <v>74</v>
      </c>
      <c r="AM10" s="1" t="s">
        <v>74</v>
      </c>
      <c r="AN10" s="1" t="s">
        <v>74</v>
      </c>
      <c r="AO10" s="1" t="s">
        <v>175</v>
      </c>
      <c r="AP10" s="1" t="s">
        <v>176</v>
      </c>
      <c r="AQ10" s="1" t="s">
        <v>74</v>
      </c>
      <c r="AR10" s="1" t="s">
        <v>74</v>
      </c>
      <c r="AS10" s="1" t="s">
        <v>74</v>
      </c>
      <c r="AT10" s="1" t="s">
        <v>177</v>
      </c>
      <c r="AU10" s="1">
        <v>2019.0</v>
      </c>
      <c r="AV10" s="1">
        <v>67.0</v>
      </c>
      <c r="AW10" s="1" t="s">
        <v>74</v>
      </c>
      <c r="AX10" s="1" t="s">
        <v>74</v>
      </c>
      <c r="AY10" s="1" t="s">
        <v>178</v>
      </c>
      <c r="AZ10" s="1" t="s">
        <v>74</v>
      </c>
      <c r="BA10" s="1" t="s">
        <v>179</v>
      </c>
      <c r="BB10" s="1" t="s">
        <v>180</v>
      </c>
      <c r="BC10" s="1" t="s">
        <v>181</v>
      </c>
      <c r="BD10" s="1" t="s">
        <v>74</v>
      </c>
      <c r="BE10" s="1" t="s">
        <v>74</v>
      </c>
      <c r="BF10" s="1" t="s">
        <v>74</v>
      </c>
      <c r="BG10" s="1" t="s">
        <v>74</v>
      </c>
      <c r="BH10" s="1" t="s">
        <v>74</v>
      </c>
      <c r="BI10" s="1" t="s">
        <v>74</v>
      </c>
      <c r="BJ10" s="1" t="s">
        <v>74</v>
      </c>
      <c r="BK10" s="1" t="s">
        <v>74</v>
      </c>
      <c r="BL10" s="1" t="s">
        <v>74</v>
      </c>
      <c r="BM10" s="1" t="s">
        <v>74</v>
      </c>
      <c r="BN10" s="1" t="s">
        <v>74</v>
      </c>
      <c r="BO10" s="1" t="s">
        <v>74</v>
      </c>
      <c r="BP10" s="1" t="s">
        <v>74</v>
      </c>
      <c r="BQ10" s="1" t="s">
        <v>74</v>
      </c>
      <c r="BR10" s="1" t="s">
        <v>74</v>
      </c>
      <c r="BS10" s="1" t="s">
        <v>182</v>
      </c>
      <c r="BT10" s="1" t="str">
        <f>HYPERLINK("https%3A%2F%2Fwww.webofscience.com%2Fwos%2Fwoscc%2Ffull-record%2FWOS:000502867402066","View Full Record in Web of Science")</f>
        <v>View Full Record in Web of Science</v>
      </c>
    </row>
    <row r="11" ht="12.75" customHeight="1">
      <c r="A11" s="1" t="s">
        <v>72</v>
      </c>
      <c r="B11" s="1" t="s">
        <v>183</v>
      </c>
      <c r="C11" s="1" t="s">
        <v>74</v>
      </c>
      <c r="D11" s="1" t="s">
        <v>74</v>
      </c>
      <c r="E11" s="1" t="s">
        <v>74</v>
      </c>
      <c r="F11" s="1" t="s">
        <v>184</v>
      </c>
      <c r="G11" s="1" t="s">
        <v>74</v>
      </c>
      <c r="H11" s="1" t="s">
        <v>74</v>
      </c>
      <c r="I11" s="1" t="s">
        <v>185</v>
      </c>
      <c r="J11" s="1" t="s">
        <v>186</v>
      </c>
      <c r="K11" s="1" t="s">
        <v>74</v>
      </c>
      <c r="L11" s="1" t="s">
        <v>74</v>
      </c>
      <c r="M11" s="1" t="s">
        <v>74</v>
      </c>
      <c r="N11" s="1" t="s">
        <v>74</v>
      </c>
      <c r="O11" s="1" t="s">
        <v>74</v>
      </c>
      <c r="P11" s="1" t="s">
        <v>74</v>
      </c>
      <c r="Q11" s="1" t="s">
        <v>74</v>
      </c>
      <c r="R11" s="1" t="s">
        <v>74</v>
      </c>
      <c r="S11" s="1" t="s">
        <v>74</v>
      </c>
      <c r="T11" s="1" t="s">
        <v>74</v>
      </c>
      <c r="U11" s="1" t="s">
        <v>74</v>
      </c>
      <c r="V11" s="1" t="s">
        <v>187</v>
      </c>
      <c r="W11" s="1" t="s">
        <v>74</v>
      </c>
      <c r="X11" s="1" t="s">
        <v>74</v>
      </c>
      <c r="Y11" s="1" t="s">
        <v>74</v>
      </c>
      <c r="Z11" s="1" t="s">
        <v>74</v>
      </c>
      <c r="AA11" s="1" t="s">
        <v>188</v>
      </c>
      <c r="AB11" s="1" t="s">
        <v>189</v>
      </c>
      <c r="AC11" s="1" t="s">
        <v>74</v>
      </c>
      <c r="AD11" s="1" t="s">
        <v>74</v>
      </c>
      <c r="AE11" s="1" t="s">
        <v>74</v>
      </c>
      <c r="AF11" s="1" t="s">
        <v>74</v>
      </c>
      <c r="AG11" s="1" t="s">
        <v>74</v>
      </c>
      <c r="AH11" s="1" t="s">
        <v>74</v>
      </c>
      <c r="AI11" s="1" t="s">
        <v>74</v>
      </c>
      <c r="AJ11" s="1" t="s">
        <v>74</v>
      </c>
      <c r="AK11" s="1" t="s">
        <v>74</v>
      </c>
      <c r="AL11" s="1" t="s">
        <v>74</v>
      </c>
      <c r="AM11" s="1" t="s">
        <v>74</v>
      </c>
      <c r="AN11" s="1" t="s">
        <v>74</v>
      </c>
      <c r="AO11" s="1" t="s">
        <v>190</v>
      </c>
      <c r="AP11" s="1" t="s">
        <v>191</v>
      </c>
      <c r="AQ11" s="1" t="s">
        <v>74</v>
      </c>
      <c r="AR11" s="1" t="s">
        <v>74</v>
      </c>
      <c r="AS11" s="1" t="s">
        <v>74</v>
      </c>
      <c r="AT11" s="1" t="s">
        <v>192</v>
      </c>
      <c r="AU11" s="1">
        <v>2019.0</v>
      </c>
      <c r="AV11" s="1">
        <v>122.0</v>
      </c>
      <c r="AW11" s="1" t="s">
        <v>74</v>
      </c>
      <c r="AX11" s="1" t="s">
        <v>74</v>
      </c>
      <c r="AY11" s="1" t="s">
        <v>74</v>
      </c>
      <c r="AZ11" s="1" t="s">
        <v>74</v>
      </c>
      <c r="BA11" s="1" t="s">
        <v>74</v>
      </c>
      <c r="BB11" s="1">
        <v>351.0</v>
      </c>
      <c r="BC11" s="1">
        <v>368.0</v>
      </c>
      <c r="BD11" s="1" t="s">
        <v>74</v>
      </c>
      <c r="BE11" s="1" t="s">
        <v>193</v>
      </c>
      <c r="BF11" s="2" t="str">
        <f>HYPERLINK("http://dx.doi.org/10.1016/j.eswa.2019.01.030","http://dx.doi.org/10.1016/j.eswa.2019.01.030")</f>
        <v>http://dx.doi.org/10.1016/j.eswa.2019.01.030</v>
      </c>
      <c r="BG11" s="1" t="s">
        <v>74</v>
      </c>
      <c r="BH11" s="1" t="s">
        <v>74</v>
      </c>
      <c r="BI11" s="1" t="s">
        <v>74</v>
      </c>
      <c r="BJ11" s="1" t="s">
        <v>74</v>
      </c>
      <c r="BK11" s="1" t="s">
        <v>74</v>
      </c>
      <c r="BL11" s="1" t="s">
        <v>74</v>
      </c>
      <c r="BM11" s="1" t="s">
        <v>74</v>
      </c>
      <c r="BN11" s="1" t="s">
        <v>74</v>
      </c>
      <c r="BO11" s="1" t="s">
        <v>74</v>
      </c>
      <c r="BP11" s="1" t="s">
        <v>74</v>
      </c>
      <c r="BQ11" s="1" t="s">
        <v>74</v>
      </c>
      <c r="BR11" s="1" t="s">
        <v>74</v>
      </c>
      <c r="BS11" s="1" t="s">
        <v>194</v>
      </c>
      <c r="BT11" s="1" t="str">
        <f>HYPERLINK("https%3A%2F%2Fwww.webofscience.com%2Fwos%2Fwoscc%2Ffull-record%2FWOS:000458589900027","View Full Record in Web of Science")</f>
        <v>View Full Record in Web of Science</v>
      </c>
    </row>
    <row r="12" ht="12.75" customHeight="1">
      <c r="A12" s="1" t="s">
        <v>72</v>
      </c>
      <c r="B12" s="1" t="s">
        <v>195</v>
      </c>
      <c r="C12" s="1" t="s">
        <v>74</v>
      </c>
      <c r="D12" s="1" t="s">
        <v>74</v>
      </c>
      <c r="E12" s="1" t="s">
        <v>74</v>
      </c>
      <c r="F12" s="1" t="s">
        <v>196</v>
      </c>
      <c r="G12" s="1" t="s">
        <v>74</v>
      </c>
      <c r="H12" s="1" t="s">
        <v>74</v>
      </c>
      <c r="I12" s="1" t="s">
        <v>197</v>
      </c>
      <c r="J12" s="1" t="s">
        <v>198</v>
      </c>
      <c r="K12" s="1" t="s">
        <v>74</v>
      </c>
      <c r="L12" s="1" t="s">
        <v>74</v>
      </c>
      <c r="M12" s="1" t="s">
        <v>74</v>
      </c>
      <c r="N12" s="1" t="s">
        <v>74</v>
      </c>
      <c r="O12" s="1" t="s">
        <v>74</v>
      </c>
      <c r="P12" s="1" t="s">
        <v>74</v>
      </c>
      <c r="Q12" s="1" t="s">
        <v>74</v>
      </c>
      <c r="R12" s="1" t="s">
        <v>74</v>
      </c>
      <c r="S12" s="1" t="s">
        <v>74</v>
      </c>
      <c r="T12" s="1" t="s">
        <v>74</v>
      </c>
      <c r="U12" s="1" t="s">
        <v>74</v>
      </c>
      <c r="V12" s="1" t="s">
        <v>199</v>
      </c>
      <c r="W12" s="1" t="s">
        <v>74</v>
      </c>
      <c r="X12" s="1" t="s">
        <v>74</v>
      </c>
      <c r="Y12" s="1" t="s">
        <v>74</v>
      </c>
      <c r="Z12" s="1" t="s">
        <v>74</v>
      </c>
      <c r="AA12" s="1" t="s">
        <v>200</v>
      </c>
      <c r="AB12" s="1" t="s">
        <v>201</v>
      </c>
      <c r="AC12" s="1" t="s">
        <v>74</v>
      </c>
      <c r="AD12" s="1" t="s">
        <v>74</v>
      </c>
      <c r="AE12" s="1" t="s">
        <v>74</v>
      </c>
      <c r="AF12" s="1" t="s">
        <v>74</v>
      </c>
      <c r="AG12" s="1" t="s">
        <v>74</v>
      </c>
      <c r="AH12" s="1" t="s">
        <v>74</v>
      </c>
      <c r="AI12" s="1" t="s">
        <v>74</v>
      </c>
      <c r="AJ12" s="1" t="s">
        <v>74</v>
      </c>
      <c r="AK12" s="1" t="s">
        <v>74</v>
      </c>
      <c r="AL12" s="1" t="s">
        <v>74</v>
      </c>
      <c r="AM12" s="1" t="s">
        <v>74</v>
      </c>
      <c r="AN12" s="1" t="s">
        <v>74</v>
      </c>
      <c r="AO12" s="1" t="s">
        <v>202</v>
      </c>
      <c r="AP12" s="1" t="s">
        <v>203</v>
      </c>
      <c r="AQ12" s="1" t="s">
        <v>74</v>
      </c>
      <c r="AR12" s="1" t="s">
        <v>74</v>
      </c>
      <c r="AS12" s="1" t="s">
        <v>74</v>
      </c>
      <c r="AT12" s="1" t="s">
        <v>204</v>
      </c>
      <c r="AU12" s="1">
        <v>2019.0</v>
      </c>
      <c r="AV12" s="1">
        <v>159.0</v>
      </c>
      <c r="AW12" s="1" t="s">
        <v>74</v>
      </c>
      <c r="AX12" s="1" t="s">
        <v>74</v>
      </c>
      <c r="AY12" s="1" t="s">
        <v>74</v>
      </c>
      <c r="AZ12" s="1" t="s">
        <v>74</v>
      </c>
      <c r="BA12" s="1" t="s">
        <v>74</v>
      </c>
      <c r="BB12" s="1">
        <v>114.0</v>
      </c>
      <c r="BC12" s="1">
        <v>131.0</v>
      </c>
      <c r="BD12" s="1" t="s">
        <v>74</v>
      </c>
      <c r="BE12" s="1" t="s">
        <v>205</v>
      </c>
      <c r="BF12" s="2" t="str">
        <f>HYPERLINK("http://dx.doi.org/10.1016/j.compositesb.2018.09.057","http://dx.doi.org/10.1016/j.compositesb.2018.09.057")</f>
        <v>http://dx.doi.org/10.1016/j.compositesb.2018.09.057</v>
      </c>
      <c r="BG12" s="1" t="s">
        <v>74</v>
      </c>
      <c r="BH12" s="1" t="s">
        <v>74</v>
      </c>
      <c r="BI12" s="1" t="s">
        <v>74</v>
      </c>
      <c r="BJ12" s="1" t="s">
        <v>74</v>
      </c>
      <c r="BK12" s="1" t="s">
        <v>74</v>
      </c>
      <c r="BL12" s="1" t="s">
        <v>74</v>
      </c>
      <c r="BM12" s="1" t="s">
        <v>74</v>
      </c>
      <c r="BN12" s="1" t="s">
        <v>74</v>
      </c>
      <c r="BO12" s="1" t="s">
        <v>74</v>
      </c>
      <c r="BP12" s="1" t="s">
        <v>74</v>
      </c>
      <c r="BQ12" s="1" t="s">
        <v>74</v>
      </c>
      <c r="BR12" s="1" t="s">
        <v>74</v>
      </c>
      <c r="BS12" s="1" t="s">
        <v>206</v>
      </c>
      <c r="BT12" s="1" t="str">
        <f>HYPERLINK("https%3A%2F%2Fwww.webofscience.com%2Fwos%2Fwoscc%2Ffull-record%2FWOS:000461843800011","View Full Record in Web of Science")</f>
        <v>View Full Record in Web of Science</v>
      </c>
    </row>
    <row r="13" ht="12.75" customHeight="1">
      <c r="A13" s="1" t="s">
        <v>207</v>
      </c>
      <c r="B13" s="1" t="s">
        <v>208</v>
      </c>
      <c r="C13" s="1" t="s">
        <v>74</v>
      </c>
      <c r="D13" s="1" t="s">
        <v>209</v>
      </c>
      <c r="E13" s="1" t="s">
        <v>74</v>
      </c>
      <c r="F13" s="1" t="s">
        <v>210</v>
      </c>
      <c r="G13" s="1" t="s">
        <v>74</v>
      </c>
      <c r="H13" s="1" t="s">
        <v>74</v>
      </c>
      <c r="I13" s="1" t="s">
        <v>211</v>
      </c>
      <c r="J13" s="1" t="s">
        <v>212</v>
      </c>
      <c r="K13" s="1" t="s">
        <v>213</v>
      </c>
      <c r="L13" s="1" t="s">
        <v>74</v>
      </c>
      <c r="M13" s="1" t="s">
        <v>74</v>
      </c>
      <c r="N13" s="1" t="s">
        <v>74</v>
      </c>
      <c r="O13" s="1" t="s">
        <v>214</v>
      </c>
      <c r="P13" s="1" t="s">
        <v>215</v>
      </c>
      <c r="Q13" s="1" t="s">
        <v>216</v>
      </c>
      <c r="R13" s="1" t="s">
        <v>217</v>
      </c>
      <c r="S13" s="1" t="s">
        <v>74</v>
      </c>
      <c r="T13" s="1" t="s">
        <v>74</v>
      </c>
      <c r="U13" s="1" t="s">
        <v>74</v>
      </c>
      <c r="V13" s="1" t="s">
        <v>218</v>
      </c>
      <c r="W13" s="1" t="s">
        <v>74</v>
      </c>
      <c r="X13" s="1" t="s">
        <v>74</v>
      </c>
      <c r="Y13" s="1" t="s">
        <v>74</v>
      </c>
      <c r="Z13" s="1" t="s">
        <v>74</v>
      </c>
      <c r="AA13" s="1" t="s">
        <v>219</v>
      </c>
      <c r="AB13" s="1" t="s">
        <v>74</v>
      </c>
      <c r="AC13" s="1" t="s">
        <v>74</v>
      </c>
      <c r="AD13" s="1" t="s">
        <v>74</v>
      </c>
      <c r="AE13" s="1" t="s">
        <v>74</v>
      </c>
      <c r="AF13" s="1" t="s">
        <v>74</v>
      </c>
      <c r="AG13" s="1" t="s">
        <v>74</v>
      </c>
      <c r="AH13" s="1" t="s">
        <v>74</v>
      </c>
      <c r="AI13" s="1" t="s">
        <v>74</v>
      </c>
      <c r="AJ13" s="1" t="s">
        <v>74</v>
      </c>
      <c r="AK13" s="1" t="s">
        <v>74</v>
      </c>
      <c r="AL13" s="1" t="s">
        <v>74</v>
      </c>
      <c r="AM13" s="1" t="s">
        <v>74</v>
      </c>
      <c r="AN13" s="1" t="s">
        <v>74</v>
      </c>
      <c r="AO13" s="1" t="s">
        <v>220</v>
      </c>
      <c r="AP13" s="1" t="s">
        <v>74</v>
      </c>
      <c r="AQ13" s="1" t="s">
        <v>74</v>
      </c>
      <c r="AR13" s="1" t="s">
        <v>74</v>
      </c>
      <c r="AS13" s="1" t="s">
        <v>74</v>
      </c>
      <c r="AT13" s="1" t="s">
        <v>74</v>
      </c>
      <c r="AU13" s="1">
        <v>2019.0</v>
      </c>
      <c r="AV13" s="1">
        <v>162.0</v>
      </c>
      <c r="AW13" s="1" t="s">
        <v>74</v>
      </c>
      <c r="AX13" s="1" t="s">
        <v>74</v>
      </c>
      <c r="AY13" s="1" t="s">
        <v>74</v>
      </c>
      <c r="AZ13" s="1" t="s">
        <v>74</v>
      </c>
      <c r="BA13" s="1" t="s">
        <v>74</v>
      </c>
      <c r="BB13" s="1">
        <v>966.0</v>
      </c>
      <c r="BC13" s="1">
        <v>973.0</v>
      </c>
      <c r="BD13" s="1" t="s">
        <v>74</v>
      </c>
      <c r="BE13" s="1" t="s">
        <v>221</v>
      </c>
      <c r="BF13" s="2" t="str">
        <f>HYPERLINK("http://dx.doi.org/10.1016/j.procs.2019.12.077","http://dx.doi.org/10.1016/j.procs.2019.12.077")</f>
        <v>http://dx.doi.org/10.1016/j.procs.2019.12.077</v>
      </c>
      <c r="BG13" s="1" t="s">
        <v>74</v>
      </c>
      <c r="BH13" s="1" t="s">
        <v>74</v>
      </c>
      <c r="BI13" s="1" t="s">
        <v>74</v>
      </c>
      <c r="BJ13" s="1" t="s">
        <v>74</v>
      </c>
      <c r="BK13" s="1" t="s">
        <v>74</v>
      </c>
      <c r="BL13" s="1" t="s">
        <v>74</v>
      </c>
      <c r="BM13" s="1" t="s">
        <v>74</v>
      </c>
      <c r="BN13" s="1" t="s">
        <v>74</v>
      </c>
      <c r="BO13" s="1" t="s">
        <v>74</v>
      </c>
      <c r="BP13" s="1" t="s">
        <v>74</v>
      </c>
      <c r="BQ13" s="1" t="s">
        <v>74</v>
      </c>
      <c r="BR13" s="1" t="s">
        <v>74</v>
      </c>
      <c r="BS13" s="1" t="s">
        <v>222</v>
      </c>
      <c r="BT13" s="1" t="str">
        <f>HYPERLINK("https%3A%2F%2Fwww.webofscience.com%2Fwos%2Fwoscc%2Ffull-record%2FWOS:000514081500122","View Full Record in Web of Science")</f>
        <v>View Full Record in Web of Science</v>
      </c>
    </row>
    <row r="14" ht="12.75" customHeight="1">
      <c r="A14" s="1" t="s">
        <v>207</v>
      </c>
      <c r="B14" s="1" t="s">
        <v>223</v>
      </c>
      <c r="C14" s="1" t="s">
        <v>74</v>
      </c>
      <c r="D14" s="1" t="s">
        <v>74</v>
      </c>
      <c r="E14" s="1" t="s">
        <v>224</v>
      </c>
      <c r="F14" s="1" t="s">
        <v>225</v>
      </c>
      <c r="G14" s="1" t="s">
        <v>74</v>
      </c>
      <c r="H14" s="1" t="s">
        <v>74</v>
      </c>
      <c r="I14" s="1" t="s">
        <v>226</v>
      </c>
      <c r="J14" s="1" t="s">
        <v>227</v>
      </c>
      <c r="K14" s="1" t="s">
        <v>74</v>
      </c>
      <c r="L14" s="1" t="s">
        <v>74</v>
      </c>
      <c r="M14" s="1" t="s">
        <v>74</v>
      </c>
      <c r="N14" s="1" t="s">
        <v>74</v>
      </c>
      <c r="O14" s="1" t="s">
        <v>228</v>
      </c>
      <c r="P14" s="1" t="s">
        <v>229</v>
      </c>
      <c r="Q14" s="1" t="s">
        <v>230</v>
      </c>
      <c r="R14" s="1" t="s">
        <v>231</v>
      </c>
      <c r="S14" s="1" t="s">
        <v>74</v>
      </c>
      <c r="T14" s="1" t="s">
        <v>74</v>
      </c>
      <c r="U14" s="1" t="s">
        <v>74</v>
      </c>
      <c r="V14" s="1" t="s">
        <v>232</v>
      </c>
      <c r="W14" s="1" t="s">
        <v>74</v>
      </c>
      <c r="X14" s="1" t="s">
        <v>74</v>
      </c>
      <c r="Y14" s="1" t="s">
        <v>74</v>
      </c>
      <c r="Z14" s="1" t="s">
        <v>74</v>
      </c>
      <c r="AA14" s="1" t="s">
        <v>233</v>
      </c>
      <c r="AB14" s="1" t="s">
        <v>234</v>
      </c>
      <c r="AC14" s="1" t="s">
        <v>74</v>
      </c>
      <c r="AD14" s="1" t="s">
        <v>74</v>
      </c>
      <c r="AE14" s="1" t="s">
        <v>74</v>
      </c>
      <c r="AF14" s="1" t="s">
        <v>74</v>
      </c>
      <c r="AG14" s="1" t="s">
        <v>74</v>
      </c>
      <c r="AH14" s="1" t="s">
        <v>74</v>
      </c>
      <c r="AI14" s="1" t="s">
        <v>74</v>
      </c>
      <c r="AJ14" s="1" t="s">
        <v>74</v>
      </c>
      <c r="AK14" s="1" t="s">
        <v>74</v>
      </c>
      <c r="AL14" s="1" t="s">
        <v>74</v>
      </c>
      <c r="AM14" s="1" t="s">
        <v>74</v>
      </c>
      <c r="AN14" s="1" t="s">
        <v>74</v>
      </c>
      <c r="AO14" s="1" t="s">
        <v>74</v>
      </c>
      <c r="AP14" s="1" t="s">
        <v>74</v>
      </c>
      <c r="AQ14" s="1" t="s">
        <v>235</v>
      </c>
      <c r="AR14" s="1" t="s">
        <v>74</v>
      </c>
      <c r="AS14" s="1" t="s">
        <v>74</v>
      </c>
      <c r="AT14" s="1" t="s">
        <v>74</v>
      </c>
      <c r="AU14" s="1">
        <v>2019.0</v>
      </c>
      <c r="AV14" s="1" t="s">
        <v>74</v>
      </c>
      <c r="AW14" s="1" t="s">
        <v>74</v>
      </c>
      <c r="AX14" s="1" t="s">
        <v>74</v>
      </c>
      <c r="AY14" s="1" t="s">
        <v>74</v>
      </c>
      <c r="AZ14" s="1" t="s">
        <v>74</v>
      </c>
      <c r="BA14" s="1" t="s">
        <v>74</v>
      </c>
      <c r="BB14" s="1" t="s">
        <v>74</v>
      </c>
      <c r="BC14" s="1" t="s">
        <v>74</v>
      </c>
      <c r="BD14" s="1" t="s">
        <v>74</v>
      </c>
      <c r="BE14" s="1" t="s">
        <v>74</v>
      </c>
      <c r="BF14" s="1" t="s">
        <v>74</v>
      </c>
      <c r="BG14" s="1" t="s">
        <v>74</v>
      </c>
      <c r="BH14" s="1" t="s">
        <v>74</v>
      </c>
      <c r="BI14" s="1" t="s">
        <v>74</v>
      </c>
      <c r="BJ14" s="1" t="s">
        <v>74</v>
      </c>
      <c r="BK14" s="1" t="s">
        <v>74</v>
      </c>
      <c r="BL14" s="1" t="s">
        <v>74</v>
      </c>
      <c r="BM14" s="1" t="s">
        <v>74</v>
      </c>
      <c r="BN14" s="1" t="s">
        <v>74</v>
      </c>
      <c r="BO14" s="1" t="s">
        <v>74</v>
      </c>
      <c r="BP14" s="1" t="s">
        <v>74</v>
      </c>
      <c r="BQ14" s="1" t="s">
        <v>74</v>
      </c>
      <c r="BR14" s="1" t="s">
        <v>74</v>
      </c>
      <c r="BS14" s="1" t="s">
        <v>236</v>
      </c>
      <c r="BT14" s="1" t="str">
        <f>HYPERLINK("https%3A%2F%2Fwww.webofscience.com%2Fwos%2Fwoscc%2Ffull-record%2FWOS:000542919100201","View Full Record in Web of Science")</f>
        <v>View Full Record in Web of Science</v>
      </c>
    </row>
    <row r="15" ht="12.75" customHeight="1">
      <c r="A15" s="1" t="s">
        <v>207</v>
      </c>
      <c r="B15" s="1" t="s">
        <v>237</v>
      </c>
      <c r="C15" s="1" t="s">
        <v>74</v>
      </c>
      <c r="D15" s="1" t="s">
        <v>238</v>
      </c>
      <c r="E15" s="1" t="s">
        <v>74</v>
      </c>
      <c r="F15" s="1" t="s">
        <v>239</v>
      </c>
      <c r="G15" s="1" t="s">
        <v>74</v>
      </c>
      <c r="H15" s="1" t="s">
        <v>74</v>
      </c>
      <c r="I15" s="1" t="s">
        <v>240</v>
      </c>
      <c r="J15" s="1" t="s">
        <v>241</v>
      </c>
      <c r="K15" s="1" t="s">
        <v>74</v>
      </c>
      <c r="L15" s="1" t="s">
        <v>74</v>
      </c>
      <c r="M15" s="1" t="s">
        <v>74</v>
      </c>
      <c r="N15" s="1" t="s">
        <v>74</v>
      </c>
      <c r="O15" s="1" t="s">
        <v>242</v>
      </c>
      <c r="P15" s="1" t="s">
        <v>243</v>
      </c>
      <c r="Q15" s="1" t="s">
        <v>244</v>
      </c>
      <c r="R15" s="1" t="s">
        <v>245</v>
      </c>
      <c r="S15" s="1" t="s">
        <v>74</v>
      </c>
      <c r="T15" s="1" t="s">
        <v>74</v>
      </c>
      <c r="U15" s="1" t="s">
        <v>74</v>
      </c>
      <c r="V15" s="1" t="s">
        <v>246</v>
      </c>
      <c r="W15" s="1" t="s">
        <v>74</v>
      </c>
      <c r="X15" s="1" t="s">
        <v>74</v>
      </c>
      <c r="Y15" s="1" t="s">
        <v>74</v>
      </c>
      <c r="Z15" s="1" t="s">
        <v>74</v>
      </c>
      <c r="AA15" s="1" t="s">
        <v>247</v>
      </c>
      <c r="AB15" s="1" t="s">
        <v>74</v>
      </c>
      <c r="AC15" s="1" t="s">
        <v>74</v>
      </c>
      <c r="AD15" s="1" t="s">
        <v>74</v>
      </c>
      <c r="AE15" s="1" t="s">
        <v>74</v>
      </c>
      <c r="AF15" s="1" t="s">
        <v>74</v>
      </c>
      <c r="AG15" s="1" t="s">
        <v>74</v>
      </c>
      <c r="AH15" s="1" t="s">
        <v>74</v>
      </c>
      <c r="AI15" s="1" t="s">
        <v>74</v>
      </c>
      <c r="AJ15" s="1" t="s">
        <v>74</v>
      </c>
      <c r="AK15" s="1" t="s">
        <v>74</v>
      </c>
      <c r="AL15" s="1" t="s">
        <v>74</v>
      </c>
      <c r="AM15" s="1" t="s">
        <v>74</v>
      </c>
      <c r="AN15" s="1" t="s">
        <v>74</v>
      </c>
      <c r="AO15" s="1" t="s">
        <v>74</v>
      </c>
      <c r="AP15" s="1" t="s">
        <v>74</v>
      </c>
      <c r="AQ15" s="1" t="s">
        <v>248</v>
      </c>
      <c r="AR15" s="1" t="s">
        <v>74</v>
      </c>
      <c r="AS15" s="1" t="s">
        <v>74</v>
      </c>
      <c r="AT15" s="1" t="s">
        <v>74</v>
      </c>
      <c r="AU15" s="1">
        <v>2018.0</v>
      </c>
      <c r="AV15" s="1" t="s">
        <v>74</v>
      </c>
      <c r="AW15" s="1" t="s">
        <v>74</v>
      </c>
      <c r="AX15" s="1" t="s">
        <v>74</v>
      </c>
      <c r="AY15" s="1" t="s">
        <v>74</v>
      </c>
      <c r="AZ15" s="1" t="s">
        <v>74</v>
      </c>
      <c r="BA15" s="1" t="s">
        <v>74</v>
      </c>
      <c r="BB15" s="1" t="s">
        <v>74</v>
      </c>
      <c r="BC15" s="1" t="s">
        <v>74</v>
      </c>
      <c r="BD15" s="1" t="s">
        <v>74</v>
      </c>
      <c r="BE15" s="1" t="s">
        <v>74</v>
      </c>
      <c r="BF15" s="1" t="s">
        <v>74</v>
      </c>
      <c r="BG15" s="1" t="s">
        <v>74</v>
      </c>
      <c r="BH15" s="1" t="s">
        <v>74</v>
      </c>
      <c r="BI15" s="1" t="s">
        <v>74</v>
      </c>
      <c r="BJ15" s="1" t="s">
        <v>74</v>
      </c>
      <c r="BK15" s="1" t="s">
        <v>74</v>
      </c>
      <c r="BL15" s="1" t="s">
        <v>74</v>
      </c>
      <c r="BM15" s="1" t="s">
        <v>74</v>
      </c>
      <c r="BN15" s="1" t="s">
        <v>74</v>
      </c>
      <c r="BO15" s="1" t="s">
        <v>74</v>
      </c>
      <c r="BP15" s="1" t="s">
        <v>74</v>
      </c>
      <c r="BQ15" s="1" t="s">
        <v>74</v>
      </c>
      <c r="BR15" s="1" t="s">
        <v>74</v>
      </c>
      <c r="BS15" s="1" t="s">
        <v>249</v>
      </c>
      <c r="BT15" s="1" t="str">
        <f>HYPERLINK("https%3A%2F%2Fwww.webofscience.com%2Fwos%2Fwoscc%2Ffull-record%2FWOS:000458417600045","View Full Record in Web of Science")</f>
        <v>View Full Record in Web of Science</v>
      </c>
    </row>
    <row r="16" ht="12.75" customHeight="1">
      <c r="A16" s="1" t="s">
        <v>72</v>
      </c>
      <c r="B16" s="1" t="s">
        <v>250</v>
      </c>
      <c r="C16" s="1" t="s">
        <v>74</v>
      </c>
      <c r="D16" s="1" t="s">
        <v>74</v>
      </c>
      <c r="E16" s="1" t="s">
        <v>74</v>
      </c>
      <c r="F16" s="1" t="s">
        <v>251</v>
      </c>
      <c r="G16" s="1" t="s">
        <v>74</v>
      </c>
      <c r="H16" s="1" t="s">
        <v>74</v>
      </c>
      <c r="I16" s="1" t="s">
        <v>252</v>
      </c>
      <c r="J16" s="1" t="s">
        <v>253</v>
      </c>
      <c r="K16" s="1" t="s">
        <v>74</v>
      </c>
      <c r="L16" s="1" t="s">
        <v>74</v>
      </c>
      <c r="M16" s="1" t="s">
        <v>74</v>
      </c>
      <c r="N16" s="1" t="s">
        <v>74</v>
      </c>
      <c r="O16" s="1" t="s">
        <v>74</v>
      </c>
      <c r="P16" s="1" t="s">
        <v>74</v>
      </c>
      <c r="Q16" s="1" t="s">
        <v>74</v>
      </c>
      <c r="R16" s="1" t="s">
        <v>74</v>
      </c>
      <c r="S16" s="1" t="s">
        <v>74</v>
      </c>
      <c r="T16" s="1" t="s">
        <v>74</v>
      </c>
      <c r="U16" s="1" t="s">
        <v>74</v>
      </c>
      <c r="V16" s="1" t="s">
        <v>254</v>
      </c>
      <c r="W16" s="1" t="s">
        <v>74</v>
      </c>
      <c r="X16" s="1" t="s">
        <v>74</v>
      </c>
      <c r="Y16" s="1" t="s">
        <v>74</v>
      </c>
      <c r="Z16" s="1" t="s">
        <v>74</v>
      </c>
      <c r="AA16" s="1" t="s">
        <v>255</v>
      </c>
      <c r="AB16" s="1" t="s">
        <v>256</v>
      </c>
      <c r="AC16" s="1" t="s">
        <v>74</v>
      </c>
      <c r="AD16" s="1" t="s">
        <v>74</v>
      </c>
      <c r="AE16" s="1" t="s">
        <v>74</v>
      </c>
      <c r="AF16" s="1" t="s">
        <v>74</v>
      </c>
      <c r="AG16" s="1" t="s">
        <v>74</v>
      </c>
      <c r="AH16" s="1" t="s">
        <v>74</v>
      </c>
      <c r="AI16" s="1" t="s">
        <v>74</v>
      </c>
      <c r="AJ16" s="1" t="s">
        <v>74</v>
      </c>
      <c r="AK16" s="1" t="s">
        <v>74</v>
      </c>
      <c r="AL16" s="1" t="s">
        <v>74</v>
      </c>
      <c r="AM16" s="1" t="s">
        <v>74</v>
      </c>
      <c r="AN16" s="1" t="s">
        <v>74</v>
      </c>
      <c r="AO16" s="1" t="s">
        <v>257</v>
      </c>
      <c r="AP16" s="1" t="s">
        <v>258</v>
      </c>
      <c r="AQ16" s="1" t="s">
        <v>74</v>
      </c>
      <c r="AR16" s="1" t="s">
        <v>74</v>
      </c>
      <c r="AS16" s="1" t="s">
        <v>74</v>
      </c>
      <c r="AT16" s="1" t="s">
        <v>259</v>
      </c>
      <c r="AU16" s="1">
        <v>2017.0</v>
      </c>
      <c r="AV16" s="1">
        <v>438.0</v>
      </c>
      <c r="AW16" s="1" t="s">
        <v>74</v>
      </c>
      <c r="AX16" s="1" t="s">
        <v>74</v>
      </c>
      <c r="AY16" s="1" t="s">
        <v>74</v>
      </c>
      <c r="AZ16" s="1" t="s">
        <v>74</v>
      </c>
      <c r="BA16" s="1" t="s">
        <v>74</v>
      </c>
      <c r="BB16" s="1">
        <v>168.0</v>
      </c>
      <c r="BC16" s="1">
        <v>172.0</v>
      </c>
      <c r="BD16" s="1" t="s">
        <v>74</v>
      </c>
      <c r="BE16" s="1" t="s">
        <v>260</v>
      </c>
      <c r="BF16" s="2" t="str">
        <f>HYPERLINK("http://dx.doi.org/10.1016/j.jmmm.2017.04.078","http://dx.doi.org/10.1016/j.jmmm.2017.04.078")</f>
        <v>http://dx.doi.org/10.1016/j.jmmm.2017.04.078</v>
      </c>
      <c r="BG16" s="1" t="s">
        <v>74</v>
      </c>
      <c r="BH16" s="1" t="s">
        <v>74</v>
      </c>
      <c r="BI16" s="1" t="s">
        <v>74</v>
      </c>
      <c r="BJ16" s="1" t="s">
        <v>74</v>
      </c>
      <c r="BK16" s="1" t="s">
        <v>74</v>
      </c>
      <c r="BL16" s="1" t="s">
        <v>74</v>
      </c>
      <c r="BM16" s="1" t="s">
        <v>74</v>
      </c>
      <c r="BN16" s="1" t="s">
        <v>74</v>
      </c>
      <c r="BO16" s="1" t="s">
        <v>74</v>
      </c>
      <c r="BP16" s="1" t="s">
        <v>74</v>
      </c>
      <c r="BQ16" s="1" t="s">
        <v>74</v>
      </c>
      <c r="BR16" s="1" t="s">
        <v>74</v>
      </c>
      <c r="BS16" s="1" t="s">
        <v>261</v>
      </c>
      <c r="BT16" s="1" t="str">
        <f>HYPERLINK("https%3A%2F%2Fwww.webofscience.com%2Fwos%2Fwoscc%2Ffull-record%2FWOS:000402480500026","View Full Record in Web of Science")</f>
        <v>View Full Record in Web of Science</v>
      </c>
    </row>
    <row r="17" ht="12.75" customHeight="1">
      <c r="A17" s="1" t="s">
        <v>72</v>
      </c>
      <c r="B17" s="1" t="s">
        <v>262</v>
      </c>
      <c r="C17" s="1" t="s">
        <v>74</v>
      </c>
      <c r="D17" s="1" t="s">
        <v>74</v>
      </c>
      <c r="E17" s="1" t="s">
        <v>74</v>
      </c>
      <c r="F17" s="1" t="s">
        <v>263</v>
      </c>
      <c r="G17" s="1" t="s">
        <v>74</v>
      </c>
      <c r="H17" s="1" t="s">
        <v>74</v>
      </c>
      <c r="I17" s="1" t="s">
        <v>264</v>
      </c>
      <c r="J17" s="1" t="s">
        <v>265</v>
      </c>
      <c r="K17" s="1" t="s">
        <v>74</v>
      </c>
      <c r="L17" s="1" t="s">
        <v>74</v>
      </c>
      <c r="M17" s="1" t="s">
        <v>74</v>
      </c>
      <c r="N17" s="1" t="s">
        <v>74</v>
      </c>
      <c r="O17" s="1" t="s">
        <v>74</v>
      </c>
      <c r="P17" s="1" t="s">
        <v>74</v>
      </c>
      <c r="Q17" s="1" t="s">
        <v>74</v>
      </c>
      <c r="R17" s="1" t="s">
        <v>74</v>
      </c>
      <c r="S17" s="1" t="s">
        <v>74</v>
      </c>
      <c r="T17" s="1" t="s">
        <v>74</v>
      </c>
      <c r="U17" s="1" t="s">
        <v>74</v>
      </c>
      <c r="V17" s="1" t="s">
        <v>266</v>
      </c>
      <c r="W17" s="1" t="s">
        <v>74</v>
      </c>
      <c r="X17" s="1" t="s">
        <v>74</v>
      </c>
      <c r="Y17" s="1" t="s">
        <v>74</v>
      </c>
      <c r="Z17" s="1" t="s">
        <v>74</v>
      </c>
      <c r="AA17" s="1" t="s">
        <v>267</v>
      </c>
      <c r="AB17" s="1" t="s">
        <v>268</v>
      </c>
      <c r="AC17" s="1" t="s">
        <v>74</v>
      </c>
      <c r="AD17" s="1" t="s">
        <v>74</v>
      </c>
      <c r="AE17" s="1" t="s">
        <v>74</v>
      </c>
      <c r="AF17" s="1" t="s">
        <v>74</v>
      </c>
      <c r="AG17" s="1" t="s">
        <v>74</v>
      </c>
      <c r="AH17" s="1" t="s">
        <v>74</v>
      </c>
      <c r="AI17" s="1" t="s">
        <v>74</v>
      </c>
      <c r="AJ17" s="1" t="s">
        <v>74</v>
      </c>
      <c r="AK17" s="1" t="s">
        <v>74</v>
      </c>
      <c r="AL17" s="1" t="s">
        <v>74</v>
      </c>
      <c r="AM17" s="1" t="s">
        <v>74</v>
      </c>
      <c r="AN17" s="1" t="s">
        <v>74</v>
      </c>
      <c r="AO17" s="1" t="s">
        <v>269</v>
      </c>
      <c r="AP17" s="1" t="s">
        <v>270</v>
      </c>
      <c r="AQ17" s="1" t="s">
        <v>74</v>
      </c>
      <c r="AR17" s="1" t="s">
        <v>74</v>
      </c>
      <c r="AS17" s="1" t="s">
        <v>74</v>
      </c>
      <c r="AT17" s="1" t="s">
        <v>271</v>
      </c>
      <c r="AU17" s="1">
        <v>2016.0</v>
      </c>
      <c r="AV17" s="1">
        <v>34.0</v>
      </c>
      <c r="AW17" s="1">
        <v>9.0</v>
      </c>
      <c r="AX17" s="1" t="s">
        <v>74</v>
      </c>
      <c r="AY17" s="1" t="s">
        <v>74</v>
      </c>
      <c r="AZ17" s="1" t="s">
        <v>74</v>
      </c>
      <c r="BA17" s="1" t="s">
        <v>74</v>
      </c>
      <c r="BB17" s="1">
        <v>1845.0</v>
      </c>
      <c r="BC17" s="1">
        <v>1849.0</v>
      </c>
      <c r="BD17" s="1" t="s">
        <v>74</v>
      </c>
      <c r="BE17" s="1" t="s">
        <v>272</v>
      </c>
      <c r="BF17" s="2" t="str">
        <f>HYPERLINK("http://dx.doi.org/10.1016/j.ajem.2016.06.058","http://dx.doi.org/10.1016/j.ajem.2016.06.058")</f>
        <v>http://dx.doi.org/10.1016/j.ajem.2016.06.058</v>
      </c>
      <c r="BG17" s="1" t="s">
        <v>74</v>
      </c>
      <c r="BH17" s="1" t="s">
        <v>74</v>
      </c>
      <c r="BI17" s="1" t="s">
        <v>74</v>
      </c>
      <c r="BJ17" s="1" t="s">
        <v>74</v>
      </c>
      <c r="BK17" s="1" t="s">
        <v>74</v>
      </c>
      <c r="BL17" s="1" t="s">
        <v>74</v>
      </c>
      <c r="BM17" s="1" t="s">
        <v>74</v>
      </c>
      <c r="BN17" s="1">
        <v>2.7344099E7</v>
      </c>
      <c r="BO17" s="1" t="s">
        <v>74</v>
      </c>
      <c r="BP17" s="1" t="s">
        <v>74</v>
      </c>
      <c r="BQ17" s="1" t="s">
        <v>74</v>
      </c>
      <c r="BR17" s="1" t="s">
        <v>74</v>
      </c>
      <c r="BS17" s="1" t="s">
        <v>273</v>
      </c>
      <c r="BT17" s="1" t="str">
        <f>HYPERLINK("https%3A%2F%2Fwww.webofscience.com%2Fwos%2Fwoscc%2Ffull-record%2FWOS:000381664300020","View Full Record in Web of Science")</f>
        <v>View Full Record in Web of Science</v>
      </c>
    </row>
    <row r="18" ht="12.75" customHeight="1">
      <c r="A18" s="1" t="s">
        <v>72</v>
      </c>
      <c r="B18" s="1" t="s">
        <v>274</v>
      </c>
      <c r="C18" s="1" t="s">
        <v>74</v>
      </c>
      <c r="D18" s="1" t="s">
        <v>74</v>
      </c>
      <c r="E18" s="1" t="s">
        <v>74</v>
      </c>
      <c r="F18" s="1" t="s">
        <v>275</v>
      </c>
      <c r="G18" s="1" t="s">
        <v>74</v>
      </c>
      <c r="H18" s="1" t="s">
        <v>74</v>
      </c>
      <c r="I18" s="1" t="s">
        <v>276</v>
      </c>
      <c r="J18" s="1" t="s">
        <v>277</v>
      </c>
      <c r="K18" s="1" t="s">
        <v>74</v>
      </c>
      <c r="L18" s="1" t="s">
        <v>74</v>
      </c>
      <c r="M18" s="1" t="s">
        <v>74</v>
      </c>
      <c r="N18" s="1" t="s">
        <v>74</v>
      </c>
      <c r="O18" s="1" t="s">
        <v>74</v>
      </c>
      <c r="P18" s="1" t="s">
        <v>74</v>
      </c>
      <c r="Q18" s="1" t="s">
        <v>74</v>
      </c>
      <c r="R18" s="1" t="s">
        <v>74</v>
      </c>
      <c r="S18" s="1" t="s">
        <v>74</v>
      </c>
      <c r="T18" s="1" t="s">
        <v>74</v>
      </c>
      <c r="U18" s="1" t="s">
        <v>74</v>
      </c>
      <c r="V18" s="1" t="s">
        <v>278</v>
      </c>
      <c r="W18" s="1" t="s">
        <v>74</v>
      </c>
      <c r="X18" s="1" t="s">
        <v>74</v>
      </c>
      <c r="Y18" s="1" t="s">
        <v>74</v>
      </c>
      <c r="Z18" s="1" t="s">
        <v>74</v>
      </c>
      <c r="AA18" s="1" t="s">
        <v>74</v>
      </c>
      <c r="AB18" s="1" t="s">
        <v>279</v>
      </c>
      <c r="AC18" s="1" t="s">
        <v>74</v>
      </c>
      <c r="AD18" s="1" t="s">
        <v>74</v>
      </c>
      <c r="AE18" s="1" t="s">
        <v>74</v>
      </c>
      <c r="AF18" s="1" t="s">
        <v>74</v>
      </c>
      <c r="AG18" s="1" t="s">
        <v>74</v>
      </c>
      <c r="AH18" s="1" t="s">
        <v>74</v>
      </c>
      <c r="AI18" s="1" t="s">
        <v>74</v>
      </c>
      <c r="AJ18" s="1" t="s">
        <v>74</v>
      </c>
      <c r="AK18" s="1" t="s">
        <v>74</v>
      </c>
      <c r="AL18" s="1" t="s">
        <v>74</v>
      </c>
      <c r="AM18" s="1" t="s">
        <v>74</v>
      </c>
      <c r="AN18" s="1" t="s">
        <v>74</v>
      </c>
      <c r="AO18" s="1" t="s">
        <v>280</v>
      </c>
      <c r="AP18" s="1" t="s">
        <v>281</v>
      </c>
      <c r="AQ18" s="1" t="s">
        <v>74</v>
      </c>
      <c r="AR18" s="1" t="s">
        <v>74</v>
      </c>
      <c r="AS18" s="1" t="s">
        <v>74</v>
      </c>
      <c r="AT18" s="1" t="s">
        <v>282</v>
      </c>
      <c r="AU18" s="1">
        <v>2016.0</v>
      </c>
      <c r="AV18" s="1">
        <v>55.0</v>
      </c>
      <c r="AW18" s="1">
        <v>4.0</v>
      </c>
      <c r="AX18" s="1" t="s">
        <v>74</v>
      </c>
      <c r="AY18" s="1" t="s">
        <v>74</v>
      </c>
      <c r="AZ18" s="1" t="s">
        <v>74</v>
      </c>
      <c r="BA18" s="1" t="s">
        <v>74</v>
      </c>
      <c r="BB18" s="1" t="s">
        <v>74</v>
      </c>
      <c r="BC18" s="1" t="s">
        <v>74</v>
      </c>
      <c r="BD18" s="1">
        <v>102.0</v>
      </c>
      <c r="BE18" s="1" t="s">
        <v>283</v>
      </c>
      <c r="BF18" s="2" t="str">
        <f>HYPERLINK("http://dx.doi.org/10.1007/s00526-016-1033-4","http://dx.doi.org/10.1007/s00526-016-1033-4")</f>
        <v>http://dx.doi.org/10.1007/s00526-016-1033-4</v>
      </c>
      <c r="BG18" s="1" t="s">
        <v>74</v>
      </c>
      <c r="BH18" s="1" t="s">
        <v>74</v>
      </c>
      <c r="BI18" s="1" t="s">
        <v>74</v>
      </c>
      <c r="BJ18" s="1" t="s">
        <v>74</v>
      </c>
      <c r="BK18" s="1" t="s">
        <v>74</v>
      </c>
      <c r="BL18" s="1" t="s">
        <v>74</v>
      </c>
      <c r="BM18" s="1" t="s">
        <v>74</v>
      </c>
      <c r="BN18" s="1" t="s">
        <v>74</v>
      </c>
      <c r="BO18" s="1" t="s">
        <v>74</v>
      </c>
      <c r="BP18" s="1" t="s">
        <v>74</v>
      </c>
      <c r="BQ18" s="1" t="s">
        <v>74</v>
      </c>
      <c r="BR18" s="1" t="s">
        <v>74</v>
      </c>
      <c r="BS18" s="1" t="s">
        <v>284</v>
      </c>
      <c r="BT18" s="1" t="str">
        <f>HYPERLINK("https%3A%2F%2Fwww.webofscience.com%2Fwos%2Fwoscc%2Ffull-record%2FWOS:000381989700031","View Full Record in Web of Science")</f>
        <v>View Full Record in Web of Science</v>
      </c>
    </row>
    <row r="19" ht="12.75" customHeight="1">
      <c r="A19" s="1" t="s">
        <v>72</v>
      </c>
      <c r="B19" s="1" t="s">
        <v>285</v>
      </c>
      <c r="C19" s="1" t="s">
        <v>74</v>
      </c>
      <c r="D19" s="1" t="s">
        <v>74</v>
      </c>
      <c r="E19" s="1" t="s">
        <v>74</v>
      </c>
      <c r="F19" s="1" t="s">
        <v>286</v>
      </c>
      <c r="G19" s="1" t="s">
        <v>74</v>
      </c>
      <c r="H19" s="1" t="s">
        <v>74</v>
      </c>
      <c r="I19" s="1" t="s">
        <v>287</v>
      </c>
      <c r="J19" s="1" t="s">
        <v>288</v>
      </c>
      <c r="K19" s="1" t="s">
        <v>74</v>
      </c>
      <c r="L19" s="1" t="s">
        <v>74</v>
      </c>
      <c r="M19" s="1" t="s">
        <v>74</v>
      </c>
      <c r="N19" s="1" t="s">
        <v>74</v>
      </c>
      <c r="O19" s="1" t="s">
        <v>74</v>
      </c>
      <c r="P19" s="1" t="s">
        <v>74</v>
      </c>
      <c r="Q19" s="1" t="s">
        <v>74</v>
      </c>
      <c r="R19" s="1" t="s">
        <v>74</v>
      </c>
      <c r="S19" s="1" t="s">
        <v>74</v>
      </c>
      <c r="T19" s="1" t="s">
        <v>74</v>
      </c>
      <c r="U19" s="1" t="s">
        <v>74</v>
      </c>
      <c r="V19" s="1" t="s">
        <v>289</v>
      </c>
      <c r="W19" s="1" t="s">
        <v>74</v>
      </c>
      <c r="X19" s="1" t="s">
        <v>74</v>
      </c>
      <c r="Y19" s="1" t="s">
        <v>74</v>
      </c>
      <c r="Z19" s="1" t="s">
        <v>74</v>
      </c>
      <c r="AA19" s="1" t="s">
        <v>290</v>
      </c>
      <c r="AB19" s="1" t="s">
        <v>291</v>
      </c>
      <c r="AC19" s="1" t="s">
        <v>74</v>
      </c>
      <c r="AD19" s="1" t="s">
        <v>74</v>
      </c>
      <c r="AE19" s="1" t="s">
        <v>74</v>
      </c>
      <c r="AF19" s="1" t="s">
        <v>74</v>
      </c>
      <c r="AG19" s="1" t="s">
        <v>74</v>
      </c>
      <c r="AH19" s="1" t="s">
        <v>74</v>
      </c>
      <c r="AI19" s="1" t="s">
        <v>74</v>
      </c>
      <c r="AJ19" s="1" t="s">
        <v>74</v>
      </c>
      <c r="AK19" s="1" t="s">
        <v>74</v>
      </c>
      <c r="AL19" s="1" t="s">
        <v>74</v>
      </c>
      <c r="AM19" s="1" t="s">
        <v>74</v>
      </c>
      <c r="AN19" s="1" t="s">
        <v>74</v>
      </c>
      <c r="AO19" s="1" t="s">
        <v>292</v>
      </c>
      <c r="AP19" s="1" t="s">
        <v>293</v>
      </c>
      <c r="AQ19" s="1" t="s">
        <v>74</v>
      </c>
      <c r="AR19" s="1" t="s">
        <v>74</v>
      </c>
      <c r="AS19" s="1" t="s">
        <v>74</v>
      </c>
      <c r="AT19" s="1" t="s">
        <v>294</v>
      </c>
      <c r="AU19" s="1">
        <v>2016.0</v>
      </c>
      <c r="AV19" s="1">
        <v>9.0</v>
      </c>
      <c r="AW19" s="1">
        <v>2.0</v>
      </c>
      <c r="AX19" s="1" t="s">
        <v>74</v>
      </c>
      <c r="AY19" s="1" t="s">
        <v>74</v>
      </c>
      <c r="AZ19" s="1" t="s">
        <v>74</v>
      </c>
      <c r="BA19" s="1" t="s">
        <v>74</v>
      </c>
      <c r="BB19" s="1">
        <v>298.0</v>
      </c>
      <c r="BC19" s="1">
        <v>307.0</v>
      </c>
      <c r="BD19" s="1" t="s">
        <v>74</v>
      </c>
      <c r="BE19" s="1" t="s">
        <v>295</v>
      </c>
      <c r="BF19" s="2" t="str">
        <f>HYPERLINK("http://dx.doi.org/10.1007/s11947-015-1623-8","http://dx.doi.org/10.1007/s11947-015-1623-8")</f>
        <v>http://dx.doi.org/10.1007/s11947-015-1623-8</v>
      </c>
      <c r="BG19" s="1" t="s">
        <v>74</v>
      </c>
      <c r="BH19" s="1" t="s">
        <v>74</v>
      </c>
      <c r="BI19" s="1" t="s">
        <v>74</v>
      </c>
      <c r="BJ19" s="1" t="s">
        <v>74</v>
      </c>
      <c r="BK19" s="1" t="s">
        <v>74</v>
      </c>
      <c r="BL19" s="1" t="s">
        <v>74</v>
      </c>
      <c r="BM19" s="1" t="s">
        <v>74</v>
      </c>
      <c r="BN19" s="1" t="s">
        <v>74</v>
      </c>
      <c r="BO19" s="1" t="s">
        <v>74</v>
      </c>
      <c r="BP19" s="1" t="s">
        <v>74</v>
      </c>
      <c r="BQ19" s="1" t="s">
        <v>74</v>
      </c>
      <c r="BR19" s="1" t="s">
        <v>74</v>
      </c>
      <c r="BS19" s="1" t="s">
        <v>296</v>
      </c>
      <c r="BT19" s="1" t="str">
        <f>HYPERLINK("https%3A%2F%2Fwww.webofscience.com%2Fwos%2Fwoscc%2Ffull-record%2FWOS:000369271200009","View Full Record in Web of Science")</f>
        <v>View Full Record in Web of Science</v>
      </c>
    </row>
    <row r="20" ht="12.75" customHeight="1">
      <c r="A20" s="1" t="s">
        <v>207</v>
      </c>
      <c r="B20" s="1" t="s">
        <v>297</v>
      </c>
      <c r="C20" s="1" t="s">
        <v>74</v>
      </c>
      <c r="D20" s="1" t="s">
        <v>74</v>
      </c>
      <c r="E20" s="1" t="s">
        <v>224</v>
      </c>
      <c r="F20" s="1" t="s">
        <v>298</v>
      </c>
      <c r="G20" s="1" t="s">
        <v>74</v>
      </c>
      <c r="H20" s="1" t="s">
        <v>74</v>
      </c>
      <c r="I20" s="1" t="s">
        <v>299</v>
      </c>
      <c r="J20" s="1" t="s">
        <v>300</v>
      </c>
      <c r="K20" s="1" t="s">
        <v>74</v>
      </c>
      <c r="L20" s="1" t="s">
        <v>74</v>
      </c>
      <c r="M20" s="1" t="s">
        <v>74</v>
      </c>
      <c r="N20" s="1" t="s">
        <v>74</v>
      </c>
      <c r="O20" s="1" t="s">
        <v>301</v>
      </c>
      <c r="P20" s="1" t="s">
        <v>302</v>
      </c>
      <c r="Q20" s="1" t="s">
        <v>303</v>
      </c>
      <c r="R20" s="1" t="s">
        <v>304</v>
      </c>
      <c r="S20" s="1" t="s">
        <v>74</v>
      </c>
      <c r="T20" s="1" t="s">
        <v>74</v>
      </c>
      <c r="U20" s="1" t="s">
        <v>74</v>
      </c>
      <c r="V20" s="1" t="s">
        <v>305</v>
      </c>
      <c r="W20" s="1" t="s">
        <v>74</v>
      </c>
      <c r="X20" s="1" t="s">
        <v>74</v>
      </c>
      <c r="Y20" s="1" t="s">
        <v>74</v>
      </c>
      <c r="Z20" s="1" t="s">
        <v>74</v>
      </c>
      <c r="AA20" s="1" t="s">
        <v>306</v>
      </c>
      <c r="AB20" s="1" t="s">
        <v>307</v>
      </c>
      <c r="AC20" s="1" t="s">
        <v>74</v>
      </c>
      <c r="AD20" s="1" t="s">
        <v>74</v>
      </c>
      <c r="AE20" s="1" t="s">
        <v>74</v>
      </c>
      <c r="AF20" s="1" t="s">
        <v>74</v>
      </c>
      <c r="AG20" s="1" t="s">
        <v>74</v>
      </c>
      <c r="AH20" s="1" t="s">
        <v>74</v>
      </c>
      <c r="AI20" s="1" t="s">
        <v>74</v>
      </c>
      <c r="AJ20" s="1" t="s">
        <v>74</v>
      </c>
      <c r="AK20" s="1" t="s">
        <v>74</v>
      </c>
      <c r="AL20" s="1" t="s">
        <v>74</v>
      </c>
      <c r="AM20" s="1" t="s">
        <v>74</v>
      </c>
      <c r="AN20" s="1" t="s">
        <v>74</v>
      </c>
      <c r="AO20" s="1" t="s">
        <v>74</v>
      </c>
      <c r="AP20" s="1" t="s">
        <v>74</v>
      </c>
      <c r="AQ20" s="1" t="s">
        <v>308</v>
      </c>
      <c r="AR20" s="1" t="s">
        <v>74</v>
      </c>
      <c r="AS20" s="1" t="s">
        <v>74</v>
      </c>
      <c r="AT20" s="1" t="s">
        <v>74</v>
      </c>
      <c r="AU20" s="1">
        <v>2016.0</v>
      </c>
      <c r="AV20" s="1" t="s">
        <v>74</v>
      </c>
      <c r="AW20" s="1" t="s">
        <v>74</v>
      </c>
      <c r="AX20" s="1" t="s">
        <v>74</v>
      </c>
      <c r="AY20" s="1" t="s">
        <v>74</v>
      </c>
      <c r="AZ20" s="1" t="s">
        <v>74</v>
      </c>
      <c r="BA20" s="1" t="s">
        <v>74</v>
      </c>
      <c r="BB20" s="1">
        <v>19.0</v>
      </c>
      <c r="BC20" s="1">
        <v>24.0</v>
      </c>
      <c r="BD20" s="1" t="s">
        <v>74</v>
      </c>
      <c r="BE20" s="1" t="s">
        <v>309</v>
      </c>
      <c r="BF20" s="2" t="str">
        <f>HYPERLINK("http://dx.doi.org/10.1109/SBAC-PADW.2016.12","http://dx.doi.org/10.1109/SBAC-PADW.2016.12")</f>
        <v>http://dx.doi.org/10.1109/SBAC-PADW.2016.12</v>
      </c>
      <c r="BG20" s="1" t="s">
        <v>74</v>
      </c>
      <c r="BH20" s="1" t="s">
        <v>74</v>
      </c>
      <c r="BI20" s="1" t="s">
        <v>74</v>
      </c>
      <c r="BJ20" s="1" t="s">
        <v>74</v>
      </c>
      <c r="BK20" s="1" t="s">
        <v>74</v>
      </c>
      <c r="BL20" s="1" t="s">
        <v>74</v>
      </c>
      <c r="BM20" s="1" t="s">
        <v>74</v>
      </c>
      <c r="BN20" s="1" t="s">
        <v>74</v>
      </c>
      <c r="BO20" s="1" t="s">
        <v>74</v>
      </c>
      <c r="BP20" s="1" t="s">
        <v>74</v>
      </c>
      <c r="BQ20" s="1" t="s">
        <v>74</v>
      </c>
      <c r="BR20" s="1" t="s">
        <v>74</v>
      </c>
      <c r="BS20" s="1" t="s">
        <v>310</v>
      </c>
      <c r="BT20" s="1" t="str">
        <f>HYPERLINK("https%3A%2F%2Fwww.webofscience.com%2Fwos%2Fwoscc%2Ffull-record%2FWOS:000398540400004","View Full Record in Web of Science")</f>
        <v>View Full Record in Web of Science</v>
      </c>
    </row>
    <row r="21" ht="12.75" customHeight="1">
      <c r="A21" s="1" t="s">
        <v>311</v>
      </c>
      <c r="B21" s="1" t="s">
        <v>312</v>
      </c>
      <c r="C21" s="1" t="s">
        <v>74</v>
      </c>
      <c r="D21" s="1" t="s">
        <v>313</v>
      </c>
      <c r="E21" s="1" t="s">
        <v>74</v>
      </c>
      <c r="F21" s="1" t="s">
        <v>314</v>
      </c>
      <c r="G21" s="1" t="s">
        <v>74</v>
      </c>
      <c r="H21" s="1" t="s">
        <v>74</v>
      </c>
      <c r="I21" s="1" t="s">
        <v>315</v>
      </c>
      <c r="J21" s="1" t="s">
        <v>316</v>
      </c>
      <c r="K21" s="1" t="s">
        <v>317</v>
      </c>
      <c r="L21" s="1" t="s">
        <v>74</v>
      </c>
      <c r="M21" s="1" t="s">
        <v>74</v>
      </c>
      <c r="N21" s="1" t="s">
        <v>74</v>
      </c>
      <c r="O21" s="1" t="s">
        <v>74</v>
      </c>
      <c r="P21" s="1" t="s">
        <v>74</v>
      </c>
      <c r="Q21" s="1" t="s">
        <v>74</v>
      </c>
      <c r="R21" s="1" t="s">
        <v>74</v>
      </c>
      <c r="S21" s="1" t="s">
        <v>74</v>
      </c>
      <c r="T21" s="1" t="s">
        <v>74</v>
      </c>
      <c r="U21" s="1" t="s">
        <v>74</v>
      </c>
      <c r="V21" s="1" t="s">
        <v>318</v>
      </c>
      <c r="W21" s="1" t="s">
        <v>74</v>
      </c>
      <c r="X21" s="1" t="s">
        <v>74</v>
      </c>
      <c r="Y21" s="1" t="s">
        <v>74</v>
      </c>
      <c r="Z21" s="1" t="s">
        <v>74</v>
      </c>
      <c r="AA21" s="1" t="s">
        <v>319</v>
      </c>
      <c r="AB21" s="1" t="s">
        <v>320</v>
      </c>
      <c r="AC21" s="1" t="s">
        <v>74</v>
      </c>
      <c r="AD21" s="1" t="s">
        <v>74</v>
      </c>
      <c r="AE21" s="1" t="s">
        <v>74</v>
      </c>
      <c r="AF21" s="1" t="s">
        <v>74</v>
      </c>
      <c r="AG21" s="1" t="s">
        <v>74</v>
      </c>
      <c r="AH21" s="1" t="s">
        <v>74</v>
      </c>
      <c r="AI21" s="1" t="s">
        <v>74</v>
      </c>
      <c r="AJ21" s="1" t="s">
        <v>74</v>
      </c>
      <c r="AK21" s="1" t="s">
        <v>74</v>
      </c>
      <c r="AL21" s="1" t="s">
        <v>74</v>
      </c>
      <c r="AM21" s="1" t="s">
        <v>74</v>
      </c>
      <c r="AN21" s="1" t="s">
        <v>74</v>
      </c>
      <c r="AO21" s="1" t="s">
        <v>321</v>
      </c>
      <c r="AP21" s="1" t="s">
        <v>322</v>
      </c>
      <c r="AQ21" s="1" t="s">
        <v>323</v>
      </c>
      <c r="AR21" s="1" t="s">
        <v>74</v>
      </c>
      <c r="AS21" s="1" t="s">
        <v>74</v>
      </c>
      <c r="AT21" s="1" t="s">
        <v>74</v>
      </c>
      <c r="AU21" s="1">
        <v>2016.0</v>
      </c>
      <c r="AV21" s="1">
        <v>949.0</v>
      </c>
      <c r="AW21" s="1" t="s">
        <v>74</v>
      </c>
      <c r="AX21" s="1" t="s">
        <v>74</v>
      </c>
      <c r="AY21" s="1" t="s">
        <v>74</v>
      </c>
      <c r="AZ21" s="1" t="s">
        <v>74</v>
      </c>
      <c r="BA21" s="1" t="s">
        <v>74</v>
      </c>
      <c r="BB21" s="1">
        <v>1.0</v>
      </c>
      <c r="BC21" s="1">
        <v>24.0</v>
      </c>
      <c r="BD21" s="1" t="s">
        <v>74</v>
      </c>
      <c r="BE21" s="1" t="s">
        <v>324</v>
      </c>
      <c r="BF21" s="2" t="str">
        <f>HYPERLINK("http://dx.doi.org/10.1007/978-3-319-40764-7_1","http://dx.doi.org/10.1007/978-3-319-40764-7_1")</f>
        <v>http://dx.doi.org/10.1007/978-3-319-40764-7_1</v>
      </c>
      <c r="BG21" s="1" t="s">
        <v>325</v>
      </c>
      <c r="BH21" s="1" t="s">
        <v>74</v>
      </c>
      <c r="BI21" s="1" t="s">
        <v>74</v>
      </c>
      <c r="BJ21" s="1" t="s">
        <v>74</v>
      </c>
      <c r="BK21" s="1" t="s">
        <v>74</v>
      </c>
      <c r="BL21" s="1" t="s">
        <v>74</v>
      </c>
      <c r="BM21" s="1" t="s">
        <v>74</v>
      </c>
      <c r="BN21" s="1">
        <v>2.7714682E7</v>
      </c>
      <c r="BO21" s="1" t="s">
        <v>74</v>
      </c>
      <c r="BP21" s="1" t="s">
        <v>74</v>
      </c>
      <c r="BQ21" s="1" t="s">
        <v>74</v>
      </c>
      <c r="BR21" s="1" t="s">
        <v>74</v>
      </c>
      <c r="BS21" s="1" t="s">
        <v>326</v>
      </c>
      <c r="BT21" s="1" t="str">
        <f>HYPERLINK("https%3A%2F%2Fwww.webofscience.com%2Fwos%2Fwoscc%2Ffull-record%2FWOS:000400932800001","View Full Record in Web of Science")</f>
        <v>View Full Record in Web of Science</v>
      </c>
    </row>
    <row r="22" ht="12.75" customHeight="1">
      <c r="A22" s="1" t="s">
        <v>72</v>
      </c>
      <c r="B22" s="1" t="s">
        <v>327</v>
      </c>
      <c r="C22" s="1" t="s">
        <v>74</v>
      </c>
      <c r="D22" s="1" t="s">
        <v>74</v>
      </c>
      <c r="E22" s="1" t="s">
        <v>74</v>
      </c>
      <c r="F22" s="1" t="s">
        <v>328</v>
      </c>
      <c r="G22" s="1" t="s">
        <v>74</v>
      </c>
      <c r="H22" s="1" t="s">
        <v>74</v>
      </c>
      <c r="I22" s="1" t="s">
        <v>329</v>
      </c>
      <c r="J22" s="1" t="s">
        <v>330</v>
      </c>
      <c r="K22" s="1" t="s">
        <v>74</v>
      </c>
      <c r="L22" s="1" t="s">
        <v>74</v>
      </c>
      <c r="M22" s="1" t="s">
        <v>74</v>
      </c>
      <c r="N22" s="1" t="s">
        <v>74</v>
      </c>
      <c r="O22" s="1" t="s">
        <v>74</v>
      </c>
      <c r="P22" s="1" t="s">
        <v>74</v>
      </c>
      <c r="Q22" s="1" t="s">
        <v>74</v>
      </c>
      <c r="R22" s="1" t="s">
        <v>74</v>
      </c>
      <c r="S22" s="1" t="s">
        <v>74</v>
      </c>
      <c r="T22" s="1" t="s">
        <v>74</v>
      </c>
      <c r="U22" s="1" t="s">
        <v>74</v>
      </c>
      <c r="V22" s="1" t="s">
        <v>331</v>
      </c>
      <c r="W22" s="1" t="s">
        <v>74</v>
      </c>
      <c r="X22" s="1" t="s">
        <v>74</v>
      </c>
      <c r="Y22" s="1" t="s">
        <v>74</v>
      </c>
      <c r="Z22" s="1" t="s">
        <v>74</v>
      </c>
      <c r="AA22" s="1" t="s">
        <v>332</v>
      </c>
      <c r="AB22" s="1" t="s">
        <v>333</v>
      </c>
      <c r="AC22" s="1" t="s">
        <v>74</v>
      </c>
      <c r="AD22" s="1" t="s">
        <v>74</v>
      </c>
      <c r="AE22" s="1" t="s">
        <v>74</v>
      </c>
      <c r="AF22" s="1" t="s">
        <v>74</v>
      </c>
      <c r="AG22" s="1" t="s">
        <v>74</v>
      </c>
      <c r="AH22" s="1" t="s">
        <v>74</v>
      </c>
      <c r="AI22" s="1" t="s">
        <v>74</v>
      </c>
      <c r="AJ22" s="1" t="s">
        <v>74</v>
      </c>
      <c r="AK22" s="1" t="s">
        <v>74</v>
      </c>
      <c r="AL22" s="1" t="s">
        <v>74</v>
      </c>
      <c r="AM22" s="1" t="s">
        <v>74</v>
      </c>
      <c r="AN22" s="1" t="s">
        <v>74</v>
      </c>
      <c r="AO22" s="1" t="s">
        <v>334</v>
      </c>
      <c r="AP22" s="1" t="s">
        <v>335</v>
      </c>
      <c r="AQ22" s="1" t="s">
        <v>74</v>
      </c>
      <c r="AR22" s="1" t="s">
        <v>74</v>
      </c>
      <c r="AS22" s="1" t="s">
        <v>74</v>
      </c>
      <c r="AT22" s="1" t="s">
        <v>82</v>
      </c>
      <c r="AU22" s="1">
        <v>2014.0</v>
      </c>
      <c r="AV22" s="1">
        <v>57.0</v>
      </c>
      <c r="AW22" s="1">
        <v>3.0</v>
      </c>
      <c r="AX22" s="1" t="s">
        <v>74</v>
      </c>
      <c r="AY22" s="1" t="s">
        <v>74</v>
      </c>
      <c r="AZ22" s="1" t="s">
        <v>74</v>
      </c>
      <c r="BA22" s="1" t="s">
        <v>74</v>
      </c>
      <c r="BB22" s="1">
        <v>755.0</v>
      </c>
      <c r="BC22" s="1">
        <v>762.0</v>
      </c>
      <c r="BD22" s="1" t="s">
        <v>74</v>
      </c>
      <c r="BE22" s="1" t="s">
        <v>336</v>
      </c>
      <c r="BF22" s="2" t="str">
        <f>HYPERLINK("http://dx.doi.org/10.1017/S0013091513000667","http://dx.doi.org/10.1017/S0013091513000667")</f>
        <v>http://dx.doi.org/10.1017/S0013091513000667</v>
      </c>
      <c r="BG22" s="1" t="s">
        <v>74</v>
      </c>
      <c r="BH22" s="1" t="s">
        <v>74</v>
      </c>
      <c r="BI22" s="1" t="s">
        <v>74</v>
      </c>
      <c r="BJ22" s="1" t="s">
        <v>74</v>
      </c>
      <c r="BK22" s="1" t="s">
        <v>74</v>
      </c>
      <c r="BL22" s="1" t="s">
        <v>74</v>
      </c>
      <c r="BM22" s="1" t="s">
        <v>74</v>
      </c>
      <c r="BN22" s="1" t="s">
        <v>74</v>
      </c>
      <c r="BO22" s="1" t="s">
        <v>74</v>
      </c>
      <c r="BP22" s="1" t="s">
        <v>74</v>
      </c>
      <c r="BQ22" s="1" t="s">
        <v>74</v>
      </c>
      <c r="BR22" s="1" t="s">
        <v>74</v>
      </c>
      <c r="BS22" s="1" t="s">
        <v>337</v>
      </c>
      <c r="BT22" s="1" t="str">
        <f>HYPERLINK("https%3A%2F%2Fwww.webofscience.com%2Fwos%2Fwoscc%2Ffull-record%2FWOS:000341567000009","View Full Record in Web of Science")</f>
        <v>View Full Record in Web of Science</v>
      </c>
    </row>
    <row r="23" ht="12.75" customHeight="1">
      <c r="A23" s="1" t="s">
        <v>72</v>
      </c>
      <c r="B23" s="1" t="s">
        <v>338</v>
      </c>
      <c r="C23" s="1" t="s">
        <v>74</v>
      </c>
      <c r="D23" s="1" t="s">
        <v>74</v>
      </c>
      <c r="E23" s="1" t="s">
        <v>74</v>
      </c>
      <c r="F23" s="1" t="s">
        <v>339</v>
      </c>
      <c r="G23" s="1" t="s">
        <v>74</v>
      </c>
      <c r="H23" s="1" t="s">
        <v>74</v>
      </c>
      <c r="I23" s="1" t="s">
        <v>340</v>
      </c>
      <c r="J23" s="1" t="s">
        <v>341</v>
      </c>
      <c r="K23" s="1" t="s">
        <v>74</v>
      </c>
      <c r="L23" s="1" t="s">
        <v>74</v>
      </c>
      <c r="M23" s="1" t="s">
        <v>74</v>
      </c>
      <c r="N23" s="1" t="s">
        <v>74</v>
      </c>
      <c r="O23" s="1" t="s">
        <v>74</v>
      </c>
      <c r="P23" s="1" t="s">
        <v>74</v>
      </c>
      <c r="Q23" s="1" t="s">
        <v>74</v>
      </c>
      <c r="R23" s="1" t="s">
        <v>74</v>
      </c>
      <c r="S23" s="1" t="s">
        <v>74</v>
      </c>
      <c r="T23" s="1" t="s">
        <v>74</v>
      </c>
      <c r="U23" s="1" t="s">
        <v>74</v>
      </c>
      <c r="V23" s="1" t="s">
        <v>74</v>
      </c>
      <c r="W23" s="1" t="s">
        <v>74</v>
      </c>
      <c r="X23" s="1" t="s">
        <v>74</v>
      </c>
      <c r="Y23" s="1" t="s">
        <v>74</v>
      </c>
      <c r="Z23" s="1" t="s">
        <v>74</v>
      </c>
      <c r="AA23" s="1" t="s">
        <v>342</v>
      </c>
      <c r="AB23" s="1" t="s">
        <v>74</v>
      </c>
      <c r="AC23" s="1" t="s">
        <v>74</v>
      </c>
      <c r="AD23" s="1" t="s">
        <v>74</v>
      </c>
      <c r="AE23" s="1" t="s">
        <v>74</v>
      </c>
      <c r="AF23" s="1" t="s">
        <v>74</v>
      </c>
      <c r="AG23" s="1" t="s">
        <v>74</v>
      </c>
      <c r="AH23" s="1" t="s">
        <v>74</v>
      </c>
      <c r="AI23" s="1" t="s">
        <v>74</v>
      </c>
      <c r="AJ23" s="1" t="s">
        <v>74</v>
      </c>
      <c r="AK23" s="1" t="s">
        <v>74</v>
      </c>
      <c r="AL23" s="1" t="s">
        <v>74</v>
      </c>
      <c r="AM23" s="1" t="s">
        <v>74</v>
      </c>
      <c r="AN23" s="1" t="s">
        <v>74</v>
      </c>
      <c r="AO23" s="1" t="s">
        <v>343</v>
      </c>
      <c r="AP23" s="1" t="s">
        <v>344</v>
      </c>
      <c r="AQ23" s="1" t="s">
        <v>74</v>
      </c>
      <c r="AR23" s="1" t="s">
        <v>74</v>
      </c>
      <c r="AS23" s="1" t="s">
        <v>74</v>
      </c>
      <c r="AT23" s="1" t="s">
        <v>271</v>
      </c>
      <c r="AU23" s="1">
        <v>2012.0</v>
      </c>
      <c r="AV23" s="1">
        <v>53.0</v>
      </c>
      <c r="AW23" s="1" t="s">
        <v>74</v>
      </c>
      <c r="AX23" s="1" t="s">
        <v>74</v>
      </c>
      <c r="AY23" s="1">
        <v>1.0</v>
      </c>
      <c r="AZ23" s="1" t="s">
        <v>74</v>
      </c>
      <c r="BA23" s="1">
        <v>130.0</v>
      </c>
      <c r="BB23" s="1" t="s">
        <v>345</v>
      </c>
      <c r="BC23" s="1" t="s">
        <v>346</v>
      </c>
      <c r="BD23" s="1" t="s">
        <v>74</v>
      </c>
      <c r="BE23" s="1" t="s">
        <v>347</v>
      </c>
      <c r="BF23" s="2" t="str">
        <f>HYPERLINK("http://dx.doi.org/10.1016/j.freeradbiomed.2012.08.322","http://dx.doi.org/10.1016/j.freeradbiomed.2012.08.322")</f>
        <v>http://dx.doi.org/10.1016/j.freeradbiomed.2012.08.322</v>
      </c>
      <c r="BG23" s="1" t="s">
        <v>74</v>
      </c>
      <c r="BH23" s="1" t="s">
        <v>74</v>
      </c>
      <c r="BI23" s="1" t="s">
        <v>74</v>
      </c>
      <c r="BJ23" s="1" t="s">
        <v>74</v>
      </c>
      <c r="BK23" s="1" t="s">
        <v>74</v>
      </c>
      <c r="BL23" s="1" t="s">
        <v>74</v>
      </c>
      <c r="BM23" s="1" t="s">
        <v>74</v>
      </c>
      <c r="BN23" s="1" t="s">
        <v>74</v>
      </c>
      <c r="BO23" s="1" t="s">
        <v>74</v>
      </c>
      <c r="BP23" s="1" t="s">
        <v>74</v>
      </c>
      <c r="BQ23" s="1" t="s">
        <v>74</v>
      </c>
      <c r="BR23" s="1" t="s">
        <v>74</v>
      </c>
      <c r="BS23" s="1" t="s">
        <v>348</v>
      </c>
      <c r="BT23" s="1" t="str">
        <f>HYPERLINK("https%3A%2F%2Fwww.webofscience.com%2Fwos%2Fwoscc%2Ffull-record%2FWOS:000209480800319","View Full Record in Web of Science")</f>
        <v>View Full Record in Web of Science</v>
      </c>
    </row>
    <row r="24" ht="12.75" customHeight="1">
      <c r="A24" s="1" t="s">
        <v>207</v>
      </c>
      <c r="B24" s="1" t="s">
        <v>349</v>
      </c>
      <c r="C24" s="1" t="s">
        <v>74</v>
      </c>
      <c r="D24" s="1" t="s">
        <v>350</v>
      </c>
      <c r="E24" s="1" t="s">
        <v>74</v>
      </c>
      <c r="F24" s="1" t="s">
        <v>351</v>
      </c>
      <c r="G24" s="1" t="s">
        <v>74</v>
      </c>
      <c r="H24" s="1" t="s">
        <v>74</v>
      </c>
      <c r="I24" s="1" t="s">
        <v>352</v>
      </c>
      <c r="J24" s="1" t="s">
        <v>353</v>
      </c>
      <c r="K24" s="1" t="s">
        <v>354</v>
      </c>
      <c r="L24" s="1" t="s">
        <v>74</v>
      </c>
      <c r="M24" s="1" t="s">
        <v>74</v>
      </c>
      <c r="N24" s="1" t="s">
        <v>74</v>
      </c>
      <c r="O24" s="1" t="s">
        <v>355</v>
      </c>
      <c r="P24" s="1" t="s">
        <v>356</v>
      </c>
      <c r="Q24" s="1" t="s">
        <v>357</v>
      </c>
      <c r="R24" s="1" t="s">
        <v>74</v>
      </c>
      <c r="S24" s="1" t="s">
        <v>74</v>
      </c>
      <c r="T24" s="1" t="s">
        <v>74</v>
      </c>
      <c r="U24" s="1" t="s">
        <v>74</v>
      </c>
      <c r="V24" s="1" t="s">
        <v>358</v>
      </c>
      <c r="W24" s="1" t="s">
        <v>74</v>
      </c>
      <c r="X24" s="1" t="s">
        <v>74</v>
      </c>
      <c r="Y24" s="1" t="s">
        <v>74</v>
      </c>
      <c r="Z24" s="1" t="s">
        <v>74</v>
      </c>
      <c r="AA24" s="1" t="s">
        <v>359</v>
      </c>
      <c r="AB24" s="1" t="s">
        <v>360</v>
      </c>
      <c r="AC24" s="1" t="s">
        <v>74</v>
      </c>
      <c r="AD24" s="1" t="s">
        <v>74</v>
      </c>
      <c r="AE24" s="1" t="s">
        <v>74</v>
      </c>
      <c r="AF24" s="1" t="s">
        <v>74</v>
      </c>
      <c r="AG24" s="1" t="s">
        <v>74</v>
      </c>
      <c r="AH24" s="1" t="s">
        <v>74</v>
      </c>
      <c r="AI24" s="1" t="s">
        <v>74</v>
      </c>
      <c r="AJ24" s="1" t="s">
        <v>74</v>
      </c>
      <c r="AK24" s="1" t="s">
        <v>74</v>
      </c>
      <c r="AL24" s="1" t="s">
        <v>74</v>
      </c>
      <c r="AM24" s="1" t="s">
        <v>74</v>
      </c>
      <c r="AN24" s="1" t="s">
        <v>74</v>
      </c>
      <c r="AO24" s="1" t="s">
        <v>361</v>
      </c>
      <c r="AP24" s="1" t="s">
        <v>362</v>
      </c>
      <c r="AQ24" s="1" t="s">
        <v>363</v>
      </c>
      <c r="AR24" s="1" t="s">
        <v>74</v>
      </c>
      <c r="AS24" s="1" t="s">
        <v>74</v>
      </c>
      <c r="AT24" s="1" t="s">
        <v>74</v>
      </c>
      <c r="AU24" s="1">
        <v>2012.0</v>
      </c>
      <c r="AV24" s="1">
        <v>7608.0</v>
      </c>
      <c r="AW24" s="1" t="s">
        <v>74</v>
      </c>
      <c r="AX24" s="1" t="s">
        <v>74</v>
      </c>
      <c r="AY24" s="1" t="s">
        <v>74</v>
      </c>
      <c r="AZ24" s="1" t="s">
        <v>74</v>
      </c>
      <c r="BA24" s="1" t="s">
        <v>74</v>
      </c>
      <c r="BB24" s="1">
        <v>143.0</v>
      </c>
      <c r="BC24" s="1">
        <v>154.0</v>
      </c>
      <c r="BD24" s="1" t="s">
        <v>74</v>
      </c>
      <c r="BE24" s="1" t="s">
        <v>74</v>
      </c>
      <c r="BF24" s="1" t="s">
        <v>74</v>
      </c>
      <c r="BG24" s="1" t="s">
        <v>74</v>
      </c>
      <c r="BH24" s="1" t="s">
        <v>74</v>
      </c>
      <c r="BI24" s="1" t="s">
        <v>74</v>
      </c>
      <c r="BJ24" s="1" t="s">
        <v>74</v>
      </c>
      <c r="BK24" s="1" t="s">
        <v>74</v>
      </c>
      <c r="BL24" s="1" t="s">
        <v>74</v>
      </c>
      <c r="BM24" s="1" t="s">
        <v>74</v>
      </c>
      <c r="BN24" s="1" t="s">
        <v>74</v>
      </c>
      <c r="BO24" s="1" t="s">
        <v>74</v>
      </c>
      <c r="BP24" s="1" t="s">
        <v>74</v>
      </c>
      <c r="BQ24" s="1" t="s">
        <v>74</v>
      </c>
      <c r="BR24" s="1" t="s">
        <v>74</v>
      </c>
      <c r="BS24" s="1" t="s">
        <v>364</v>
      </c>
      <c r="BT24" s="1" t="str">
        <f>HYPERLINK("https%3A%2F%2Fwww.webofscience.com%2Fwos%2Fwoscc%2Ffull-record%2FWOS:000310731700015","View Full Record in Web of Science")</f>
        <v>View Full Record in Web of Science</v>
      </c>
    </row>
    <row r="25" ht="12.75" customHeight="1">
      <c r="A25" s="1" t="s">
        <v>72</v>
      </c>
      <c r="B25" s="1" t="s">
        <v>365</v>
      </c>
      <c r="C25" s="1" t="s">
        <v>74</v>
      </c>
      <c r="D25" s="1" t="s">
        <v>74</v>
      </c>
      <c r="E25" s="1" t="s">
        <v>74</v>
      </c>
      <c r="F25" s="1" t="s">
        <v>366</v>
      </c>
      <c r="G25" s="1" t="s">
        <v>74</v>
      </c>
      <c r="H25" s="1" t="s">
        <v>74</v>
      </c>
      <c r="I25" s="1" t="s">
        <v>367</v>
      </c>
      <c r="J25" s="1" t="s">
        <v>368</v>
      </c>
      <c r="K25" s="1" t="s">
        <v>74</v>
      </c>
      <c r="L25" s="1" t="s">
        <v>74</v>
      </c>
      <c r="M25" s="1" t="s">
        <v>74</v>
      </c>
      <c r="N25" s="1" t="s">
        <v>74</v>
      </c>
      <c r="O25" s="1" t="s">
        <v>74</v>
      </c>
      <c r="P25" s="1" t="s">
        <v>74</v>
      </c>
      <c r="Q25" s="1" t="s">
        <v>74</v>
      </c>
      <c r="R25" s="1" t="s">
        <v>74</v>
      </c>
      <c r="S25" s="1" t="s">
        <v>74</v>
      </c>
      <c r="T25" s="1" t="s">
        <v>74</v>
      </c>
      <c r="U25" s="1" t="s">
        <v>74</v>
      </c>
      <c r="V25" s="1" t="s">
        <v>369</v>
      </c>
      <c r="W25" s="1" t="s">
        <v>74</v>
      </c>
      <c r="X25" s="1" t="s">
        <v>74</v>
      </c>
      <c r="Y25" s="1" t="s">
        <v>74</v>
      </c>
      <c r="Z25" s="1" t="s">
        <v>74</v>
      </c>
      <c r="AA25" s="1" t="s">
        <v>370</v>
      </c>
      <c r="AB25" s="1" t="s">
        <v>371</v>
      </c>
      <c r="AC25" s="1" t="s">
        <v>74</v>
      </c>
      <c r="AD25" s="1" t="s">
        <v>74</v>
      </c>
      <c r="AE25" s="1" t="s">
        <v>74</v>
      </c>
      <c r="AF25" s="1" t="s">
        <v>74</v>
      </c>
      <c r="AG25" s="1" t="s">
        <v>74</v>
      </c>
      <c r="AH25" s="1" t="s">
        <v>74</v>
      </c>
      <c r="AI25" s="1" t="s">
        <v>74</v>
      </c>
      <c r="AJ25" s="1" t="s">
        <v>74</v>
      </c>
      <c r="AK25" s="1" t="s">
        <v>74</v>
      </c>
      <c r="AL25" s="1" t="s">
        <v>74</v>
      </c>
      <c r="AM25" s="1" t="s">
        <v>74</v>
      </c>
      <c r="AN25" s="1" t="s">
        <v>74</v>
      </c>
      <c r="AO25" s="1" t="s">
        <v>372</v>
      </c>
      <c r="AP25" s="1" t="s">
        <v>373</v>
      </c>
      <c r="AQ25" s="1" t="s">
        <v>74</v>
      </c>
      <c r="AR25" s="1" t="s">
        <v>74</v>
      </c>
      <c r="AS25" s="1" t="s">
        <v>74</v>
      </c>
      <c r="AT25" s="1" t="s">
        <v>374</v>
      </c>
      <c r="AU25" s="1">
        <v>2011.0</v>
      </c>
      <c r="AV25" s="1">
        <v>20.0</v>
      </c>
      <c r="AW25" s="1">
        <v>12.0</v>
      </c>
      <c r="AX25" s="1" t="s">
        <v>74</v>
      </c>
      <c r="AY25" s="1" t="s">
        <v>74</v>
      </c>
      <c r="AZ25" s="1" t="s">
        <v>74</v>
      </c>
      <c r="BA25" s="1" t="s">
        <v>74</v>
      </c>
      <c r="BB25" s="1">
        <v>2797.0</v>
      </c>
      <c r="BC25" s="1">
        <v>2813.0</v>
      </c>
      <c r="BD25" s="1" t="s">
        <v>74</v>
      </c>
      <c r="BE25" s="1" t="s">
        <v>375</v>
      </c>
      <c r="BF25" s="2" t="str">
        <f>HYPERLINK("http://dx.doi.org/10.1007/s10531-011-0109-x","http://dx.doi.org/10.1007/s10531-011-0109-x")</f>
        <v>http://dx.doi.org/10.1007/s10531-011-0109-x</v>
      </c>
      <c r="BG25" s="1" t="s">
        <v>74</v>
      </c>
      <c r="BH25" s="1" t="s">
        <v>74</v>
      </c>
      <c r="BI25" s="1" t="s">
        <v>74</v>
      </c>
      <c r="BJ25" s="1" t="s">
        <v>74</v>
      </c>
      <c r="BK25" s="1" t="s">
        <v>74</v>
      </c>
      <c r="BL25" s="1" t="s">
        <v>74</v>
      </c>
      <c r="BM25" s="1" t="s">
        <v>74</v>
      </c>
      <c r="BN25" s="1" t="s">
        <v>74</v>
      </c>
      <c r="BO25" s="1" t="s">
        <v>74</v>
      </c>
      <c r="BP25" s="1" t="s">
        <v>74</v>
      </c>
      <c r="BQ25" s="1" t="s">
        <v>74</v>
      </c>
      <c r="BR25" s="1" t="s">
        <v>74</v>
      </c>
      <c r="BS25" s="1" t="s">
        <v>376</v>
      </c>
      <c r="BT25" s="1" t="str">
        <f>HYPERLINK("https%3A%2F%2Fwww.webofscience.com%2Fwos%2Fwoscc%2Ffull-record%2FWOS:000297200000015","View Full Record in Web of Science")</f>
        <v>View Full Record in Web of Science</v>
      </c>
    </row>
    <row r="26" ht="12.75" customHeight="1">
      <c r="A26" s="1" t="s">
        <v>72</v>
      </c>
      <c r="B26" s="1" t="s">
        <v>377</v>
      </c>
      <c r="C26" s="1" t="s">
        <v>74</v>
      </c>
      <c r="D26" s="1" t="s">
        <v>74</v>
      </c>
      <c r="E26" s="1" t="s">
        <v>74</v>
      </c>
      <c r="F26" s="1" t="s">
        <v>378</v>
      </c>
      <c r="G26" s="1" t="s">
        <v>74</v>
      </c>
      <c r="H26" s="1" t="s">
        <v>74</v>
      </c>
      <c r="I26" s="1" t="s">
        <v>379</v>
      </c>
      <c r="J26" s="1" t="s">
        <v>380</v>
      </c>
      <c r="K26" s="1" t="s">
        <v>74</v>
      </c>
      <c r="L26" s="1" t="s">
        <v>74</v>
      </c>
      <c r="M26" s="1" t="s">
        <v>74</v>
      </c>
      <c r="N26" s="1" t="s">
        <v>74</v>
      </c>
      <c r="O26" s="1" t="s">
        <v>74</v>
      </c>
      <c r="P26" s="1" t="s">
        <v>74</v>
      </c>
      <c r="Q26" s="1" t="s">
        <v>74</v>
      </c>
      <c r="R26" s="1" t="s">
        <v>74</v>
      </c>
      <c r="S26" s="1" t="s">
        <v>74</v>
      </c>
      <c r="T26" s="1" t="s">
        <v>74</v>
      </c>
      <c r="U26" s="1" t="s">
        <v>74</v>
      </c>
      <c r="V26" s="1" t="s">
        <v>381</v>
      </c>
      <c r="W26" s="1" t="s">
        <v>74</v>
      </c>
      <c r="X26" s="1" t="s">
        <v>74</v>
      </c>
      <c r="Y26" s="1" t="s">
        <v>74</v>
      </c>
      <c r="Z26" s="1" t="s">
        <v>74</v>
      </c>
      <c r="AA26" s="1" t="s">
        <v>382</v>
      </c>
      <c r="AB26" s="1" t="s">
        <v>383</v>
      </c>
      <c r="AC26" s="1" t="s">
        <v>74</v>
      </c>
      <c r="AD26" s="1" t="s">
        <v>74</v>
      </c>
      <c r="AE26" s="1" t="s">
        <v>74</v>
      </c>
      <c r="AF26" s="1" t="s">
        <v>74</v>
      </c>
      <c r="AG26" s="1" t="s">
        <v>74</v>
      </c>
      <c r="AH26" s="1" t="s">
        <v>74</v>
      </c>
      <c r="AI26" s="1" t="s">
        <v>74</v>
      </c>
      <c r="AJ26" s="1" t="s">
        <v>74</v>
      </c>
      <c r="AK26" s="1" t="s">
        <v>74</v>
      </c>
      <c r="AL26" s="1" t="s">
        <v>74</v>
      </c>
      <c r="AM26" s="1" t="s">
        <v>74</v>
      </c>
      <c r="AN26" s="1" t="s">
        <v>74</v>
      </c>
      <c r="AO26" s="1" t="s">
        <v>384</v>
      </c>
      <c r="AP26" s="1" t="s">
        <v>385</v>
      </c>
      <c r="AQ26" s="1" t="s">
        <v>74</v>
      </c>
      <c r="AR26" s="1" t="s">
        <v>74</v>
      </c>
      <c r="AS26" s="1" t="s">
        <v>74</v>
      </c>
      <c r="AT26" s="1" t="s">
        <v>82</v>
      </c>
      <c r="AU26" s="1">
        <v>2011.0</v>
      </c>
      <c r="AV26" s="1">
        <v>34.0</v>
      </c>
      <c r="AW26" s="1">
        <v>5.0</v>
      </c>
      <c r="AX26" s="1" t="s">
        <v>74</v>
      </c>
      <c r="AY26" s="1" t="s">
        <v>74</v>
      </c>
      <c r="AZ26" s="1" t="s">
        <v>74</v>
      </c>
      <c r="BA26" s="1" t="s">
        <v>74</v>
      </c>
      <c r="BB26" s="1">
        <v>1714.0</v>
      </c>
      <c r="BC26" s="1">
        <v>1728.0</v>
      </c>
      <c r="BD26" s="1" t="s">
        <v>74</v>
      </c>
      <c r="BE26" s="1" t="s">
        <v>386</v>
      </c>
      <c r="BF26" s="2" t="str">
        <f>HYPERLINK("http://dx.doi.org/10.1111/j.1745-4530.2009.00540.x","http://dx.doi.org/10.1111/j.1745-4530.2009.00540.x")</f>
        <v>http://dx.doi.org/10.1111/j.1745-4530.2009.00540.x</v>
      </c>
      <c r="BG26" s="1" t="s">
        <v>74</v>
      </c>
      <c r="BH26" s="1" t="s">
        <v>74</v>
      </c>
      <c r="BI26" s="1" t="s">
        <v>74</v>
      </c>
      <c r="BJ26" s="1" t="s">
        <v>74</v>
      </c>
      <c r="BK26" s="1" t="s">
        <v>74</v>
      </c>
      <c r="BL26" s="1" t="s">
        <v>74</v>
      </c>
      <c r="BM26" s="1" t="s">
        <v>74</v>
      </c>
      <c r="BN26" s="1" t="s">
        <v>74</v>
      </c>
      <c r="BO26" s="1" t="s">
        <v>74</v>
      </c>
      <c r="BP26" s="1" t="s">
        <v>74</v>
      </c>
      <c r="BQ26" s="1" t="s">
        <v>74</v>
      </c>
      <c r="BR26" s="1" t="s">
        <v>74</v>
      </c>
      <c r="BS26" s="1" t="s">
        <v>387</v>
      </c>
      <c r="BT26" s="1" t="str">
        <f>HYPERLINK("https%3A%2F%2Fwww.webofscience.com%2Fwos%2Fwoscc%2Ffull-record%2FWOS:000295326700022","View Full Record in Web of Science")</f>
        <v>View Full Record in Web of Science</v>
      </c>
    </row>
    <row r="27" ht="12.75" customHeight="1">
      <c r="A27" s="1" t="s">
        <v>72</v>
      </c>
      <c r="B27" s="1" t="s">
        <v>388</v>
      </c>
      <c r="C27" s="1" t="s">
        <v>74</v>
      </c>
      <c r="D27" s="1" t="s">
        <v>74</v>
      </c>
      <c r="E27" s="1" t="s">
        <v>74</v>
      </c>
      <c r="F27" s="1" t="s">
        <v>389</v>
      </c>
      <c r="G27" s="1" t="s">
        <v>74</v>
      </c>
      <c r="H27" s="1" t="s">
        <v>74</v>
      </c>
      <c r="I27" s="1" t="s">
        <v>390</v>
      </c>
      <c r="J27" s="1" t="s">
        <v>391</v>
      </c>
      <c r="K27" s="1" t="s">
        <v>74</v>
      </c>
      <c r="L27" s="1" t="s">
        <v>74</v>
      </c>
      <c r="M27" s="1" t="s">
        <v>74</v>
      </c>
      <c r="N27" s="1" t="s">
        <v>74</v>
      </c>
      <c r="O27" s="1" t="s">
        <v>74</v>
      </c>
      <c r="P27" s="1" t="s">
        <v>74</v>
      </c>
      <c r="Q27" s="1" t="s">
        <v>74</v>
      </c>
      <c r="R27" s="1" t="s">
        <v>74</v>
      </c>
      <c r="S27" s="1" t="s">
        <v>74</v>
      </c>
      <c r="T27" s="1" t="s">
        <v>74</v>
      </c>
      <c r="U27" s="1" t="s">
        <v>74</v>
      </c>
      <c r="V27" s="1" t="s">
        <v>392</v>
      </c>
      <c r="W27" s="1" t="s">
        <v>74</v>
      </c>
      <c r="X27" s="1" t="s">
        <v>74</v>
      </c>
      <c r="Y27" s="1" t="s">
        <v>74</v>
      </c>
      <c r="Z27" s="1" t="s">
        <v>74</v>
      </c>
      <c r="AA27" s="1" t="s">
        <v>393</v>
      </c>
      <c r="AB27" s="1" t="s">
        <v>394</v>
      </c>
      <c r="AC27" s="1" t="s">
        <v>74</v>
      </c>
      <c r="AD27" s="1" t="s">
        <v>74</v>
      </c>
      <c r="AE27" s="1" t="s">
        <v>74</v>
      </c>
      <c r="AF27" s="1" t="s">
        <v>74</v>
      </c>
      <c r="AG27" s="1" t="s">
        <v>74</v>
      </c>
      <c r="AH27" s="1" t="s">
        <v>74</v>
      </c>
      <c r="AI27" s="1" t="s">
        <v>74</v>
      </c>
      <c r="AJ27" s="1" t="s">
        <v>74</v>
      </c>
      <c r="AK27" s="1" t="s">
        <v>74</v>
      </c>
      <c r="AL27" s="1" t="s">
        <v>74</v>
      </c>
      <c r="AM27" s="1" t="s">
        <v>74</v>
      </c>
      <c r="AN27" s="1" t="s">
        <v>74</v>
      </c>
      <c r="AO27" s="1" t="s">
        <v>395</v>
      </c>
      <c r="AP27" s="1" t="s">
        <v>396</v>
      </c>
      <c r="AQ27" s="1" t="s">
        <v>74</v>
      </c>
      <c r="AR27" s="1" t="s">
        <v>74</v>
      </c>
      <c r="AS27" s="1" t="s">
        <v>74</v>
      </c>
      <c r="AT27" s="1" t="s">
        <v>397</v>
      </c>
      <c r="AU27" s="1">
        <v>2011.0</v>
      </c>
      <c r="AV27" s="1">
        <v>217.0</v>
      </c>
      <c r="AW27" s="1">
        <v>21.0</v>
      </c>
      <c r="AX27" s="1" t="s">
        <v>74</v>
      </c>
      <c r="AY27" s="1" t="s">
        <v>74</v>
      </c>
      <c r="AZ27" s="1" t="s">
        <v>74</v>
      </c>
      <c r="BA27" s="1" t="s">
        <v>74</v>
      </c>
      <c r="BB27" s="1">
        <v>8522.0</v>
      </c>
      <c r="BC27" s="1">
        <v>8533.0</v>
      </c>
      <c r="BD27" s="1" t="s">
        <v>74</v>
      </c>
      <c r="BE27" s="1" t="s">
        <v>398</v>
      </c>
      <c r="BF27" s="2" t="str">
        <f>HYPERLINK("http://dx.doi.org/10.1016/j.amc.2011.03.056","http://dx.doi.org/10.1016/j.amc.2011.03.056")</f>
        <v>http://dx.doi.org/10.1016/j.amc.2011.03.056</v>
      </c>
      <c r="BG27" s="1" t="s">
        <v>74</v>
      </c>
      <c r="BH27" s="1" t="s">
        <v>74</v>
      </c>
      <c r="BI27" s="1" t="s">
        <v>74</v>
      </c>
      <c r="BJ27" s="1" t="s">
        <v>74</v>
      </c>
      <c r="BK27" s="1" t="s">
        <v>74</v>
      </c>
      <c r="BL27" s="1" t="s">
        <v>74</v>
      </c>
      <c r="BM27" s="1" t="s">
        <v>74</v>
      </c>
      <c r="BN27" s="1" t="s">
        <v>74</v>
      </c>
      <c r="BO27" s="1" t="s">
        <v>74</v>
      </c>
      <c r="BP27" s="1" t="s">
        <v>74</v>
      </c>
      <c r="BQ27" s="1" t="s">
        <v>74</v>
      </c>
      <c r="BR27" s="1" t="s">
        <v>74</v>
      </c>
      <c r="BS27" s="1" t="s">
        <v>399</v>
      </c>
      <c r="BT27" s="1" t="str">
        <f>HYPERLINK("https%3A%2F%2Fwww.webofscience.com%2Fwos%2Fwoscc%2Ffull-record%2FWOS:000290622200039","View Full Record in Web of Science")</f>
        <v>View Full Record in Web of Science</v>
      </c>
    </row>
    <row r="28" ht="12.75" customHeight="1">
      <c r="A28" s="1" t="s">
        <v>72</v>
      </c>
      <c r="B28" s="1" t="s">
        <v>400</v>
      </c>
      <c r="C28" s="1" t="s">
        <v>74</v>
      </c>
      <c r="D28" s="1" t="s">
        <v>74</v>
      </c>
      <c r="E28" s="1" t="s">
        <v>74</v>
      </c>
      <c r="F28" s="1" t="s">
        <v>401</v>
      </c>
      <c r="G28" s="1" t="s">
        <v>74</v>
      </c>
      <c r="H28" s="1" t="s">
        <v>74</v>
      </c>
      <c r="I28" s="1" t="s">
        <v>402</v>
      </c>
      <c r="J28" s="1" t="s">
        <v>403</v>
      </c>
      <c r="K28" s="1" t="s">
        <v>74</v>
      </c>
      <c r="L28" s="1" t="s">
        <v>74</v>
      </c>
      <c r="M28" s="1" t="s">
        <v>74</v>
      </c>
      <c r="N28" s="1" t="s">
        <v>74</v>
      </c>
      <c r="O28" s="1" t="s">
        <v>74</v>
      </c>
      <c r="P28" s="1" t="s">
        <v>74</v>
      </c>
      <c r="Q28" s="1" t="s">
        <v>74</v>
      </c>
      <c r="R28" s="1" t="s">
        <v>74</v>
      </c>
      <c r="S28" s="1" t="s">
        <v>74</v>
      </c>
      <c r="T28" s="1" t="s">
        <v>74</v>
      </c>
      <c r="U28" s="1" t="s">
        <v>74</v>
      </c>
      <c r="V28" s="1" t="s">
        <v>404</v>
      </c>
      <c r="W28" s="1" t="s">
        <v>74</v>
      </c>
      <c r="X28" s="1" t="s">
        <v>74</v>
      </c>
      <c r="Y28" s="1" t="s">
        <v>74</v>
      </c>
      <c r="Z28" s="1" t="s">
        <v>74</v>
      </c>
      <c r="AA28" s="1" t="s">
        <v>74</v>
      </c>
      <c r="AB28" s="1" t="s">
        <v>405</v>
      </c>
      <c r="AC28" s="1" t="s">
        <v>74</v>
      </c>
      <c r="AD28" s="1" t="s">
        <v>74</v>
      </c>
      <c r="AE28" s="1" t="s">
        <v>74</v>
      </c>
      <c r="AF28" s="1" t="s">
        <v>74</v>
      </c>
      <c r="AG28" s="1" t="s">
        <v>74</v>
      </c>
      <c r="AH28" s="1" t="s">
        <v>74</v>
      </c>
      <c r="AI28" s="1" t="s">
        <v>74</v>
      </c>
      <c r="AJ28" s="1" t="s">
        <v>74</v>
      </c>
      <c r="AK28" s="1" t="s">
        <v>74</v>
      </c>
      <c r="AL28" s="1" t="s">
        <v>74</v>
      </c>
      <c r="AM28" s="1" t="s">
        <v>74</v>
      </c>
      <c r="AN28" s="1" t="s">
        <v>74</v>
      </c>
      <c r="AO28" s="1" t="s">
        <v>406</v>
      </c>
      <c r="AP28" s="1" t="s">
        <v>407</v>
      </c>
      <c r="AQ28" s="1" t="s">
        <v>74</v>
      </c>
      <c r="AR28" s="1" t="s">
        <v>74</v>
      </c>
      <c r="AS28" s="1" t="s">
        <v>74</v>
      </c>
      <c r="AT28" s="1" t="s">
        <v>408</v>
      </c>
      <c r="AU28" s="1">
        <v>2010.0</v>
      </c>
      <c r="AV28" s="1">
        <v>66.0</v>
      </c>
      <c r="AW28" s="1" t="s">
        <v>409</v>
      </c>
      <c r="AX28" s="1" t="s">
        <v>74</v>
      </c>
      <c r="AY28" s="1" t="s">
        <v>74</v>
      </c>
      <c r="AZ28" s="1" t="s">
        <v>74</v>
      </c>
      <c r="BA28" s="1" t="s">
        <v>74</v>
      </c>
      <c r="BB28" s="1">
        <v>289.0</v>
      </c>
      <c r="BC28" s="1">
        <v>293.0</v>
      </c>
      <c r="BD28" s="1" t="s">
        <v>74</v>
      </c>
      <c r="BE28" s="1" t="s">
        <v>410</v>
      </c>
      <c r="BF28" s="2" t="str">
        <f>HYPERLINK("http://dx.doi.org/10.1140/epjc/s10052-009-1226-5","http://dx.doi.org/10.1140/epjc/s10052-009-1226-5")</f>
        <v>http://dx.doi.org/10.1140/epjc/s10052-009-1226-5</v>
      </c>
      <c r="BG28" s="1" t="s">
        <v>74</v>
      </c>
      <c r="BH28" s="1" t="s">
        <v>74</v>
      </c>
      <c r="BI28" s="1" t="s">
        <v>74</v>
      </c>
      <c r="BJ28" s="1" t="s">
        <v>74</v>
      </c>
      <c r="BK28" s="1" t="s">
        <v>74</v>
      </c>
      <c r="BL28" s="1" t="s">
        <v>74</v>
      </c>
      <c r="BM28" s="1" t="s">
        <v>74</v>
      </c>
      <c r="BN28" s="1" t="s">
        <v>74</v>
      </c>
      <c r="BO28" s="1" t="s">
        <v>74</v>
      </c>
      <c r="BP28" s="1" t="s">
        <v>74</v>
      </c>
      <c r="BQ28" s="1" t="s">
        <v>74</v>
      </c>
      <c r="BR28" s="1" t="s">
        <v>74</v>
      </c>
      <c r="BS28" s="1" t="s">
        <v>411</v>
      </c>
      <c r="BT28" s="1" t="str">
        <f>HYPERLINK("https%3A%2F%2Fwww.webofscience.com%2Fwos%2Fwoscc%2Ffull-record%2FWOS:000275453500019","View Full Record in Web of Science")</f>
        <v>View Full Record in Web of Science</v>
      </c>
    </row>
    <row r="29" ht="12.75" customHeight="1">
      <c r="A29" s="1" t="s">
        <v>72</v>
      </c>
      <c r="B29" s="1" t="s">
        <v>412</v>
      </c>
      <c r="C29" s="1" t="s">
        <v>74</v>
      </c>
      <c r="D29" s="1" t="s">
        <v>74</v>
      </c>
      <c r="E29" s="1" t="s">
        <v>74</v>
      </c>
      <c r="F29" s="1" t="s">
        <v>413</v>
      </c>
      <c r="G29" s="1" t="s">
        <v>74</v>
      </c>
      <c r="H29" s="1" t="s">
        <v>74</v>
      </c>
      <c r="I29" s="1" t="s">
        <v>414</v>
      </c>
      <c r="J29" s="1" t="s">
        <v>415</v>
      </c>
      <c r="K29" s="1" t="s">
        <v>74</v>
      </c>
      <c r="L29" s="1" t="s">
        <v>74</v>
      </c>
      <c r="M29" s="1" t="s">
        <v>74</v>
      </c>
      <c r="N29" s="1" t="s">
        <v>74</v>
      </c>
      <c r="O29" s="1" t="s">
        <v>74</v>
      </c>
      <c r="P29" s="1" t="s">
        <v>74</v>
      </c>
      <c r="Q29" s="1" t="s">
        <v>74</v>
      </c>
      <c r="R29" s="1" t="s">
        <v>74</v>
      </c>
      <c r="S29" s="1" t="s">
        <v>74</v>
      </c>
      <c r="T29" s="1" t="s">
        <v>74</v>
      </c>
      <c r="U29" s="1" t="s">
        <v>74</v>
      </c>
      <c r="V29" s="1" t="s">
        <v>416</v>
      </c>
      <c r="W29" s="1" t="s">
        <v>74</v>
      </c>
      <c r="X29" s="1" t="s">
        <v>74</v>
      </c>
      <c r="Y29" s="1" t="s">
        <v>74</v>
      </c>
      <c r="Z29" s="1" t="s">
        <v>74</v>
      </c>
      <c r="AA29" s="1" t="s">
        <v>74</v>
      </c>
      <c r="AB29" s="1" t="s">
        <v>74</v>
      </c>
      <c r="AC29" s="1" t="s">
        <v>74</v>
      </c>
      <c r="AD29" s="1" t="s">
        <v>74</v>
      </c>
      <c r="AE29" s="1" t="s">
        <v>74</v>
      </c>
      <c r="AF29" s="1" t="s">
        <v>74</v>
      </c>
      <c r="AG29" s="1" t="s">
        <v>74</v>
      </c>
      <c r="AH29" s="1" t="s">
        <v>74</v>
      </c>
      <c r="AI29" s="1" t="s">
        <v>74</v>
      </c>
      <c r="AJ29" s="1" t="s">
        <v>74</v>
      </c>
      <c r="AK29" s="1" t="s">
        <v>74</v>
      </c>
      <c r="AL29" s="1" t="s">
        <v>74</v>
      </c>
      <c r="AM29" s="1" t="s">
        <v>74</v>
      </c>
      <c r="AN29" s="1" t="s">
        <v>74</v>
      </c>
      <c r="AO29" s="1" t="s">
        <v>417</v>
      </c>
      <c r="AP29" s="1" t="s">
        <v>74</v>
      </c>
      <c r="AQ29" s="1" t="s">
        <v>74</v>
      </c>
      <c r="AR29" s="1" t="s">
        <v>74</v>
      </c>
      <c r="AS29" s="1" t="s">
        <v>74</v>
      </c>
      <c r="AT29" s="1" t="s">
        <v>418</v>
      </c>
      <c r="AU29" s="1">
        <v>2009.0</v>
      </c>
      <c r="AV29" s="1" t="s">
        <v>74</v>
      </c>
      <c r="AW29" s="1">
        <v>39.0</v>
      </c>
      <c r="AX29" s="1" t="s">
        <v>74</v>
      </c>
      <c r="AY29" s="1" t="s">
        <v>74</v>
      </c>
      <c r="AZ29" s="1" t="s">
        <v>74</v>
      </c>
      <c r="BA29" s="1" t="s">
        <v>74</v>
      </c>
      <c r="BB29" s="1">
        <v>108.0</v>
      </c>
      <c r="BC29" s="1">
        <v>129.0</v>
      </c>
      <c r="BD29" s="1" t="s">
        <v>74</v>
      </c>
      <c r="BE29" s="1" t="s">
        <v>419</v>
      </c>
      <c r="BF29" s="2" t="str">
        <f>HYPERLINK("http://dx.doi.org/10.7440/histcrit39.2009.07","http://dx.doi.org/10.7440/histcrit39.2009.07")</f>
        <v>http://dx.doi.org/10.7440/histcrit39.2009.07</v>
      </c>
      <c r="BG29" s="1" t="s">
        <v>74</v>
      </c>
      <c r="BH29" s="1" t="s">
        <v>74</v>
      </c>
      <c r="BI29" s="1" t="s">
        <v>74</v>
      </c>
      <c r="BJ29" s="1" t="s">
        <v>74</v>
      </c>
      <c r="BK29" s="1" t="s">
        <v>74</v>
      </c>
      <c r="BL29" s="1" t="s">
        <v>74</v>
      </c>
      <c r="BM29" s="1" t="s">
        <v>74</v>
      </c>
      <c r="BN29" s="1" t="s">
        <v>74</v>
      </c>
      <c r="BO29" s="1" t="s">
        <v>74</v>
      </c>
      <c r="BP29" s="1" t="s">
        <v>74</v>
      </c>
      <c r="BQ29" s="1" t="s">
        <v>74</v>
      </c>
      <c r="BR29" s="1" t="s">
        <v>74</v>
      </c>
      <c r="BS29" s="1" t="s">
        <v>420</v>
      </c>
      <c r="BT29" s="1" t="str">
        <f>HYPERLINK("https%3A%2F%2Fwww.webofscience.com%2Fwos%2Fwoscc%2Ffull-record%2FWOS:000271929600007","View Full Record in Web of Science")</f>
        <v>View Full Record in Web of Science</v>
      </c>
    </row>
    <row r="30" ht="12.75" customHeight="1">
      <c r="A30" s="1" t="s">
        <v>207</v>
      </c>
      <c r="B30" s="1" t="s">
        <v>421</v>
      </c>
      <c r="C30" s="1" t="s">
        <v>74</v>
      </c>
      <c r="D30" s="1" t="s">
        <v>422</v>
      </c>
      <c r="E30" s="1" t="s">
        <v>74</v>
      </c>
      <c r="F30" s="1" t="s">
        <v>423</v>
      </c>
      <c r="G30" s="1" t="s">
        <v>74</v>
      </c>
      <c r="H30" s="1" t="s">
        <v>74</v>
      </c>
      <c r="I30" s="1" t="s">
        <v>424</v>
      </c>
      <c r="J30" s="1" t="s">
        <v>425</v>
      </c>
      <c r="K30" s="1" t="s">
        <v>426</v>
      </c>
      <c r="L30" s="1" t="s">
        <v>74</v>
      </c>
      <c r="M30" s="1" t="s">
        <v>74</v>
      </c>
      <c r="N30" s="1" t="s">
        <v>74</v>
      </c>
      <c r="O30" s="1" t="s">
        <v>427</v>
      </c>
      <c r="P30" s="1" t="s">
        <v>428</v>
      </c>
      <c r="Q30" s="1" t="s">
        <v>429</v>
      </c>
      <c r="R30" s="1" t="s">
        <v>430</v>
      </c>
      <c r="S30" s="1" t="s">
        <v>74</v>
      </c>
      <c r="T30" s="1" t="s">
        <v>74</v>
      </c>
      <c r="U30" s="1" t="s">
        <v>74</v>
      </c>
      <c r="V30" s="1" t="s">
        <v>431</v>
      </c>
      <c r="W30" s="1" t="s">
        <v>74</v>
      </c>
      <c r="X30" s="1" t="s">
        <v>74</v>
      </c>
      <c r="Y30" s="1" t="s">
        <v>74</v>
      </c>
      <c r="Z30" s="1" t="s">
        <v>74</v>
      </c>
      <c r="AA30" s="1" t="s">
        <v>432</v>
      </c>
      <c r="AB30" s="1" t="s">
        <v>433</v>
      </c>
      <c r="AC30" s="1" t="s">
        <v>74</v>
      </c>
      <c r="AD30" s="1" t="s">
        <v>74</v>
      </c>
      <c r="AE30" s="1" t="s">
        <v>74</v>
      </c>
      <c r="AF30" s="1" t="s">
        <v>74</v>
      </c>
      <c r="AG30" s="1" t="s">
        <v>74</v>
      </c>
      <c r="AH30" s="1" t="s">
        <v>74</v>
      </c>
      <c r="AI30" s="1" t="s">
        <v>74</v>
      </c>
      <c r="AJ30" s="1" t="s">
        <v>74</v>
      </c>
      <c r="AK30" s="1" t="s">
        <v>74</v>
      </c>
      <c r="AL30" s="1" t="s">
        <v>74</v>
      </c>
      <c r="AM30" s="1" t="s">
        <v>74</v>
      </c>
      <c r="AN30" s="1" t="s">
        <v>74</v>
      </c>
      <c r="AO30" s="1" t="s">
        <v>434</v>
      </c>
      <c r="AP30" s="1" t="s">
        <v>435</v>
      </c>
      <c r="AQ30" s="1" t="s">
        <v>74</v>
      </c>
      <c r="AR30" s="1" t="s">
        <v>74</v>
      </c>
      <c r="AS30" s="1" t="s">
        <v>74</v>
      </c>
      <c r="AT30" s="1" t="s">
        <v>74</v>
      </c>
      <c r="AU30" s="1">
        <v>2007.0</v>
      </c>
      <c r="AV30" s="1">
        <v>84.0</v>
      </c>
      <c r="AW30" s="1" t="s">
        <v>74</v>
      </c>
      <c r="AX30" s="1" t="s">
        <v>74</v>
      </c>
      <c r="AY30" s="1" t="s">
        <v>74</v>
      </c>
      <c r="AZ30" s="1" t="s">
        <v>74</v>
      </c>
      <c r="BA30" s="1" t="s">
        <v>74</v>
      </c>
      <c r="BB30" s="1" t="s">
        <v>74</v>
      </c>
      <c r="BC30" s="1" t="s">
        <v>74</v>
      </c>
      <c r="BD30" s="1">
        <v>12011.0</v>
      </c>
      <c r="BE30" s="1" t="s">
        <v>436</v>
      </c>
      <c r="BF30" s="2" t="str">
        <f>HYPERLINK("http://dx.doi.org/10.1088/1742-6596/84/1/012011","http://dx.doi.org/10.1088/1742-6596/84/1/012011")</f>
        <v>http://dx.doi.org/10.1088/1742-6596/84/1/012011</v>
      </c>
      <c r="BG30" s="1" t="s">
        <v>74</v>
      </c>
      <c r="BH30" s="1" t="s">
        <v>74</v>
      </c>
      <c r="BI30" s="1" t="s">
        <v>74</v>
      </c>
      <c r="BJ30" s="1" t="s">
        <v>74</v>
      </c>
      <c r="BK30" s="1" t="s">
        <v>74</v>
      </c>
      <c r="BL30" s="1" t="s">
        <v>74</v>
      </c>
      <c r="BM30" s="1" t="s">
        <v>74</v>
      </c>
      <c r="BN30" s="1" t="s">
        <v>74</v>
      </c>
      <c r="BO30" s="1" t="s">
        <v>74</v>
      </c>
      <c r="BP30" s="1" t="s">
        <v>74</v>
      </c>
      <c r="BQ30" s="1" t="s">
        <v>74</v>
      </c>
      <c r="BR30" s="1" t="s">
        <v>74</v>
      </c>
      <c r="BS30" s="1" t="s">
        <v>437</v>
      </c>
      <c r="BT30" s="1" t="str">
        <f>HYPERLINK("https%3A%2F%2Fwww.webofscience.com%2Fwos%2Fwoscc%2Ffull-record%2FWOS:000295087600011","View Full Record in Web of Science")</f>
        <v>View Full Record in Web of Science</v>
      </c>
    </row>
    <row r="31" ht="12.75" customHeight="1">
      <c r="A31" s="1" t="s">
        <v>72</v>
      </c>
      <c r="B31" s="1" t="s">
        <v>438</v>
      </c>
      <c r="C31" s="1" t="s">
        <v>74</v>
      </c>
      <c r="D31" s="1" t="s">
        <v>74</v>
      </c>
      <c r="E31" s="1" t="s">
        <v>74</v>
      </c>
      <c r="F31" s="1" t="s">
        <v>438</v>
      </c>
      <c r="G31" s="1" t="s">
        <v>74</v>
      </c>
      <c r="H31" s="1" t="s">
        <v>74</v>
      </c>
      <c r="I31" s="1" t="s">
        <v>439</v>
      </c>
      <c r="J31" s="1" t="s">
        <v>440</v>
      </c>
      <c r="K31" s="1" t="s">
        <v>74</v>
      </c>
      <c r="L31" s="1" t="s">
        <v>74</v>
      </c>
      <c r="M31" s="1" t="s">
        <v>74</v>
      </c>
      <c r="N31" s="1" t="s">
        <v>74</v>
      </c>
      <c r="O31" s="1" t="s">
        <v>74</v>
      </c>
      <c r="P31" s="1" t="s">
        <v>74</v>
      </c>
      <c r="Q31" s="1" t="s">
        <v>74</v>
      </c>
      <c r="R31" s="1" t="s">
        <v>74</v>
      </c>
      <c r="S31" s="1" t="s">
        <v>74</v>
      </c>
      <c r="T31" s="1" t="s">
        <v>74</v>
      </c>
      <c r="U31" s="1" t="s">
        <v>74</v>
      </c>
      <c r="V31" s="1" t="s">
        <v>441</v>
      </c>
      <c r="W31" s="1" t="s">
        <v>74</v>
      </c>
      <c r="X31" s="1" t="s">
        <v>74</v>
      </c>
      <c r="Y31" s="1" t="s">
        <v>74</v>
      </c>
      <c r="Z31" s="1" t="s">
        <v>74</v>
      </c>
      <c r="AA31" s="1" t="s">
        <v>74</v>
      </c>
      <c r="AB31" s="1" t="s">
        <v>74</v>
      </c>
      <c r="AC31" s="1" t="s">
        <v>74</v>
      </c>
      <c r="AD31" s="1" t="s">
        <v>74</v>
      </c>
      <c r="AE31" s="1" t="s">
        <v>74</v>
      </c>
      <c r="AF31" s="1" t="s">
        <v>74</v>
      </c>
      <c r="AG31" s="1" t="s">
        <v>74</v>
      </c>
      <c r="AH31" s="1" t="s">
        <v>74</v>
      </c>
      <c r="AI31" s="1" t="s">
        <v>74</v>
      </c>
      <c r="AJ31" s="1" t="s">
        <v>74</v>
      </c>
      <c r="AK31" s="1" t="s">
        <v>74</v>
      </c>
      <c r="AL31" s="1" t="s">
        <v>74</v>
      </c>
      <c r="AM31" s="1" t="s">
        <v>74</v>
      </c>
      <c r="AN31" s="1" t="s">
        <v>74</v>
      </c>
      <c r="AO31" s="1" t="s">
        <v>442</v>
      </c>
      <c r="AP31" s="1" t="s">
        <v>74</v>
      </c>
      <c r="AQ31" s="1" t="s">
        <v>74</v>
      </c>
      <c r="AR31" s="1" t="s">
        <v>74</v>
      </c>
      <c r="AS31" s="1" t="s">
        <v>74</v>
      </c>
      <c r="AT31" s="1" t="s">
        <v>164</v>
      </c>
      <c r="AU31" s="1">
        <v>2003.0</v>
      </c>
      <c r="AV31" s="1">
        <v>17.0</v>
      </c>
      <c r="AW31" s="1">
        <v>6.0</v>
      </c>
      <c r="AX31" s="1" t="s">
        <v>74</v>
      </c>
      <c r="AY31" s="1" t="s">
        <v>74</v>
      </c>
      <c r="AZ31" s="1" t="s">
        <v>74</v>
      </c>
      <c r="BA31" s="1" t="s">
        <v>74</v>
      </c>
      <c r="BB31" s="1">
        <v>403.0</v>
      </c>
      <c r="BC31" s="1">
        <v>407.0</v>
      </c>
      <c r="BD31" s="1" t="s">
        <v>74</v>
      </c>
      <c r="BE31" s="1" t="s">
        <v>443</v>
      </c>
      <c r="BF31" s="2" t="str">
        <f>HYPERLINK("http://dx.doi.org/10.1080/14786410310001617668","http://dx.doi.org/10.1080/14786410310001617668")</f>
        <v>http://dx.doi.org/10.1080/14786410310001617668</v>
      </c>
      <c r="BG31" s="1" t="s">
        <v>74</v>
      </c>
      <c r="BH31" s="1" t="s">
        <v>74</v>
      </c>
      <c r="BI31" s="1" t="s">
        <v>74</v>
      </c>
      <c r="BJ31" s="1" t="s">
        <v>74</v>
      </c>
      <c r="BK31" s="1" t="s">
        <v>74</v>
      </c>
      <c r="BL31" s="1" t="s">
        <v>74</v>
      </c>
      <c r="BM31" s="1" t="s">
        <v>74</v>
      </c>
      <c r="BN31" s="1">
        <v>1.4577689E7</v>
      </c>
      <c r="BO31" s="1" t="s">
        <v>74</v>
      </c>
      <c r="BP31" s="1" t="s">
        <v>74</v>
      </c>
      <c r="BQ31" s="1" t="s">
        <v>74</v>
      </c>
      <c r="BR31" s="1" t="s">
        <v>74</v>
      </c>
      <c r="BS31" s="1" t="s">
        <v>444</v>
      </c>
      <c r="BT31" s="1" t="str">
        <f>HYPERLINK("https%3A%2F%2Fwww.webofscience.com%2Fwos%2Fwoscc%2Ffull-record%2FWOS:000186616500004","View Full Record in Web of Science")</f>
        <v>View Full Record in Web of Science</v>
      </c>
    </row>
    <row r="32" ht="12.75" customHeight="1">
      <c r="A32" s="1" t="s">
        <v>72</v>
      </c>
      <c r="B32" s="1" t="s">
        <v>445</v>
      </c>
      <c r="C32" s="1" t="s">
        <v>74</v>
      </c>
      <c r="D32" s="1" t="s">
        <v>74</v>
      </c>
      <c r="E32" s="1" t="s">
        <v>74</v>
      </c>
      <c r="F32" s="1" t="s">
        <v>445</v>
      </c>
      <c r="G32" s="1" t="s">
        <v>74</v>
      </c>
      <c r="H32" s="1" t="s">
        <v>74</v>
      </c>
      <c r="I32" s="1" t="s">
        <v>446</v>
      </c>
      <c r="J32" s="1" t="s">
        <v>447</v>
      </c>
      <c r="K32" s="1" t="s">
        <v>74</v>
      </c>
      <c r="L32" s="1" t="s">
        <v>74</v>
      </c>
      <c r="M32" s="1" t="s">
        <v>74</v>
      </c>
      <c r="N32" s="1" t="s">
        <v>74</v>
      </c>
      <c r="O32" s="1" t="s">
        <v>74</v>
      </c>
      <c r="P32" s="1" t="s">
        <v>74</v>
      </c>
      <c r="Q32" s="1" t="s">
        <v>74</v>
      </c>
      <c r="R32" s="1" t="s">
        <v>74</v>
      </c>
      <c r="S32" s="1" t="s">
        <v>74</v>
      </c>
      <c r="T32" s="1" t="s">
        <v>74</v>
      </c>
      <c r="U32" s="1" t="s">
        <v>74</v>
      </c>
      <c r="V32" s="1" t="s">
        <v>448</v>
      </c>
      <c r="W32" s="1" t="s">
        <v>74</v>
      </c>
      <c r="X32" s="1" t="s">
        <v>74</v>
      </c>
      <c r="Y32" s="1" t="s">
        <v>74</v>
      </c>
      <c r="Z32" s="1" t="s">
        <v>74</v>
      </c>
      <c r="AA32" s="1" t="s">
        <v>449</v>
      </c>
      <c r="AB32" s="1" t="s">
        <v>450</v>
      </c>
      <c r="AC32" s="1" t="s">
        <v>74</v>
      </c>
      <c r="AD32" s="1" t="s">
        <v>74</v>
      </c>
      <c r="AE32" s="1" t="s">
        <v>74</v>
      </c>
      <c r="AF32" s="1" t="s">
        <v>74</v>
      </c>
      <c r="AG32" s="1" t="s">
        <v>74</v>
      </c>
      <c r="AH32" s="1" t="s">
        <v>74</v>
      </c>
      <c r="AI32" s="1" t="s">
        <v>74</v>
      </c>
      <c r="AJ32" s="1" t="s">
        <v>74</v>
      </c>
      <c r="AK32" s="1" t="s">
        <v>74</v>
      </c>
      <c r="AL32" s="1" t="s">
        <v>74</v>
      </c>
      <c r="AM32" s="1" t="s">
        <v>74</v>
      </c>
      <c r="AN32" s="1" t="s">
        <v>74</v>
      </c>
      <c r="AO32" s="1" t="s">
        <v>451</v>
      </c>
      <c r="AP32" s="1" t="s">
        <v>74</v>
      </c>
      <c r="AQ32" s="1" t="s">
        <v>74</v>
      </c>
      <c r="AR32" s="1" t="s">
        <v>74</v>
      </c>
      <c r="AS32" s="1" t="s">
        <v>74</v>
      </c>
      <c r="AT32" s="1" t="s">
        <v>452</v>
      </c>
      <c r="AU32" s="1">
        <v>2003.0</v>
      </c>
      <c r="AV32" s="1">
        <v>37.0</v>
      </c>
      <c r="AW32" s="1">
        <v>8.0</v>
      </c>
      <c r="AX32" s="1" t="s">
        <v>74</v>
      </c>
      <c r="AY32" s="1" t="s">
        <v>74</v>
      </c>
      <c r="AZ32" s="1" t="s">
        <v>74</v>
      </c>
      <c r="BA32" s="1" t="s">
        <v>74</v>
      </c>
      <c r="BB32" s="1">
        <v>739.0</v>
      </c>
      <c r="BC32" s="1">
        <v>743.0</v>
      </c>
      <c r="BD32" s="1" t="s">
        <v>74</v>
      </c>
      <c r="BE32" s="1" t="s">
        <v>453</v>
      </c>
      <c r="BF32" s="2" t="str">
        <f>HYPERLINK("http://dx.doi.org/10.33588/rn.3708.2003422","http://dx.doi.org/10.33588/rn.3708.2003422")</f>
        <v>http://dx.doi.org/10.33588/rn.3708.2003422</v>
      </c>
      <c r="BG32" s="1" t="s">
        <v>74</v>
      </c>
      <c r="BH32" s="1" t="s">
        <v>74</v>
      </c>
      <c r="BI32" s="1" t="s">
        <v>74</v>
      </c>
      <c r="BJ32" s="1" t="s">
        <v>74</v>
      </c>
      <c r="BK32" s="1" t="s">
        <v>74</v>
      </c>
      <c r="BL32" s="1" t="s">
        <v>74</v>
      </c>
      <c r="BM32" s="1" t="s">
        <v>74</v>
      </c>
      <c r="BN32" s="1">
        <v>1.4593633E7</v>
      </c>
      <c r="BO32" s="1" t="s">
        <v>74</v>
      </c>
      <c r="BP32" s="1" t="s">
        <v>74</v>
      </c>
      <c r="BQ32" s="1" t="s">
        <v>74</v>
      </c>
      <c r="BR32" s="1" t="s">
        <v>74</v>
      </c>
      <c r="BS32" s="1" t="s">
        <v>454</v>
      </c>
      <c r="BT32" s="1" t="str">
        <f>HYPERLINK("https%3A%2F%2Fwww.webofscience.com%2Fwos%2Fwoscc%2Ffull-record%2FWOS:000186348400010","View Full Record in Web of Science")</f>
        <v>View Full Record in Web of Science</v>
      </c>
    </row>
    <row r="33" ht="12.75" customHeight="1">
      <c r="A33" s="1" t="s">
        <v>72</v>
      </c>
      <c r="B33" s="1" t="s">
        <v>455</v>
      </c>
      <c r="C33" s="1" t="s">
        <v>74</v>
      </c>
      <c r="D33" s="1" t="s">
        <v>74</v>
      </c>
      <c r="E33" s="1" t="s">
        <v>74</v>
      </c>
      <c r="F33" s="1" t="s">
        <v>455</v>
      </c>
      <c r="G33" s="1" t="s">
        <v>74</v>
      </c>
      <c r="H33" s="1" t="s">
        <v>74</v>
      </c>
      <c r="I33" s="1" t="s">
        <v>456</v>
      </c>
      <c r="J33" s="1" t="s">
        <v>457</v>
      </c>
      <c r="K33" s="1" t="s">
        <v>74</v>
      </c>
      <c r="L33" s="1" t="s">
        <v>74</v>
      </c>
      <c r="M33" s="1" t="s">
        <v>74</v>
      </c>
      <c r="N33" s="1" t="s">
        <v>74</v>
      </c>
      <c r="O33" s="1" t="s">
        <v>74</v>
      </c>
      <c r="P33" s="1" t="s">
        <v>74</v>
      </c>
      <c r="Q33" s="1" t="s">
        <v>74</v>
      </c>
      <c r="R33" s="1" t="s">
        <v>74</v>
      </c>
      <c r="S33" s="1" t="s">
        <v>74</v>
      </c>
      <c r="T33" s="1" t="s">
        <v>74</v>
      </c>
      <c r="U33" s="1" t="s">
        <v>74</v>
      </c>
      <c r="V33" s="1" t="s">
        <v>74</v>
      </c>
      <c r="W33" s="1" t="s">
        <v>74</v>
      </c>
      <c r="X33" s="1" t="s">
        <v>74</v>
      </c>
      <c r="Y33" s="1" t="s">
        <v>74</v>
      </c>
      <c r="Z33" s="1" t="s">
        <v>74</v>
      </c>
      <c r="AA33" s="1" t="s">
        <v>74</v>
      </c>
      <c r="AB33" s="1" t="s">
        <v>74</v>
      </c>
      <c r="AC33" s="1" t="s">
        <v>74</v>
      </c>
      <c r="AD33" s="1" t="s">
        <v>74</v>
      </c>
      <c r="AE33" s="1" t="s">
        <v>74</v>
      </c>
      <c r="AF33" s="1" t="s">
        <v>74</v>
      </c>
      <c r="AG33" s="1" t="s">
        <v>74</v>
      </c>
      <c r="AH33" s="1" t="s">
        <v>74</v>
      </c>
      <c r="AI33" s="1" t="s">
        <v>74</v>
      </c>
      <c r="AJ33" s="1" t="s">
        <v>74</v>
      </c>
      <c r="AK33" s="1" t="s">
        <v>74</v>
      </c>
      <c r="AL33" s="1" t="s">
        <v>74</v>
      </c>
      <c r="AM33" s="1" t="s">
        <v>74</v>
      </c>
      <c r="AN33" s="1" t="s">
        <v>74</v>
      </c>
      <c r="AO33" s="1" t="s">
        <v>458</v>
      </c>
      <c r="AP33" s="1" t="s">
        <v>74</v>
      </c>
      <c r="AQ33" s="1" t="s">
        <v>74</v>
      </c>
      <c r="AR33" s="1" t="s">
        <v>74</v>
      </c>
      <c r="AS33" s="1" t="s">
        <v>74</v>
      </c>
      <c r="AT33" s="1" t="s">
        <v>374</v>
      </c>
      <c r="AU33" s="1">
        <v>2000.0</v>
      </c>
      <c r="AV33" s="1">
        <v>28.0</v>
      </c>
      <c r="AW33" s="1">
        <v>9.0</v>
      </c>
      <c r="AX33" s="1" t="s">
        <v>74</v>
      </c>
      <c r="AY33" s="1" t="s">
        <v>74</v>
      </c>
      <c r="AZ33" s="1" t="s">
        <v>74</v>
      </c>
      <c r="BA33" s="1" t="s">
        <v>74</v>
      </c>
      <c r="BB33" s="1">
        <v>911.0</v>
      </c>
      <c r="BC33" s="1">
        <v>913.0</v>
      </c>
      <c r="BD33" s="1" t="s">
        <v>74</v>
      </c>
      <c r="BE33" s="1" t="s">
        <v>459</v>
      </c>
      <c r="BF33" s="2" t="str">
        <f>HYPERLINK("http://dx.doi.org/10.1016/S0305-1978(00)00010-7","http://dx.doi.org/10.1016/S0305-1978(00)00010-7")</f>
        <v>http://dx.doi.org/10.1016/S0305-1978(00)00010-7</v>
      </c>
      <c r="BG33" s="1" t="s">
        <v>74</v>
      </c>
      <c r="BH33" s="1" t="s">
        <v>74</v>
      </c>
      <c r="BI33" s="1" t="s">
        <v>74</v>
      </c>
      <c r="BJ33" s="1" t="s">
        <v>74</v>
      </c>
      <c r="BK33" s="1" t="s">
        <v>74</v>
      </c>
      <c r="BL33" s="1" t="s">
        <v>74</v>
      </c>
      <c r="BM33" s="1" t="s">
        <v>74</v>
      </c>
      <c r="BN33" s="1">
        <v>1.0913854E7</v>
      </c>
      <c r="BO33" s="1" t="s">
        <v>74</v>
      </c>
      <c r="BP33" s="1" t="s">
        <v>74</v>
      </c>
      <c r="BQ33" s="1" t="s">
        <v>74</v>
      </c>
      <c r="BR33" s="1" t="s">
        <v>74</v>
      </c>
      <c r="BS33" s="1" t="s">
        <v>460</v>
      </c>
      <c r="BT33" s="1" t="str">
        <f>HYPERLINK("https%3A%2F%2Fwww.webofscience.com%2Fwos%2Fwoscc%2Ffull-record%2FWOS:000089170000012","View Full Record in Web of Science")</f>
        <v>View Full Record in Web of Science</v>
      </c>
    </row>
    <row r="34" ht="12.75" customHeight="1">
      <c r="A34" s="1" t="s">
        <v>72</v>
      </c>
      <c r="B34" s="1" t="s">
        <v>461</v>
      </c>
      <c r="C34" s="1" t="s">
        <v>74</v>
      </c>
      <c r="D34" s="1" t="s">
        <v>74</v>
      </c>
      <c r="E34" s="1" t="s">
        <v>74</v>
      </c>
      <c r="F34" s="1" t="s">
        <v>461</v>
      </c>
      <c r="G34" s="1" t="s">
        <v>74</v>
      </c>
      <c r="H34" s="1" t="s">
        <v>74</v>
      </c>
      <c r="I34" s="1" t="s">
        <v>462</v>
      </c>
      <c r="J34" s="1" t="s">
        <v>463</v>
      </c>
      <c r="K34" s="1" t="s">
        <v>74</v>
      </c>
      <c r="L34" s="1" t="s">
        <v>74</v>
      </c>
      <c r="M34" s="1" t="s">
        <v>74</v>
      </c>
      <c r="N34" s="1" t="s">
        <v>74</v>
      </c>
      <c r="O34" s="1" t="s">
        <v>74</v>
      </c>
      <c r="P34" s="1" t="s">
        <v>74</v>
      </c>
      <c r="Q34" s="1" t="s">
        <v>74</v>
      </c>
      <c r="R34" s="1" t="s">
        <v>74</v>
      </c>
      <c r="S34" s="1" t="s">
        <v>74</v>
      </c>
      <c r="T34" s="1" t="s">
        <v>74</v>
      </c>
      <c r="U34" s="1" t="s">
        <v>74</v>
      </c>
      <c r="V34" s="1" t="s">
        <v>74</v>
      </c>
      <c r="W34" s="1" t="s">
        <v>74</v>
      </c>
      <c r="X34" s="1" t="s">
        <v>74</v>
      </c>
      <c r="Y34" s="1" t="s">
        <v>74</v>
      </c>
      <c r="Z34" s="1" t="s">
        <v>74</v>
      </c>
      <c r="AA34" s="1" t="s">
        <v>464</v>
      </c>
      <c r="AB34" s="1" t="s">
        <v>74</v>
      </c>
      <c r="AC34" s="1" t="s">
        <v>74</v>
      </c>
      <c r="AD34" s="1" t="s">
        <v>74</v>
      </c>
      <c r="AE34" s="1" t="s">
        <v>74</v>
      </c>
      <c r="AF34" s="1" t="s">
        <v>74</v>
      </c>
      <c r="AG34" s="1" t="s">
        <v>74</v>
      </c>
      <c r="AH34" s="1" t="s">
        <v>74</v>
      </c>
      <c r="AI34" s="1" t="s">
        <v>74</v>
      </c>
      <c r="AJ34" s="1" t="s">
        <v>74</v>
      </c>
      <c r="AK34" s="1" t="s">
        <v>74</v>
      </c>
      <c r="AL34" s="1" t="s">
        <v>74</v>
      </c>
      <c r="AM34" s="1" t="s">
        <v>74</v>
      </c>
      <c r="AN34" s="1" t="s">
        <v>74</v>
      </c>
      <c r="AO34" s="1" t="s">
        <v>465</v>
      </c>
      <c r="AP34" s="1" t="s">
        <v>74</v>
      </c>
      <c r="AQ34" s="1" t="s">
        <v>74</v>
      </c>
      <c r="AR34" s="1" t="s">
        <v>74</v>
      </c>
      <c r="AS34" s="1" t="s">
        <v>74</v>
      </c>
      <c r="AT34" s="1" t="s">
        <v>466</v>
      </c>
      <c r="AU34" s="1">
        <v>2000.0</v>
      </c>
      <c r="AV34" s="1">
        <v>220.0</v>
      </c>
      <c r="AW34" s="1" t="s">
        <v>74</v>
      </c>
      <c r="AX34" s="1">
        <v>1.0</v>
      </c>
      <c r="AY34" s="1" t="s">
        <v>74</v>
      </c>
      <c r="AZ34" s="1" t="s">
        <v>74</v>
      </c>
      <c r="BA34" s="1" t="s">
        <v>467</v>
      </c>
      <c r="BB34" s="1" t="s">
        <v>468</v>
      </c>
      <c r="BC34" s="1" t="s">
        <v>468</v>
      </c>
      <c r="BD34" s="1" t="s">
        <v>74</v>
      </c>
      <c r="BE34" s="1" t="s">
        <v>74</v>
      </c>
      <c r="BF34" s="1" t="s">
        <v>74</v>
      </c>
      <c r="BG34" s="1" t="s">
        <v>74</v>
      </c>
      <c r="BH34" s="1" t="s">
        <v>74</v>
      </c>
      <c r="BI34" s="1" t="s">
        <v>74</v>
      </c>
      <c r="BJ34" s="1" t="s">
        <v>74</v>
      </c>
      <c r="BK34" s="1" t="s">
        <v>74</v>
      </c>
      <c r="BL34" s="1" t="s">
        <v>74</v>
      </c>
      <c r="BM34" s="1" t="s">
        <v>74</v>
      </c>
      <c r="BN34" s="1" t="s">
        <v>74</v>
      </c>
      <c r="BO34" s="1" t="s">
        <v>74</v>
      </c>
      <c r="BP34" s="1" t="s">
        <v>74</v>
      </c>
      <c r="BQ34" s="1" t="s">
        <v>74</v>
      </c>
      <c r="BR34" s="1" t="s">
        <v>74</v>
      </c>
      <c r="BS34" s="1" t="s">
        <v>469</v>
      </c>
      <c r="BT34" s="1" t="str">
        <f>HYPERLINK("https%3A%2F%2Fwww.webofscience.com%2Fwos%2Fwoscc%2Ffull-record%2FWOS:000166091203020","View Full Record in Web of Science")</f>
        <v>View Full Record in Web of Science</v>
      </c>
    </row>
    <row r="35" ht="12.75" customHeight="1">
      <c r="A35" s="1" t="s">
        <v>72</v>
      </c>
      <c r="B35" s="1" t="s">
        <v>470</v>
      </c>
      <c r="C35" s="1" t="s">
        <v>74</v>
      </c>
      <c r="D35" s="1" t="s">
        <v>74</v>
      </c>
      <c r="E35" s="1" t="s">
        <v>74</v>
      </c>
      <c r="F35" s="1" t="s">
        <v>470</v>
      </c>
      <c r="G35" s="1" t="s">
        <v>74</v>
      </c>
      <c r="H35" s="1" t="s">
        <v>74</v>
      </c>
      <c r="I35" s="1" t="s">
        <v>471</v>
      </c>
      <c r="J35" s="1" t="s">
        <v>472</v>
      </c>
      <c r="K35" s="1" t="s">
        <v>74</v>
      </c>
      <c r="L35" s="1" t="s">
        <v>74</v>
      </c>
      <c r="M35" s="1" t="s">
        <v>74</v>
      </c>
      <c r="N35" s="1" t="s">
        <v>74</v>
      </c>
      <c r="O35" s="1" t="s">
        <v>74</v>
      </c>
      <c r="P35" s="1" t="s">
        <v>74</v>
      </c>
      <c r="Q35" s="1" t="s">
        <v>74</v>
      </c>
      <c r="R35" s="1" t="s">
        <v>74</v>
      </c>
      <c r="S35" s="1" t="s">
        <v>74</v>
      </c>
      <c r="T35" s="1" t="s">
        <v>74</v>
      </c>
      <c r="U35" s="1" t="s">
        <v>74</v>
      </c>
      <c r="V35" s="1" t="s">
        <v>473</v>
      </c>
      <c r="W35" s="1" t="s">
        <v>74</v>
      </c>
      <c r="X35" s="1" t="s">
        <v>74</v>
      </c>
      <c r="Y35" s="1" t="s">
        <v>74</v>
      </c>
      <c r="Z35" s="1" t="s">
        <v>74</v>
      </c>
      <c r="AA35" s="1" t="s">
        <v>74</v>
      </c>
      <c r="AB35" s="1" t="s">
        <v>74</v>
      </c>
      <c r="AC35" s="1" t="s">
        <v>74</v>
      </c>
      <c r="AD35" s="1" t="s">
        <v>74</v>
      </c>
      <c r="AE35" s="1" t="s">
        <v>74</v>
      </c>
      <c r="AF35" s="1" t="s">
        <v>74</v>
      </c>
      <c r="AG35" s="1" t="s">
        <v>74</v>
      </c>
      <c r="AH35" s="1" t="s">
        <v>74</v>
      </c>
      <c r="AI35" s="1" t="s">
        <v>74</v>
      </c>
      <c r="AJ35" s="1" t="s">
        <v>74</v>
      </c>
      <c r="AK35" s="1" t="s">
        <v>74</v>
      </c>
      <c r="AL35" s="1" t="s">
        <v>74</v>
      </c>
      <c r="AM35" s="1" t="s">
        <v>74</v>
      </c>
      <c r="AN35" s="1" t="s">
        <v>74</v>
      </c>
      <c r="AO35" s="1" t="s">
        <v>474</v>
      </c>
      <c r="AP35" s="1" t="s">
        <v>74</v>
      </c>
      <c r="AQ35" s="1" t="s">
        <v>74</v>
      </c>
      <c r="AR35" s="1" t="s">
        <v>74</v>
      </c>
      <c r="AS35" s="1" t="s">
        <v>74</v>
      </c>
      <c r="AT35" s="1" t="s">
        <v>282</v>
      </c>
      <c r="AU35" s="1">
        <v>2000.0</v>
      </c>
      <c r="AV35" s="1">
        <v>78.0</v>
      </c>
      <c r="AW35" s="1">
        <v>8.0</v>
      </c>
      <c r="AX35" s="1" t="s">
        <v>74</v>
      </c>
      <c r="AY35" s="1" t="s">
        <v>74</v>
      </c>
      <c r="AZ35" s="1" t="s">
        <v>74</v>
      </c>
      <c r="BA35" s="1" t="s">
        <v>74</v>
      </c>
      <c r="BB35" s="1">
        <v>1052.0</v>
      </c>
      <c r="BC35" s="1">
        <v>1059.0</v>
      </c>
      <c r="BD35" s="1" t="s">
        <v>74</v>
      </c>
      <c r="BE35" s="1" t="s">
        <v>475</v>
      </c>
      <c r="BF35" s="2" t="str">
        <f>HYPERLINK("http://dx.doi.org/10.1139/cjc-78-8-1052","http://dx.doi.org/10.1139/cjc-78-8-1052")</f>
        <v>http://dx.doi.org/10.1139/cjc-78-8-1052</v>
      </c>
      <c r="BG35" s="1" t="s">
        <v>74</v>
      </c>
      <c r="BH35" s="1" t="s">
        <v>74</v>
      </c>
      <c r="BI35" s="1" t="s">
        <v>74</v>
      </c>
      <c r="BJ35" s="1" t="s">
        <v>74</v>
      </c>
      <c r="BK35" s="1" t="s">
        <v>74</v>
      </c>
      <c r="BL35" s="1" t="s">
        <v>74</v>
      </c>
      <c r="BM35" s="1" t="s">
        <v>74</v>
      </c>
      <c r="BN35" s="1" t="s">
        <v>74</v>
      </c>
      <c r="BO35" s="1" t="s">
        <v>74</v>
      </c>
      <c r="BP35" s="1" t="s">
        <v>74</v>
      </c>
      <c r="BQ35" s="1" t="s">
        <v>74</v>
      </c>
      <c r="BR35" s="1" t="s">
        <v>74</v>
      </c>
      <c r="BS35" s="1" t="s">
        <v>476</v>
      </c>
      <c r="BT35" s="1" t="str">
        <f>HYPERLINK("https%3A%2F%2Fwww.webofscience.com%2Fwos%2Fwoscc%2Ffull-record%2FWOS:000088879200002","View Full Record in Web of Science")</f>
        <v>View Full Record in Web of Science</v>
      </c>
    </row>
    <row r="36" ht="12.75" customHeight="1">
      <c r="A36" s="1" t="s">
        <v>72</v>
      </c>
      <c r="B36" s="1" t="s">
        <v>477</v>
      </c>
      <c r="C36" s="1" t="s">
        <v>74</v>
      </c>
      <c r="D36" s="1" t="s">
        <v>74</v>
      </c>
      <c r="E36" s="1" t="s">
        <v>74</v>
      </c>
      <c r="F36" s="1" t="s">
        <v>477</v>
      </c>
      <c r="G36" s="1" t="s">
        <v>74</v>
      </c>
      <c r="H36" s="1" t="s">
        <v>74</v>
      </c>
      <c r="I36" s="1" t="s">
        <v>478</v>
      </c>
      <c r="J36" s="1" t="s">
        <v>479</v>
      </c>
      <c r="K36" s="1" t="s">
        <v>74</v>
      </c>
      <c r="L36" s="1" t="s">
        <v>74</v>
      </c>
      <c r="M36" s="1" t="s">
        <v>74</v>
      </c>
      <c r="N36" s="1" t="s">
        <v>74</v>
      </c>
      <c r="O36" s="1" t="s">
        <v>74</v>
      </c>
      <c r="P36" s="1" t="s">
        <v>74</v>
      </c>
      <c r="Q36" s="1" t="s">
        <v>74</v>
      </c>
      <c r="R36" s="1" t="s">
        <v>74</v>
      </c>
      <c r="S36" s="1" t="s">
        <v>74</v>
      </c>
      <c r="T36" s="1" t="s">
        <v>74</v>
      </c>
      <c r="U36" s="1" t="s">
        <v>74</v>
      </c>
      <c r="V36" s="1" t="s">
        <v>480</v>
      </c>
      <c r="W36" s="1" t="s">
        <v>74</v>
      </c>
      <c r="X36" s="1" t="s">
        <v>74</v>
      </c>
      <c r="Y36" s="1" t="s">
        <v>74</v>
      </c>
      <c r="Z36" s="1" t="s">
        <v>74</v>
      </c>
      <c r="AA36" s="1" t="s">
        <v>481</v>
      </c>
      <c r="AB36" s="1" t="s">
        <v>74</v>
      </c>
      <c r="AC36" s="1" t="s">
        <v>74</v>
      </c>
      <c r="AD36" s="1" t="s">
        <v>74</v>
      </c>
      <c r="AE36" s="1" t="s">
        <v>74</v>
      </c>
      <c r="AF36" s="1" t="s">
        <v>74</v>
      </c>
      <c r="AG36" s="1" t="s">
        <v>74</v>
      </c>
      <c r="AH36" s="1" t="s">
        <v>74</v>
      </c>
      <c r="AI36" s="1" t="s">
        <v>74</v>
      </c>
      <c r="AJ36" s="1" t="s">
        <v>74</v>
      </c>
      <c r="AK36" s="1" t="s">
        <v>74</v>
      </c>
      <c r="AL36" s="1" t="s">
        <v>74</v>
      </c>
      <c r="AM36" s="1" t="s">
        <v>74</v>
      </c>
      <c r="AN36" s="1" t="s">
        <v>74</v>
      </c>
      <c r="AO36" s="1" t="s">
        <v>482</v>
      </c>
      <c r="AP36" s="1" t="s">
        <v>74</v>
      </c>
      <c r="AQ36" s="1" t="s">
        <v>74</v>
      </c>
      <c r="AR36" s="1" t="s">
        <v>74</v>
      </c>
      <c r="AS36" s="1" t="s">
        <v>74</v>
      </c>
      <c r="AT36" s="1" t="s">
        <v>164</v>
      </c>
      <c r="AU36" s="1">
        <v>1998.0</v>
      </c>
      <c r="AV36" s="1">
        <v>45.0</v>
      </c>
      <c r="AW36" s="1">
        <v>4.0</v>
      </c>
      <c r="AX36" s="1" t="s">
        <v>74</v>
      </c>
      <c r="AY36" s="1" t="s">
        <v>74</v>
      </c>
      <c r="AZ36" s="1" t="s">
        <v>74</v>
      </c>
      <c r="BA36" s="1" t="s">
        <v>74</v>
      </c>
      <c r="BB36" s="1">
        <v>595.0</v>
      </c>
      <c r="BC36" s="1">
        <v>618.0</v>
      </c>
      <c r="BD36" s="1" t="s">
        <v>74</v>
      </c>
      <c r="BE36" s="1" t="s">
        <v>483</v>
      </c>
      <c r="BF36" s="2" t="str">
        <f>HYPERLINK("http://dx.doi.org/10.1177/003776898045004006","http://dx.doi.org/10.1177/003776898045004006")</f>
        <v>http://dx.doi.org/10.1177/003776898045004006</v>
      </c>
      <c r="BG36" s="1" t="s">
        <v>74</v>
      </c>
      <c r="BH36" s="1" t="s">
        <v>74</v>
      </c>
      <c r="BI36" s="1" t="s">
        <v>74</v>
      </c>
      <c r="BJ36" s="1" t="s">
        <v>74</v>
      </c>
      <c r="BK36" s="1" t="s">
        <v>74</v>
      </c>
      <c r="BL36" s="1" t="s">
        <v>74</v>
      </c>
      <c r="BM36" s="1" t="s">
        <v>74</v>
      </c>
      <c r="BN36" s="1" t="s">
        <v>74</v>
      </c>
      <c r="BO36" s="1" t="s">
        <v>74</v>
      </c>
      <c r="BP36" s="1" t="s">
        <v>74</v>
      </c>
      <c r="BQ36" s="1" t="s">
        <v>74</v>
      </c>
      <c r="BR36" s="1" t="s">
        <v>74</v>
      </c>
      <c r="BS36" s="1" t="s">
        <v>484</v>
      </c>
      <c r="BT36" s="1" t="str">
        <f>HYPERLINK("https%3A%2F%2Fwww.webofscience.com%2Fwos%2Fwoscc%2Ffull-record%2FWOS:000077857800006","View Full Record in Web of Science")</f>
        <v>View Full Record in Web of Science</v>
      </c>
    </row>
    <row r="37" ht="12.75" customHeight="1">
      <c r="A37" s="1" t="s">
        <v>72</v>
      </c>
      <c r="B37" s="1" t="s">
        <v>485</v>
      </c>
      <c r="C37" s="1" t="s">
        <v>74</v>
      </c>
      <c r="D37" s="1" t="s">
        <v>74</v>
      </c>
      <c r="E37" s="1" t="s">
        <v>74</v>
      </c>
      <c r="F37" s="1" t="s">
        <v>485</v>
      </c>
      <c r="G37" s="1" t="s">
        <v>74</v>
      </c>
      <c r="H37" s="1" t="s">
        <v>74</v>
      </c>
      <c r="I37" s="1" t="s">
        <v>486</v>
      </c>
      <c r="J37" s="1" t="s">
        <v>487</v>
      </c>
      <c r="K37" s="1" t="s">
        <v>74</v>
      </c>
      <c r="L37" s="1" t="s">
        <v>74</v>
      </c>
      <c r="M37" s="1" t="s">
        <v>74</v>
      </c>
      <c r="N37" s="1" t="s">
        <v>74</v>
      </c>
      <c r="O37" s="1" t="s">
        <v>74</v>
      </c>
      <c r="P37" s="1" t="s">
        <v>74</v>
      </c>
      <c r="Q37" s="1" t="s">
        <v>74</v>
      </c>
      <c r="R37" s="1" t="s">
        <v>74</v>
      </c>
      <c r="S37" s="1" t="s">
        <v>74</v>
      </c>
      <c r="T37" s="1" t="s">
        <v>74</v>
      </c>
      <c r="U37" s="1" t="s">
        <v>74</v>
      </c>
      <c r="V37" s="1" t="s">
        <v>488</v>
      </c>
      <c r="W37" s="1" t="s">
        <v>74</v>
      </c>
      <c r="X37" s="1" t="s">
        <v>74</v>
      </c>
      <c r="Y37" s="1" t="s">
        <v>74</v>
      </c>
      <c r="Z37" s="1" t="s">
        <v>74</v>
      </c>
      <c r="AA37" s="1" t="s">
        <v>74</v>
      </c>
      <c r="AB37" s="1" t="s">
        <v>74</v>
      </c>
      <c r="AC37" s="1" t="s">
        <v>74</v>
      </c>
      <c r="AD37" s="1" t="s">
        <v>74</v>
      </c>
      <c r="AE37" s="1" t="s">
        <v>74</v>
      </c>
      <c r="AF37" s="1" t="s">
        <v>74</v>
      </c>
      <c r="AG37" s="1" t="s">
        <v>74</v>
      </c>
      <c r="AH37" s="1" t="s">
        <v>74</v>
      </c>
      <c r="AI37" s="1" t="s">
        <v>74</v>
      </c>
      <c r="AJ37" s="1" t="s">
        <v>74</v>
      </c>
      <c r="AK37" s="1" t="s">
        <v>74</v>
      </c>
      <c r="AL37" s="1" t="s">
        <v>74</v>
      </c>
      <c r="AM37" s="1" t="s">
        <v>74</v>
      </c>
      <c r="AN37" s="1" t="s">
        <v>74</v>
      </c>
      <c r="AO37" s="1" t="s">
        <v>489</v>
      </c>
      <c r="AP37" s="1" t="s">
        <v>74</v>
      </c>
      <c r="AQ37" s="1" t="s">
        <v>74</v>
      </c>
      <c r="AR37" s="1" t="s">
        <v>74</v>
      </c>
      <c r="AS37" s="1" t="s">
        <v>74</v>
      </c>
      <c r="AT37" s="1" t="s">
        <v>164</v>
      </c>
      <c r="AU37" s="1">
        <v>1997.0</v>
      </c>
      <c r="AV37" s="1">
        <v>43.0</v>
      </c>
      <c r="AW37" s="1">
        <v>5.0</v>
      </c>
      <c r="AX37" s="1" t="s">
        <v>74</v>
      </c>
      <c r="AY37" s="1" t="s">
        <v>74</v>
      </c>
      <c r="AZ37" s="1" t="s">
        <v>74</v>
      </c>
      <c r="BA37" s="1" t="s">
        <v>74</v>
      </c>
      <c r="BB37" s="1">
        <v>1121.0</v>
      </c>
      <c r="BC37" s="1">
        <v>1127.0</v>
      </c>
      <c r="BD37" s="1" t="s">
        <v>74</v>
      </c>
      <c r="BE37" s="1" t="s">
        <v>74</v>
      </c>
      <c r="BF37" s="1" t="s">
        <v>74</v>
      </c>
      <c r="BG37" s="1" t="s">
        <v>74</v>
      </c>
      <c r="BH37" s="1" t="s">
        <v>74</v>
      </c>
      <c r="BI37" s="1" t="s">
        <v>74</v>
      </c>
      <c r="BJ37" s="1" t="s">
        <v>74</v>
      </c>
      <c r="BK37" s="1" t="s">
        <v>74</v>
      </c>
      <c r="BL37" s="1" t="s">
        <v>74</v>
      </c>
      <c r="BM37" s="1" t="s">
        <v>74</v>
      </c>
      <c r="BN37" s="1">
        <v>9415821.0</v>
      </c>
      <c r="BO37" s="1" t="s">
        <v>74</v>
      </c>
      <c r="BP37" s="1" t="s">
        <v>74</v>
      </c>
      <c r="BQ37" s="1" t="s">
        <v>74</v>
      </c>
      <c r="BR37" s="1" t="s">
        <v>74</v>
      </c>
      <c r="BS37" s="1" t="s">
        <v>490</v>
      </c>
      <c r="BT37" s="1" t="str">
        <f>HYPERLINK("https%3A%2F%2Fwww.webofscience.com%2Fwos%2Fwoscc%2Ffull-record%2FWOS:000070965400021","View Full Record in Web of Science")</f>
        <v>View Full Record in Web of Science</v>
      </c>
    </row>
    <row r="38" ht="12.75" customHeight="1">
      <c r="A38" s="1" t="s">
        <v>72</v>
      </c>
      <c r="B38" s="1" t="s">
        <v>491</v>
      </c>
      <c r="C38" s="1" t="s">
        <v>74</v>
      </c>
      <c r="D38" s="1" t="s">
        <v>74</v>
      </c>
      <c r="E38" s="1" t="s">
        <v>74</v>
      </c>
      <c r="F38" s="1" t="s">
        <v>491</v>
      </c>
      <c r="G38" s="1" t="s">
        <v>74</v>
      </c>
      <c r="H38" s="1" t="s">
        <v>74</v>
      </c>
      <c r="I38" s="1" t="s">
        <v>492</v>
      </c>
      <c r="J38" s="1" t="s">
        <v>493</v>
      </c>
      <c r="K38" s="1" t="s">
        <v>74</v>
      </c>
      <c r="L38" s="1" t="s">
        <v>74</v>
      </c>
      <c r="M38" s="1" t="s">
        <v>74</v>
      </c>
      <c r="N38" s="1" t="s">
        <v>74</v>
      </c>
      <c r="O38" s="1" t="s">
        <v>494</v>
      </c>
      <c r="P38" s="1" t="s">
        <v>495</v>
      </c>
      <c r="Q38" s="1" t="s">
        <v>496</v>
      </c>
      <c r="R38" s="1" t="s">
        <v>74</v>
      </c>
      <c r="S38" s="1" t="s">
        <v>74</v>
      </c>
      <c r="T38" s="1" t="s">
        <v>74</v>
      </c>
      <c r="U38" s="1" t="s">
        <v>74</v>
      </c>
      <c r="V38" s="1" t="s">
        <v>497</v>
      </c>
      <c r="W38" s="1" t="s">
        <v>74</v>
      </c>
      <c r="X38" s="1" t="s">
        <v>74</v>
      </c>
      <c r="Y38" s="1" t="s">
        <v>74</v>
      </c>
      <c r="Z38" s="1" t="s">
        <v>74</v>
      </c>
      <c r="AA38" s="1" t="s">
        <v>74</v>
      </c>
      <c r="AB38" s="1" t="s">
        <v>498</v>
      </c>
      <c r="AC38" s="1" t="s">
        <v>74</v>
      </c>
      <c r="AD38" s="1" t="s">
        <v>74</v>
      </c>
      <c r="AE38" s="1" t="s">
        <v>74</v>
      </c>
      <c r="AF38" s="1" t="s">
        <v>74</v>
      </c>
      <c r="AG38" s="1" t="s">
        <v>74</v>
      </c>
      <c r="AH38" s="1" t="s">
        <v>74</v>
      </c>
      <c r="AI38" s="1" t="s">
        <v>74</v>
      </c>
      <c r="AJ38" s="1" t="s">
        <v>74</v>
      </c>
      <c r="AK38" s="1" t="s">
        <v>74</v>
      </c>
      <c r="AL38" s="1" t="s">
        <v>74</v>
      </c>
      <c r="AM38" s="1" t="s">
        <v>74</v>
      </c>
      <c r="AN38" s="1" t="s">
        <v>74</v>
      </c>
      <c r="AO38" s="1" t="s">
        <v>499</v>
      </c>
      <c r="AP38" s="1" t="s">
        <v>74</v>
      </c>
      <c r="AQ38" s="1" t="s">
        <v>74</v>
      </c>
      <c r="AR38" s="1" t="s">
        <v>74</v>
      </c>
      <c r="AS38" s="1" t="s">
        <v>74</v>
      </c>
      <c r="AT38" s="1" t="s">
        <v>294</v>
      </c>
      <c r="AU38" s="1">
        <v>1996.0</v>
      </c>
      <c r="AV38" s="1">
        <v>148.0</v>
      </c>
      <c r="AW38" s="1" t="s">
        <v>74</v>
      </c>
      <c r="AX38" s="1" t="s">
        <v>74</v>
      </c>
      <c r="AY38" s="1" t="s">
        <v>74</v>
      </c>
      <c r="AZ38" s="1" t="s">
        <v>74</v>
      </c>
      <c r="BA38" s="1" t="s">
        <v>74</v>
      </c>
      <c r="BB38" s="1">
        <v>221.0</v>
      </c>
      <c r="BC38" s="1">
        <v>248.0</v>
      </c>
      <c r="BD38" s="1" t="s">
        <v>74</v>
      </c>
      <c r="BE38" s="1" t="s">
        <v>500</v>
      </c>
      <c r="BF38" s="2" t="str">
        <f>HYPERLINK("http://dx.doi.org/10.1016/0010-8545(95)01231-1","http://dx.doi.org/10.1016/0010-8545(95)01231-1")</f>
        <v>http://dx.doi.org/10.1016/0010-8545(95)01231-1</v>
      </c>
      <c r="BG38" s="1" t="s">
        <v>74</v>
      </c>
      <c r="BH38" s="1" t="s">
        <v>74</v>
      </c>
      <c r="BI38" s="1" t="s">
        <v>74</v>
      </c>
      <c r="BJ38" s="1" t="s">
        <v>74</v>
      </c>
      <c r="BK38" s="1" t="s">
        <v>74</v>
      </c>
      <c r="BL38" s="1" t="s">
        <v>74</v>
      </c>
      <c r="BM38" s="1" t="s">
        <v>74</v>
      </c>
      <c r="BN38" s="1" t="s">
        <v>74</v>
      </c>
      <c r="BO38" s="1" t="s">
        <v>74</v>
      </c>
      <c r="BP38" s="1" t="s">
        <v>74</v>
      </c>
      <c r="BQ38" s="1" t="s">
        <v>74</v>
      </c>
      <c r="BR38" s="1" t="s">
        <v>74</v>
      </c>
      <c r="BS38" s="1" t="s">
        <v>501</v>
      </c>
      <c r="BT38" s="1" t="str">
        <f>HYPERLINK("https%3A%2F%2Fwww.webofscience.com%2Fwos%2Fwoscc%2Ffull-record%2FWOS:A1996UQ94200014","View Full Record in Web of Science")</f>
        <v>View Full Record in Web of Science</v>
      </c>
    </row>
    <row r="39" ht="12.75" customHeight="1">
      <c r="A39" s="1" t="s">
        <v>72</v>
      </c>
      <c r="B39" s="1" t="s">
        <v>502</v>
      </c>
      <c r="C39" s="1" t="s">
        <v>74</v>
      </c>
      <c r="D39" s="1" t="s">
        <v>74</v>
      </c>
      <c r="E39" s="1" t="s">
        <v>74</v>
      </c>
      <c r="F39" s="1" t="s">
        <v>502</v>
      </c>
      <c r="G39" s="1" t="s">
        <v>74</v>
      </c>
      <c r="H39" s="1" t="s">
        <v>74</v>
      </c>
      <c r="I39" s="1" t="s">
        <v>503</v>
      </c>
      <c r="J39" s="1" t="s">
        <v>504</v>
      </c>
      <c r="K39" s="1" t="s">
        <v>74</v>
      </c>
      <c r="L39" s="1" t="s">
        <v>74</v>
      </c>
      <c r="M39" s="1" t="s">
        <v>74</v>
      </c>
      <c r="N39" s="1" t="s">
        <v>74</v>
      </c>
      <c r="O39" s="1" t="s">
        <v>74</v>
      </c>
      <c r="P39" s="1" t="s">
        <v>74</v>
      </c>
      <c r="Q39" s="1" t="s">
        <v>74</v>
      </c>
      <c r="R39" s="1" t="s">
        <v>74</v>
      </c>
      <c r="S39" s="1" t="s">
        <v>74</v>
      </c>
      <c r="T39" s="1" t="s">
        <v>74</v>
      </c>
      <c r="U39" s="1" t="s">
        <v>74</v>
      </c>
      <c r="V39" s="1" t="s">
        <v>505</v>
      </c>
      <c r="W39" s="1" t="s">
        <v>74</v>
      </c>
      <c r="X39" s="1" t="s">
        <v>74</v>
      </c>
      <c r="Y39" s="1" t="s">
        <v>74</v>
      </c>
      <c r="Z39" s="1" t="s">
        <v>74</v>
      </c>
      <c r="AA39" s="1" t="s">
        <v>74</v>
      </c>
      <c r="AB39" s="1" t="s">
        <v>74</v>
      </c>
      <c r="AC39" s="1" t="s">
        <v>74</v>
      </c>
      <c r="AD39" s="1" t="s">
        <v>74</v>
      </c>
      <c r="AE39" s="1" t="s">
        <v>74</v>
      </c>
      <c r="AF39" s="1" t="s">
        <v>74</v>
      </c>
      <c r="AG39" s="1" t="s">
        <v>74</v>
      </c>
      <c r="AH39" s="1" t="s">
        <v>74</v>
      </c>
      <c r="AI39" s="1" t="s">
        <v>74</v>
      </c>
      <c r="AJ39" s="1" t="s">
        <v>74</v>
      </c>
      <c r="AK39" s="1" t="s">
        <v>74</v>
      </c>
      <c r="AL39" s="1" t="s">
        <v>74</v>
      </c>
      <c r="AM39" s="1" t="s">
        <v>74</v>
      </c>
      <c r="AN39" s="1" t="s">
        <v>74</v>
      </c>
      <c r="AO39" s="1" t="s">
        <v>506</v>
      </c>
      <c r="AP39" s="1" t="s">
        <v>74</v>
      </c>
      <c r="AQ39" s="1" t="s">
        <v>74</v>
      </c>
      <c r="AR39" s="1" t="s">
        <v>74</v>
      </c>
      <c r="AS39" s="1" t="s">
        <v>74</v>
      </c>
      <c r="AT39" s="1" t="s">
        <v>82</v>
      </c>
      <c r="AU39" s="1">
        <v>1993.0</v>
      </c>
      <c r="AV39" s="1">
        <v>12.0</v>
      </c>
      <c r="AW39" s="1">
        <v>5.0</v>
      </c>
      <c r="AX39" s="1" t="s">
        <v>74</v>
      </c>
      <c r="AY39" s="1" t="s">
        <v>74</v>
      </c>
      <c r="AZ39" s="1" t="s">
        <v>74</v>
      </c>
      <c r="BA39" s="1" t="s">
        <v>74</v>
      </c>
      <c r="BB39" s="1">
        <v>571.0</v>
      </c>
      <c r="BC39" s="1">
        <v>577.0</v>
      </c>
      <c r="BD39" s="1" t="s">
        <v>74</v>
      </c>
      <c r="BE39" s="1" t="s">
        <v>507</v>
      </c>
      <c r="BF39" s="2" t="str">
        <f>HYPERLINK("http://dx.doi.org/10.1007/BF01025121","http://dx.doi.org/10.1007/BF01025121")</f>
        <v>http://dx.doi.org/10.1007/BF01025121</v>
      </c>
      <c r="BG39" s="1" t="s">
        <v>74</v>
      </c>
      <c r="BH39" s="1" t="s">
        <v>74</v>
      </c>
      <c r="BI39" s="1" t="s">
        <v>74</v>
      </c>
      <c r="BJ39" s="1" t="s">
        <v>74</v>
      </c>
      <c r="BK39" s="1" t="s">
        <v>74</v>
      </c>
      <c r="BL39" s="1" t="s">
        <v>74</v>
      </c>
      <c r="BM39" s="1" t="s">
        <v>74</v>
      </c>
      <c r="BN39" s="1">
        <v>8141999.0</v>
      </c>
      <c r="BO39" s="1" t="s">
        <v>74</v>
      </c>
      <c r="BP39" s="1" t="s">
        <v>74</v>
      </c>
      <c r="BQ39" s="1" t="s">
        <v>74</v>
      </c>
      <c r="BR39" s="1" t="s">
        <v>74</v>
      </c>
      <c r="BS39" s="1" t="s">
        <v>508</v>
      </c>
      <c r="BT39" s="1" t="str">
        <f>HYPERLINK("https%3A%2F%2Fwww.webofscience.com%2Fwos%2Fwoscc%2Ffull-record%2FWOS:A1993MM04200007","View Full Record in Web of Science")</f>
        <v>View Full Record in Web of Science</v>
      </c>
    </row>
    <row r="40" ht="12.75" customHeight="1">
      <c r="A40" s="1" t="s">
        <v>72</v>
      </c>
      <c r="B40" s="1" t="s">
        <v>509</v>
      </c>
      <c r="C40" s="1" t="s">
        <v>74</v>
      </c>
      <c r="D40" s="1" t="s">
        <v>74</v>
      </c>
      <c r="E40" s="1" t="s">
        <v>74</v>
      </c>
      <c r="F40" s="1" t="s">
        <v>509</v>
      </c>
      <c r="G40" s="1" t="s">
        <v>74</v>
      </c>
      <c r="H40" s="1" t="s">
        <v>74</v>
      </c>
      <c r="I40" s="1" t="s">
        <v>510</v>
      </c>
      <c r="J40" s="1" t="s">
        <v>511</v>
      </c>
      <c r="K40" s="1" t="s">
        <v>74</v>
      </c>
      <c r="L40" s="1" t="s">
        <v>74</v>
      </c>
      <c r="M40" s="1" t="s">
        <v>74</v>
      </c>
      <c r="N40" s="1" t="s">
        <v>74</v>
      </c>
      <c r="O40" s="1" t="s">
        <v>74</v>
      </c>
      <c r="P40" s="1" t="s">
        <v>74</v>
      </c>
      <c r="Q40" s="1" t="s">
        <v>74</v>
      </c>
      <c r="R40" s="1" t="s">
        <v>74</v>
      </c>
      <c r="S40" s="1" t="s">
        <v>74</v>
      </c>
      <c r="T40" s="1" t="s">
        <v>74</v>
      </c>
      <c r="U40" s="1" t="s">
        <v>74</v>
      </c>
      <c r="V40" s="1" t="s">
        <v>74</v>
      </c>
      <c r="W40" s="1" t="s">
        <v>74</v>
      </c>
      <c r="X40" s="1" t="s">
        <v>74</v>
      </c>
      <c r="Y40" s="1" t="s">
        <v>74</v>
      </c>
      <c r="Z40" s="1" t="s">
        <v>74</v>
      </c>
      <c r="AA40" s="1" t="s">
        <v>74</v>
      </c>
      <c r="AB40" s="1" t="s">
        <v>74</v>
      </c>
      <c r="AC40" s="1" t="s">
        <v>74</v>
      </c>
      <c r="AD40" s="1" t="s">
        <v>74</v>
      </c>
      <c r="AE40" s="1" t="s">
        <v>74</v>
      </c>
      <c r="AF40" s="1" t="s">
        <v>74</v>
      </c>
      <c r="AG40" s="1" t="s">
        <v>74</v>
      </c>
      <c r="AH40" s="1" t="s">
        <v>74</v>
      </c>
      <c r="AI40" s="1" t="s">
        <v>74</v>
      </c>
      <c r="AJ40" s="1" t="s">
        <v>74</v>
      </c>
      <c r="AK40" s="1" t="s">
        <v>74</v>
      </c>
      <c r="AL40" s="1" t="s">
        <v>74</v>
      </c>
      <c r="AM40" s="1" t="s">
        <v>74</v>
      </c>
      <c r="AN40" s="1" t="s">
        <v>74</v>
      </c>
      <c r="AO40" s="1" t="s">
        <v>512</v>
      </c>
      <c r="AP40" s="1" t="s">
        <v>74</v>
      </c>
      <c r="AQ40" s="1" t="s">
        <v>74</v>
      </c>
      <c r="AR40" s="1" t="s">
        <v>74</v>
      </c>
      <c r="AS40" s="1" t="s">
        <v>74</v>
      </c>
      <c r="AT40" s="1" t="s">
        <v>271</v>
      </c>
      <c r="AU40" s="1">
        <v>1989.0</v>
      </c>
      <c r="AV40" s="1">
        <v>86.0</v>
      </c>
      <c r="AW40" s="1">
        <v>9.0</v>
      </c>
      <c r="AX40" s="1" t="s">
        <v>74</v>
      </c>
      <c r="AY40" s="1" t="s">
        <v>74</v>
      </c>
      <c r="AZ40" s="1" t="s">
        <v>74</v>
      </c>
      <c r="BA40" s="1" t="s">
        <v>74</v>
      </c>
      <c r="BB40" s="1">
        <v>1889.0</v>
      </c>
      <c r="BC40" s="1">
        <v>1917.0</v>
      </c>
      <c r="BD40" s="1" t="s">
        <v>74</v>
      </c>
      <c r="BE40" s="1" t="s">
        <v>513</v>
      </c>
      <c r="BF40" s="2" t="str">
        <f>HYPERLINK("http://dx.doi.org/10.1051/jcp/1989861889","http://dx.doi.org/10.1051/jcp/1989861889")</f>
        <v>http://dx.doi.org/10.1051/jcp/1989861889</v>
      </c>
      <c r="BG40" s="1" t="s">
        <v>74</v>
      </c>
      <c r="BH40" s="1" t="s">
        <v>74</v>
      </c>
      <c r="BI40" s="1" t="s">
        <v>74</v>
      </c>
      <c r="BJ40" s="1" t="s">
        <v>74</v>
      </c>
      <c r="BK40" s="1" t="s">
        <v>74</v>
      </c>
      <c r="BL40" s="1" t="s">
        <v>74</v>
      </c>
      <c r="BM40" s="1" t="s">
        <v>74</v>
      </c>
      <c r="BN40" s="1" t="s">
        <v>74</v>
      </c>
      <c r="BO40" s="1" t="s">
        <v>74</v>
      </c>
      <c r="BP40" s="1" t="s">
        <v>74</v>
      </c>
      <c r="BQ40" s="1" t="s">
        <v>74</v>
      </c>
      <c r="BR40" s="1" t="s">
        <v>74</v>
      </c>
      <c r="BS40" s="1" t="s">
        <v>514</v>
      </c>
      <c r="BT40" s="1" t="str">
        <f>HYPERLINK("https%3A%2F%2Fwww.webofscience.com%2Fwos%2Fwoscc%2Ffull-record%2FWOS:A1989CC15300002","View Full Record in Web of Science")</f>
        <v>View Full Record in Web of Science</v>
      </c>
    </row>
    <row r="41" ht="12.75" customHeight="1">
      <c r="A41" s="1" t="s">
        <v>72</v>
      </c>
      <c r="B41" s="1" t="s">
        <v>515</v>
      </c>
      <c r="C41" s="1" t="s">
        <v>74</v>
      </c>
      <c r="D41" s="1" t="s">
        <v>74</v>
      </c>
      <c r="E41" s="1" t="s">
        <v>74</v>
      </c>
      <c r="F41" s="1" t="s">
        <v>516</v>
      </c>
      <c r="G41" s="1" t="s">
        <v>74</v>
      </c>
      <c r="H41" s="1" t="s">
        <v>74</v>
      </c>
      <c r="I41" s="1" t="s">
        <v>517</v>
      </c>
      <c r="J41" s="1" t="s">
        <v>518</v>
      </c>
      <c r="K41" s="1" t="s">
        <v>74</v>
      </c>
      <c r="L41" s="1" t="s">
        <v>74</v>
      </c>
      <c r="M41" s="1" t="s">
        <v>74</v>
      </c>
      <c r="N41" s="1" t="s">
        <v>74</v>
      </c>
      <c r="O41" s="1" t="s">
        <v>74</v>
      </c>
      <c r="P41" s="1" t="s">
        <v>74</v>
      </c>
      <c r="Q41" s="1" t="s">
        <v>74</v>
      </c>
      <c r="R41" s="1" t="s">
        <v>74</v>
      </c>
      <c r="S41" s="1" t="s">
        <v>74</v>
      </c>
      <c r="T41" s="1" t="s">
        <v>74</v>
      </c>
      <c r="U41" s="1" t="s">
        <v>74</v>
      </c>
      <c r="V41" s="1" t="s">
        <v>519</v>
      </c>
      <c r="W41" s="1" t="s">
        <v>74</v>
      </c>
      <c r="X41" s="1" t="s">
        <v>74</v>
      </c>
      <c r="Y41" s="1" t="s">
        <v>74</v>
      </c>
      <c r="Z41" s="1" t="s">
        <v>74</v>
      </c>
      <c r="AA41" s="1" t="s">
        <v>520</v>
      </c>
      <c r="AB41" s="1" t="s">
        <v>74</v>
      </c>
      <c r="AC41" s="1" t="s">
        <v>74</v>
      </c>
      <c r="AD41" s="1" t="s">
        <v>74</v>
      </c>
      <c r="AE41" s="1" t="s">
        <v>74</v>
      </c>
      <c r="AF41" s="1" t="s">
        <v>74</v>
      </c>
      <c r="AG41" s="1" t="s">
        <v>74</v>
      </c>
      <c r="AH41" s="1" t="s">
        <v>74</v>
      </c>
      <c r="AI41" s="1" t="s">
        <v>74</v>
      </c>
      <c r="AJ41" s="1" t="s">
        <v>74</v>
      </c>
      <c r="AK41" s="1" t="s">
        <v>74</v>
      </c>
      <c r="AL41" s="1" t="s">
        <v>74</v>
      </c>
      <c r="AM41" s="1" t="s">
        <v>74</v>
      </c>
      <c r="AN41" s="1" t="s">
        <v>74</v>
      </c>
      <c r="AO41" s="1" t="s">
        <v>74</v>
      </c>
      <c r="AP41" s="1" t="s">
        <v>521</v>
      </c>
      <c r="AQ41" s="1" t="s">
        <v>74</v>
      </c>
      <c r="AR41" s="1" t="s">
        <v>74</v>
      </c>
      <c r="AS41" s="1" t="s">
        <v>74</v>
      </c>
      <c r="AT41" s="1" t="s">
        <v>522</v>
      </c>
      <c r="AU41" s="1">
        <v>2025.0</v>
      </c>
      <c r="AV41" s="1">
        <v>15.0</v>
      </c>
      <c r="AW41" s="1">
        <v>3.0</v>
      </c>
      <c r="AX41" s="1" t="s">
        <v>74</v>
      </c>
      <c r="AY41" s="1" t="s">
        <v>74</v>
      </c>
      <c r="AZ41" s="1" t="s">
        <v>74</v>
      </c>
      <c r="BA41" s="1" t="s">
        <v>74</v>
      </c>
      <c r="BB41" s="1" t="s">
        <v>74</v>
      </c>
      <c r="BC41" s="1" t="s">
        <v>74</v>
      </c>
      <c r="BD41" s="1">
        <v>326.0</v>
      </c>
      <c r="BE41" s="1" t="s">
        <v>523</v>
      </c>
      <c r="BF41" s="2" t="str">
        <f>HYPERLINK("http://dx.doi.org/10.3390/educsci15030326","http://dx.doi.org/10.3390/educsci15030326")</f>
        <v>http://dx.doi.org/10.3390/educsci15030326</v>
      </c>
      <c r="BG41" s="1" t="s">
        <v>74</v>
      </c>
      <c r="BH41" s="1" t="s">
        <v>74</v>
      </c>
      <c r="BI41" s="1" t="s">
        <v>74</v>
      </c>
      <c r="BJ41" s="1" t="s">
        <v>74</v>
      </c>
      <c r="BK41" s="1" t="s">
        <v>74</v>
      </c>
      <c r="BL41" s="1" t="s">
        <v>74</v>
      </c>
      <c r="BM41" s="1" t="s">
        <v>74</v>
      </c>
      <c r="BN41" s="1" t="s">
        <v>74</v>
      </c>
      <c r="BO41" s="1" t="s">
        <v>74</v>
      </c>
      <c r="BP41" s="1" t="s">
        <v>74</v>
      </c>
      <c r="BQ41" s="1" t="s">
        <v>74</v>
      </c>
      <c r="BR41" s="1" t="s">
        <v>74</v>
      </c>
      <c r="BS41" s="1" t="s">
        <v>524</v>
      </c>
      <c r="BT41" s="1" t="str">
        <f>HYPERLINK("https%3A%2F%2Fwww.webofscience.com%2Fwos%2Fwoscc%2Ffull-record%2FWOS:001453849600001","View Full Record in Web of Science")</f>
        <v>View Full Record in Web of Science</v>
      </c>
    </row>
    <row r="42" ht="12.75" customHeight="1">
      <c r="A42" s="1" t="s">
        <v>72</v>
      </c>
      <c r="B42" s="1" t="s">
        <v>525</v>
      </c>
      <c r="C42" s="1" t="s">
        <v>74</v>
      </c>
      <c r="D42" s="1" t="s">
        <v>74</v>
      </c>
      <c r="E42" s="1" t="s">
        <v>74</v>
      </c>
      <c r="F42" s="1" t="s">
        <v>526</v>
      </c>
      <c r="G42" s="1" t="s">
        <v>74</v>
      </c>
      <c r="H42" s="1" t="s">
        <v>74</v>
      </c>
      <c r="I42" s="1" t="s">
        <v>527</v>
      </c>
      <c r="J42" s="1" t="s">
        <v>528</v>
      </c>
      <c r="K42" s="1" t="s">
        <v>74</v>
      </c>
      <c r="L42" s="1" t="s">
        <v>74</v>
      </c>
      <c r="M42" s="1" t="s">
        <v>74</v>
      </c>
      <c r="N42" s="1" t="s">
        <v>74</v>
      </c>
      <c r="O42" s="1" t="s">
        <v>74</v>
      </c>
      <c r="P42" s="1" t="s">
        <v>74</v>
      </c>
      <c r="Q42" s="1" t="s">
        <v>74</v>
      </c>
      <c r="R42" s="1" t="s">
        <v>74</v>
      </c>
      <c r="S42" s="1" t="s">
        <v>74</v>
      </c>
      <c r="T42" s="1" t="s">
        <v>74</v>
      </c>
      <c r="U42" s="1" t="s">
        <v>74</v>
      </c>
      <c r="V42" s="1" t="s">
        <v>529</v>
      </c>
      <c r="W42" s="1" t="s">
        <v>74</v>
      </c>
      <c r="X42" s="1" t="s">
        <v>74</v>
      </c>
      <c r="Y42" s="1" t="s">
        <v>74</v>
      </c>
      <c r="Z42" s="1" t="s">
        <v>74</v>
      </c>
      <c r="AA42" s="1" t="s">
        <v>530</v>
      </c>
      <c r="AB42" s="1" t="s">
        <v>531</v>
      </c>
      <c r="AC42" s="1" t="s">
        <v>74</v>
      </c>
      <c r="AD42" s="1" t="s">
        <v>74</v>
      </c>
      <c r="AE42" s="1" t="s">
        <v>74</v>
      </c>
      <c r="AF42" s="1" t="s">
        <v>74</v>
      </c>
      <c r="AG42" s="1" t="s">
        <v>74</v>
      </c>
      <c r="AH42" s="1" t="s">
        <v>74</v>
      </c>
      <c r="AI42" s="1" t="s">
        <v>74</v>
      </c>
      <c r="AJ42" s="1" t="s">
        <v>74</v>
      </c>
      <c r="AK42" s="1" t="s">
        <v>74</v>
      </c>
      <c r="AL42" s="1" t="s">
        <v>74</v>
      </c>
      <c r="AM42" s="1" t="s">
        <v>74</v>
      </c>
      <c r="AN42" s="1" t="s">
        <v>74</v>
      </c>
      <c r="AO42" s="1" t="s">
        <v>532</v>
      </c>
      <c r="AP42" s="1" t="s">
        <v>533</v>
      </c>
      <c r="AQ42" s="1" t="s">
        <v>74</v>
      </c>
      <c r="AR42" s="1" t="s">
        <v>74</v>
      </c>
      <c r="AS42" s="1" t="s">
        <v>74</v>
      </c>
      <c r="AT42" s="1" t="s">
        <v>534</v>
      </c>
      <c r="AU42" s="1">
        <v>2025.0</v>
      </c>
      <c r="AV42" s="1">
        <v>125.0</v>
      </c>
      <c r="AW42" s="1">
        <v>2.0</v>
      </c>
      <c r="AX42" s="1" t="s">
        <v>74</v>
      </c>
      <c r="AY42" s="1" t="s">
        <v>74</v>
      </c>
      <c r="AZ42" s="1" t="s">
        <v>74</v>
      </c>
      <c r="BA42" s="1" t="s">
        <v>74</v>
      </c>
      <c r="BB42" s="1" t="s">
        <v>74</v>
      </c>
      <c r="BC42" s="1" t="s">
        <v>74</v>
      </c>
      <c r="BD42" s="1" t="s">
        <v>535</v>
      </c>
      <c r="BE42" s="1" t="s">
        <v>536</v>
      </c>
      <c r="BF42" s="2" t="str">
        <f>HYPERLINK("http://dx.doi.org/10.1002/qua.70005","http://dx.doi.org/10.1002/qua.70005")</f>
        <v>http://dx.doi.org/10.1002/qua.70005</v>
      </c>
      <c r="BG42" s="1" t="s">
        <v>74</v>
      </c>
      <c r="BH42" s="1" t="s">
        <v>74</v>
      </c>
      <c r="BI42" s="1" t="s">
        <v>74</v>
      </c>
      <c r="BJ42" s="1" t="s">
        <v>74</v>
      </c>
      <c r="BK42" s="1" t="s">
        <v>74</v>
      </c>
      <c r="BL42" s="1" t="s">
        <v>74</v>
      </c>
      <c r="BM42" s="1" t="s">
        <v>74</v>
      </c>
      <c r="BN42" s="1" t="s">
        <v>74</v>
      </c>
      <c r="BO42" s="1" t="s">
        <v>74</v>
      </c>
      <c r="BP42" s="1" t="s">
        <v>74</v>
      </c>
      <c r="BQ42" s="1" t="s">
        <v>74</v>
      </c>
      <c r="BR42" s="1" t="s">
        <v>74</v>
      </c>
      <c r="BS42" s="1" t="s">
        <v>537</v>
      </c>
      <c r="BT42" s="1" t="str">
        <f>HYPERLINK("https%3A%2F%2Fwww.webofscience.com%2Fwos%2Fwoscc%2Ffull-record%2FWOS:001467245000001","View Full Record in Web of Science")</f>
        <v>View Full Record in Web of Science</v>
      </c>
    </row>
    <row r="43" ht="12.75" customHeight="1">
      <c r="A43" s="1" t="s">
        <v>72</v>
      </c>
      <c r="B43" s="1" t="s">
        <v>538</v>
      </c>
      <c r="C43" s="1" t="s">
        <v>74</v>
      </c>
      <c r="D43" s="1" t="s">
        <v>74</v>
      </c>
      <c r="E43" s="1" t="s">
        <v>74</v>
      </c>
      <c r="F43" s="1" t="s">
        <v>539</v>
      </c>
      <c r="G43" s="1" t="s">
        <v>74</v>
      </c>
      <c r="H43" s="1" t="s">
        <v>74</v>
      </c>
      <c r="I43" s="1" t="s">
        <v>540</v>
      </c>
      <c r="J43" s="1" t="s">
        <v>541</v>
      </c>
      <c r="K43" s="1" t="s">
        <v>74</v>
      </c>
      <c r="L43" s="1" t="s">
        <v>74</v>
      </c>
      <c r="M43" s="1" t="s">
        <v>74</v>
      </c>
      <c r="N43" s="1" t="s">
        <v>74</v>
      </c>
      <c r="O43" s="1" t="s">
        <v>74</v>
      </c>
      <c r="P43" s="1" t="s">
        <v>74</v>
      </c>
      <c r="Q43" s="1" t="s">
        <v>74</v>
      </c>
      <c r="R43" s="1" t="s">
        <v>74</v>
      </c>
      <c r="S43" s="1" t="s">
        <v>74</v>
      </c>
      <c r="T43" s="1" t="s">
        <v>74</v>
      </c>
      <c r="U43" s="1" t="s">
        <v>74</v>
      </c>
      <c r="V43" s="1" t="s">
        <v>542</v>
      </c>
      <c r="W43" s="1" t="s">
        <v>74</v>
      </c>
      <c r="X43" s="1" t="s">
        <v>74</v>
      </c>
      <c r="Y43" s="1" t="s">
        <v>74</v>
      </c>
      <c r="Z43" s="1" t="s">
        <v>74</v>
      </c>
      <c r="AA43" s="1" t="s">
        <v>543</v>
      </c>
      <c r="AB43" s="1" t="s">
        <v>544</v>
      </c>
      <c r="AC43" s="1" t="s">
        <v>74</v>
      </c>
      <c r="AD43" s="1" t="s">
        <v>74</v>
      </c>
      <c r="AE43" s="1" t="s">
        <v>74</v>
      </c>
      <c r="AF43" s="1" t="s">
        <v>74</v>
      </c>
      <c r="AG43" s="1" t="s">
        <v>74</v>
      </c>
      <c r="AH43" s="1" t="s">
        <v>74</v>
      </c>
      <c r="AI43" s="1" t="s">
        <v>74</v>
      </c>
      <c r="AJ43" s="1" t="s">
        <v>74</v>
      </c>
      <c r="AK43" s="1" t="s">
        <v>74</v>
      </c>
      <c r="AL43" s="1" t="s">
        <v>74</v>
      </c>
      <c r="AM43" s="1" t="s">
        <v>74</v>
      </c>
      <c r="AN43" s="1" t="s">
        <v>74</v>
      </c>
      <c r="AO43" s="1" t="s">
        <v>545</v>
      </c>
      <c r="AP43" s="1" t="s">
        <v>546</v>
      </c>
      <c r="AQ43" s="1" t="s">
        <v>74</v>
      </c>
      <c r="AR43" s="1" t="s">
        <v>74</v>
      </c>
      <c r="AS43" s="1" t="s">
        <v>74</v>
      </c>
      <c r="AT43" s="1" t="s">
        <v>82</v>
      </c>
      <c r="AU43" s="1">
        <v>2024.0</v>
      </c>
      <c r="AV43" s="1">
        <v>278.0</v>
      </c>
      <c r="AW43" s="1" t="s">
        <v>74</v>
      </c>
      <c r="AX43" s="1">
        <v>1.0</v>
      </c>
      <c r="AY43" s="1" t="s">
        <v>74</v>
      </c>
      <c r="AZ43" s="1" t="s">
        <v>74</v>
      </c>
      <c r="BA43" s="1" t="s">
        <v>74</v>
      </c>
      <c r="BB43" s="1" t="s">
        <v>74</v>
      </c>
      <c r="BC43" s="1" t="s">
        <v>74</v>
      </c>
      <c r="BD43" s="1" t="s">
        <v>74</v>
      </c>
      <c r="BE43" s="1" t="s">
        <v>547</v>
      </c>
      <c r="BF43" s="2" t="str">
        <f>HYPERLINK("http://dx.doi.org/10.1016/j.ijbiomac.2024.133946","http://dx.doi.org/10.1016/j.ijbiomac.2024.133946")</f>
        <v>http://dx.doi.org/10.1016/j.ijbiomac.2024.133946</v>
      </c>
      <c r="BG43" s="1" t="s">
        <v>74</v>
      </c>
      <c r="BH43" s="1" t="s">
        <v>548</v>
      </c>
      <c r="BI43" s="1" t="s">
        <v>74</v>
      </c>
      <c r="BJ43" s="1" t="s">
        <v>74</v>
      </c>
      <c r="BK43" s="1" t="s">
        <v>74</v>
      </c>
      <c r="BL43" s="1" t="s">
        <v>74</v>
      </c>
      <c r="BM43" s="1" t="s">
        <v>74</v>
      </c>
      <c r="BN43" s="1">
        <v>3.9029825E7</v>
      </c>
      <c r="BO43" s="1" t="s">
        <v>74</v>
      </c>
      <c r="BP43" s="1" t="s">
        <v>74</v>
      </c>
      <c r="BQ43" s="1" t="s">
        <v>74</v>
      </c>
      <c r="BR43" s="1" t="s">
        <v>74</v>
      </c>
      <c r="BS43" s="1" t="s">
        <v>549</v>
      </c>
      <c r="BT43" s="1" t="str">
        <f>HYPERLINK("https%3A%2F%2Fwww.webofscience.com%2Fwos%2Fwoscc%2Ffull-record%2FWOS:001301371900001","View Full Record in Web of Science")</f>
        <v>View Full Record in Web of Science</v>
      </c>
    </row>
    <row r="44" ht="12.75" customHeight="1">
      <c r="A44" s="1" t="s">
        <v>72</v>
      </c>
      <c r="B44" s="1" t="s">
        <v>550</v>
      </c>
      <c r="C44" s="1" t="s">
        <v>74</v>
      </c>
      <c r="D44" s="1" t="s">
        <v>74</v>
      </c>
      <c r="E44" s="1" t="s">
        <v>74</v>
      </c>
      <c r="F44" s="1" t="s">
        <v>551</v>
      </c>
      <c r="G44" s="1" t="s">
        <v>74</v>
      </c>
      <c r="H44" s="1" t="s">
        <v>74</v>
      </c>
      <c r="I44" s="1" t="s">
        <v>552</v>
      </c>
      <c r="J44" s="1" t="s">
        <v>541</v>
      </c>
      <c r="K44" s="1" t="s">
        <v>74</v>
      </c>
      <c r="L44" s="1" t="s">
        <v>74</v>
      </c>
      <c r="M44" s="1" t="s">
        <v>74</v>
      </c>
      <c r="N44" s="1" t="s">
        <v>74</v>
      </c>
      <c r="O44" s="1" t="s">
        <v>74</v>
      </c>
      <c r="P44" s="1" t="s">
        <v>74</v>
      </c>
      <c r="Q44" s="1" t="s">
        <v>74</v>
      </c>
      <c r="R44" s="1" t="s">
        <v>74</v>
      </c>
      <c r="S44" s="1" t="s">
        <v>74</v>
      </c>
      <c r="T44" s="1" t="s">
        <v>74</v>
      </c>
      <c r="U44" s="1" t="s">
        <v>74</v>
      </c>
      <c r="V44" s="1" t="s">
        <v>553</v>
      </c>
      <c r="W44" s="1" t="s">
        <v>74</v>
      </c>
      <c r="X44" s="1" t="s">
        <v>74</v>
      </c>
      <c r="Y44" s="1" t="s">
        <v>74</v>
      </c>
      <c r="Z44" s="1" t="s">
        <v>74</v>
      </c>
      <c r="AA44" s="1" t="s">
        <v>554</v>
      </c>
      <c r="AB44" s="1" t="s">
        <v>555</v>
      </c>
      <c r="AC44" s="1" t="s">
        <v>74</v>
      </c>
      <c r="AD44" s="1" t="s">
        <v>74</v>
      </c>
      <c r="AE44" s="1" t="s">
        <v>74</v>
      </c>
      <c r="AF44" s="1" t="s">
        <v>74</v>
      </c>
      <c r="AG44" s="1" t="s">
        <v>74</v>
      </c>
      <c r="AH44" s="1" t="s">
        <v>74</v>
      </c>
      <c r="AI44" s="1" t="s">
        <v>74</v>
      </c>
      <c r="AJ44" s="1" t="s">
        <v>74</v>
      </c>
      <c r="AK44" s="1" t="s">
        <v>74</v>
      </c>
      <c r="AL44" s="1" t="s">
        <v>74</v>
      </c>
      <c r="AM44" s="1" t="s">
        <v>74</v>
      </c>
      <c r="AN44" s="1" t="s">
        <v>74</v>
      </c>
      <c r="AO44" s="1" t="s">
        <v>545</v>
      </c>
      <c r="AP44" s="1" t="s">
        <v>546</v>
      </c>
      <c r="AQ44" s="1" t="s">
        <v>74</v>
      </c>
      <c r="AR44" s="1" t="s">
        <v>74</v>
      </c>
      <c r="AS44" s="1" t="s">
        <v>74</v>
      </c>
      <c r="AT44" s="1" t="s">
        <v>282</v>
      </c>
      <c r="AU44" s="1">
        <v>2024.0</v>
      </c>
      <c r="AV44" s="1">
        <v>275.0</v>
      </c>
      <c r="AW44" s="1" t="s">
        <v>74</v>
      </c>
      <c r="AX44" s="1">
        <v>1.0</v>
      </c>
      <c r="AY44" s="1" t="s">
        <v>74</v>
      </c>
      <c r="AZ44" s="1" t="s">
        <v>74</v>
      </c>
      <c r="BA44" s="1" t="s">
        <v>74</v>
      </c>
      <c r="BB44" s="1" t="s">
        <v>74</v>
      </c>
      <c r="BC44" s="1" t="s">
        <v>74</v>
      </c>
      <c r="BD44" s="1">
        <v>133567.0</v>
      </c>
      <c r="BE44" s="1" t="s">
        <v>556</v>
      </c>
      <c r="BF44" s="2" t="str">
        <f>HYPERLINK("http://dx.doi.org/10.1016/j.ijbiomac.2024.133567","http://dx.doi.org/10.1016/j.ijbiomac.2024.133567")</f>
        <v>http://dx.doi.org/10.1016/j.ijbiomac.2024.133567</v>
      </c>
      <c r="BG44" s="1" t="s">
        <v>74</v>
      </c>
      <c r="BH44" s="1" t="s">
        <v>557</v>
      </c>
      <c r="BI44" s="1" t="s">
        <v>74</v>
      </c>
      <c r="BJ44" s="1" t="s">
        <v>74</v>
      </c>
      <c r="BK44" s="1" t="s">
        <v>74</v>
      </c>
      <c r="BL44" s="1" t="s">
        <v>74</v>
      </c>
      <c r="BM44" s="1" t="s">
        <v>74</v>
      </c>
      <c r="BN44" s="1">
        <v>3.8950799E7</v>
      </c>
      <c r="BO44" s="1" t="s">
        <v>74</v>
      </c>
      <c r="BP44" s="1" t="s">
        <v>74</v>
      </c>
      <c r="BQ44" s="1" t="s">
        <v>74</v>
      </c>
      <c r="BR44" s="1" t="s">
        <v>74</v>
      </c>
      <c r="BS44" s="1" t="s">
        <v>558</v>
      </c>
      <c r="BT44" s="1" t="str">
        <f>HYPERLINK("https%3A%2F%2Fwww.webofscience.com%2Fwos%2Fwoscc%2Ffull-record%2FWOS:001266193000001","View Full Record in Web of Science")</f>
        <v>View Full Record in Web of Science</v>
      </c>
    </row>
    <row r="45" ht="12.75" customHeight="1">
      <c r="A45" s="1" t="s">
        <v>72</v>
      </c>
      <c r="B45" s="1" t="s">
        <v>559</v>
      </c>
      <c r="C45" s="1" t="s">
        <v>74</v>
      </c>
      <c r="D45" s="1" t="s">
        <v>74</v>
      </c>
      <c r="E45" s="1" t="s">
        <v>74</v>
      </c>
      <c r="F45" s="1" t="s">
        <v>560</v>
      </c>
      <c r="G45" s="1" t="s">
        <v>74</v>
      </c>
      <c r="H45" s="1" t="s">
        <v>74</v>
      </c>
      <c r="I45" s="1" t="s">
        <v>561</v>
      </c>
      <c r="J45" s="1" t="s">
        <v>562</v>
      </c>
      <c r="K45" s="1" t="s">
        <v>74</v>
      </c>
      <c r="L45" s="1" t="s">
        <v>74</v>
      </c>
      <c r="M45" s="1" t="s">
        <v>74</v>
      </c>
      <c r="N45" s="1" t="s">
        <v>74</v>
      </c>
      <c r="O45" s="1" t="s">
        <v>74</v>
      </c>
      <c r="P45" s="1" t="s">
        <v>74</v>
      </c>
      <c r="Q45" s="1" t="s">
        <v>74</v>
      </c>
      <c r="R45" s="1" t="s">
        <v>74</v>
      </c>
      <c r="S45" s="1" t="s">
        <v>74</v>
      </c>
      <c r="T45" s="1" t="s">
        <v>74</v>
      </c>
      <c r="U45" s="1" t="s">
        <v>74</v>
      </c>
      <c r="V45" s="1" t="s">
        <v>563</v>
      </c>
      <c r="W45" s="1" t="s">
        <v>74</v>
      </c>
      <c r="X45" s="1" t="s">
        <v>74</v>
      </c>
      <c r="Y45" s="1" t="s">
        <v>74</v>
      </c>
      <c r="Z45" s="1" t="s">
        <v>74</v>
      </c>
      <c r="AA45" s="1" t="s">
        <v>564</v>
      </c>
      <c r="AB45" s="1" t="s">
        <v>565</v>
      </c>
      <c r="AC45" s="1" t="s">
        <v>74</v>
      </c>
      <c r="AD45" s="1" t="s">
        <v>74</v>
      </c>
      <c r="AE45" s="1" t="s">
        <v>74</v>
      </c>
      <c r="AF45" s="1" t="s">
        <v>74</v>
      </c>
      <c r="AG45" s="1" t="s">
        <v>74</v>
      </c>
      <c r="AH45" s="1" t="s">
        <v>74</v>
      </c>
      <c r="AI45" s="1" t="s">
        <v>74</v>
      </c>
      <c r="AJ45" s="1" t="s">
        <v>74</v>
      </c>
      <c r="AK45" s="1" t="s">
        <v>74</v>
      </c>
      <c r="AL45" s="1" t="s">
        <v>74</v>
      </c>
      <c r="AM45" s="1" t="s">
        <v>74</v>
      </c>
      <c r="AN45" s="1" t="s">
        <v>74</v>
      </c>
      <c r="AO45" s="1" t="s">
        <v>566</v>
      </c>
      <c r="AP45" s="1" t="s">
        <v>567</v>
      </c>
      <c r="AQ45" s="1" t="s">
        <v>74</v>
      </c>
      <c r="AR45" s="1" t="s">
        <v>74</v>
      </c>
      <c r="AS45" s="1" t="s">
        <v>74</v>
      </c>
      <c r="AT45" s="1" t="s">
        <v>568</v>
      </c>
      <c r="AU45" s="1">
        <v>2024.0</v>
      </c>
      <c r="AV45" s="1">
        <v>88.0</v>
      </c>
      <c r="AW45" s="1">
        <v>3.0</v>
      </c>
      <c r="AX45" s="1" t="s">
        <v>74</v>
      </c>
      <c r="AY45" s="1" t="s">
        <v>74</v>
      </c>
      <c r="AZ45" s="1" t="s">
        <v>569</v>
      </c>
      <c r="BA45" s="1" t="s">
        <v>74</v>
      </c>
      <c r="BB45" s="1">
        <v>337.0</v>
      </c>
      <c r="BC45" s="1">
        <v>352.0</v>
      </c>
      <c r="BD45" s="1" t="s">
        <v>74</v>
      </c>
      <c r="BE45" s="1" t="s">
        <v>570</v>
      </c>
      <c r="BF45" s="2" t="str">
        <f>HYPERLINK("http://dx.doi.org/10.1080/00131725.2024.2340693","http://dx.doi.org/10.1080/00131725.2024.2340693")</f>
        <v>http://dx.doi.org/10.1080/00131725.2024.2340693</v>
      </c>
      <c r="BG45" s="1" t="s">
        <v>74</v>
      </c>
      <c r="BH45" s="1" t="s">
        <v>571</v>
      </c>
      <c r="BI45" s="1" t="s">
        <v>74</v>
      </c>
      <c r="BJ45" s="1" t="s">
        <v>74</v>
      </c>
      <c r="BK45" s="1" t="s">
        <v>74</v>
      </c>
      <c r="BL45" s="1" t="s">
        <v>74</v>
      </c>
      <c r="BM45" s="1" t="s">
        <v>74</v>
      </c>
      <c r="BN45" s="1" t="s">
        <v>74</v>
      </c>
      <c r="BO45" s="1" t="s">
        <v>74</v>
      </c>
      <c r="BP45" s="1" t="s">
        <v>74</v>
      </c>
      <c r="BQ45" s="1" t="s">
        <v>74</v>
      </c>
      <c r="BR45" s="1" t="s">
        <v>74</v>
      </c>
      <c r="BS45" s="1" t="s">
        <v>572</v>
      </c>
      <c r="BT45" s="1" t="str">
        <f>HYPERLINK("https%3A%2F%2Fwww.webofscience.com%2Fwos%2Fwoscc%2Ffull-record%2FWOS:001211464700001","View Full Record in Web of Science")</f>
        <v>View Full Record in Web of Science</v>
      </c>
    </row>
    <row r="46" ht="12.75" customHeight="1">
      <c r="A46" s="1" t="s">
        <v>72</v>
      </c>
      <c r="B46" s="1" t="s">
        <v>573</v>
      </c>
      <c r="C46" s="1" t="s">
        <v>74</v>
      </c>
      <c r="D46" s="1" t="s">
        <v>74</v>
      </c>
      <c r="E46" s="1" t="s">
        <v>74</v>
      </c>
      <c r="F46" s="1" t="s">
        <v>574</v>
      </c>
      <c r="G46" s="1" t="s">
        <v>74</v>
      </c>
      <c r="H46" s="1" t="s">
        <v>74</v>
      </c>
      <c r="I46" s="1" t="s">
        <v>575</v>
      </c>
      <c r="J46" s="1" t="s">
        <v>576</v>
      </c>
      <c r="K46" s="1" t="s">
        <v>74</v>
      </c>
      <c r="L46" s="1" t="s">
        <v>74</v>
      </c>
      <c r="M46" s="1" t="s">
        <v>74</v>
      </c>
      <c r="N46" s="1" t="s">
        <v>74</v>
      </c>
      <c r="O46" s="1" t="s">
        <v>74</v>
      </c>
      <c r="P46" s="1" t="s">
        <v>74</v>
      </c>
      <c r="Q46" s="1" t="s">
        <v>74</v>
      </c>
      <c r="R46" s="1" t="s">
        <v>74</v>
      </c>
      <c r="S46" s="1" t="s">
        <v>74</v>
      </c>
      <c r="T46" s="1" t="s">
        <v>74</v>
      </c>
      <c r="U46" s="1" t="s">
        <v>74</v>
      </c>
      <c r="V46" s="1" t="s">
        <v>577</v>
      </c>
      <c r="W46" s="1" t="s">
        <v>74</v>
      </c>
      <c r="X46" s="1" t="s">
        <v>74</v>
      </c>
      <c r="Y46" s="1" t="s">
        <v>74</v>
      </c>
      <c r="Z46" s="1" t="s">
        <v>74</v>
      </c>
      <c r="AA46" s="1" t="s">
        <v>578</v>
      </c>
      <c r="AB46" s="1" t="s">
        <v>579</v>
      </c>
      <c r="AC46" s="1" t="s">
        <v>74</v>
      </c>
      <c r="AD46" s="1" t="s">
        <v>74</v>
      </c>
      <c r="AE46" s="1" t="s">
        <v>74</v>
      </c>
      <c r="AF46" s="1" t="s">
        <v>74</v>
      </c>
      <c r="AG46" s="1" t="s">
        <v>74</v>
      </c>
      <c r="AH46" s="1" t="s">
        <v>74</v>
      </c>
      <c r="AI46" s="1" t="s">
        <v>74</v>
      </c>
      <c r="AJ46" s="1" t="s">
        <v>74</v>
      </c>
      <c r="AK46" s="1" t="s">
        <v>74</v>
      </c>
      <c r="AL46" s="1" t="s">
        <v>74</v>
      </c>
      <c r="AM46" s="1" t="s">
        <v>74</v>
      </c>
      <c r="AN46" s="1" t="s">
        <v>74</v>
      </c>
      <c r="AO46" s="1" t="s">
        <v>74</v>
      </c>
      <c r="AP46" s="1" t="s">
        <v>580</v>
      </c>
      <c r="AQ46" s="1" t="s">
        <v>74</v>
      </c>
      <c r="AR46" s="1" t="s">
        <v>74</v>
      </c>
      <c r="AS46" s="1" t="s">
        <v>74</v>
      </c>
      <c r="AT46" s="1" t="s">
        <v>581</v>
      </c>
      <c r="AU46" s="1">
        <v>2024.0</v>
      </c>
      <c r="AV46" s="1">
        <v>15.0</v>
      </c>
      <c r="AW46" s="1" t="s">
        <v>74</v>
      </c>
      <c r="AX46" s="1" t="s">
        <v>74</v>
      </c>
      <c r="AY46" s="1" t="s">
        <v>74</v>
      </c>
      <c r="AZ46" s="1" t="s">
        <v>74</v>
      </c>
      <c r="BA46" s="1" t="s">
        <v>74</v>
      </c>
      <c r="BB46" s="1" t="s">
        <v>74</v>
      </c>
      <c r="BC46" s="1" t="s">
        <v>74</v>
      </c>
      <c r="BD46" s="1">
        <v>1332355.0</v>
      </c>
      <c r="BE46" s="1" t="s">
        <v>582</v>
      </c>
      <c r="BF46" s="2" t="str">
        <f>HYPERLINK("http://dx.doi.org/10.3389/fphys.2024.1332355","http://dx.doi.org/10.3389/fphys.2024.1332355")</f>
        <v>http://dx.doi.org/10.3389/fphys.2024.1332355</v>
      </c>
      <c r="BG46" s="1" t="s">
        <v>74</v>
      </c>
      <c r="BH46" s="1" t="s">
        <v>74</v>
      </c>
      <c r="BI46" s="1" t="s">
        <v>74</v>
      </c>
      <c r="BJ46" s="1" t="s">
        <v>74</v>
      </c>
      <c r="BK46" s="1" t="s">
        <v>74</v>
      </c>
      <c r="BL46" s="1" t="s">
        <v>74</v>
      </c>
      <c r="BM46" s="1" t="s">
        <v>74</v>
      </c>
      <c r="BN46" s="1">
        <v>3.8476146E7</v>
      </c>
      <c r="BO46" s="1" t="s">
        <v>74</v>
      </c>
      <c r="BP46" s="1" t="s">
        <v>74</v>
      </c>
      <c r="BQ46" s="1" t="s">
        <v>74</v>
      </c>
      <c r="BR46" s="1" t="s">
        <v>74</v>
      </c>
      <c r="BS46" s="1" t="s">
        <v>583</v>
      </c>
      <c r="BT46" s="1" t="str">
        <f>HYPERLINK("https%3A%2F%2Fwww.webofscience.com%2Fwos%2Fwoscc%2Ffull-record%2FWOS:001181216900001","View Full Record in Web of Science")</f>
        <v>View Full Record in Web of Science</v>
      </c>
    </row>
    <row r="47" ht="12.75" customHeight="1">
      <c r="A47" s="1" t="s">
        <v>72</v>
      </c>
      <c r="B47" s="1" t="s">
        <v>584</v>
      </c>
      <c r="C47" s="1" t="s">
        <v>74</v>
      </c>
      <c r="D47" s="1" t="s">
        <v>74</v>
      </c>
      <c r="E47" s="1" t="s">
        <v>74</v>
      </c>
      <c r="F47" s="1" t="s">
        <v>585</v>
      </c>
      <c r="G47" s="1" t="s">
        <v>74</v>
      </c>
      <c r="H47" s="1" t="s">
        <v>74</v>
      </c>
      <c r="I47" s="1" t="s">
        <v>586</v>
      </c>
      <c r="J47" s="1" t="s">
        <v>587</v>
      </c>
      <c r="K47" s="1" t="s">
        <v>74</v>
      </c>
      <c r="L47" s="1" t="s">
        <v>74</v>
      </c>
      <c r="M47" s="1" t="s">
        <v>74</v>
      </c>
      <c r="N47" s="1" t="s">
        <v>74</v>
      </c>
      <c r="O47" s="1" t="s">
        <v>74</v>
      </c>
      <c r="P47" s="1" t="s">
        <v>74</v>
      </c>
      <c r="Q47" s="1" t="s">
        <v>74</v>
      </c>
      <c r="R47" s="1" t="s">
        <v>74</v>
      </c>
      <c r="S47" s="1" t="s">
        <v>74</v>
      </c>
      <c r="T47" s="1" t="s">
        <v>74</v>
      </c>
      <c r="U47" s="1" t="s">
        <v>74</v>
      </c>
      <c r="V47" s="1" t="s">
        <v>588</v>
      </c>
      <c r="W47" s="1" t="s">
        <v>74</v>
      </c>
      <c r="X47" s="1" t="s">
        <v>74</v>
      </c>
      <c r="Y47" s="1" t="s">
        <v>74</v>
      </c>
      <c r="Z47" s="1" t="s">
        <v>74</v>
      </c>
      <c r="AA47" s="1" t="s">
        <v>589</v>
      </c>
      <c r="AB47" s="1" t="s">
        <v>590</v>
      </c>
      <c r="AC47" s="1" t="s">
        <v>74</v>
      </c>
      <c r="AD47" s="1" t="s">
        <v>74</v>
      </c>
      <c r="AE47" s="1" t="s">
        <v>74</v>
      </c>
      <c r="AF47" s="1" t="s">
        <v>74</v>
      </c>
      <c r="AG47" s="1" t="s">
        <v>74</v>
      </c>
      <c r="AH47" s="1" t="s">
        <v>74</v>
      </c>
      <c r="AI47" s="1" t="s">
        <v>74</v>
      </c>
      <c r="AJ47" s="1" t="s">
        <v>74</v>
      </c>
      <c r="AK47" s="1" t="s">
        <v>74</v>
      </c>
      <c r="AL47" s="1" t="s">
        <v>74</v>
      </c>
      <c r="AM47" s="1" t="s">
        <v>74</v>
      </c>
      <c r="AN47" s="1" t="s">
        <v>74</v>
      </c>
      <c r="AO47" s="1" t="s">
        <v>74</v>
      </c>
      <c r="AP47" s="1" t="s">
        <v>591</v>
      </c>
      <c r="AQ47" s="1" t="s">
        <v>74</v>
      </c>
      <c r="AR47" s="1" t="s">
        <v>74</v>
      </c>
      <c r="AS47" s="1" t="s">
        <v>74</v>
      </c>
      <c r="AT47" s="1" t="s">
        <v>164</v>
      </c>
      <c r="AU47" s="1">
        <v>2023.0</v>
      </c>
      <c r="AV47" s="1">
        <v>13.0</v>
      </c>
      <c r="AW47" s="1">
        <v>12.0</v>
      </c>
      <c r="AX47" s="1" t="s">
        <v>74</v>
      </c>
      <c r="AY47" s="1" t="s">
        <v>74</v>
      </c>
      <c r="AZ47" s="1" t="s">
        <v>74</v>
      </c>
      <c r="BA47" s="1" t="s">
        <v>74</v>
      </c>
      <c r="BB47" s="1" t="s">
        <v>74</v>
      </c>
      <c r="BC47" s="1" t="s">
        <v>74</v>
      </c>
      <c r="BD47" s="1">
        <v>2907.0</v>
      </c>
      <c r="BE47" s="1" t="s">
        <v>592</v>
      </c>
      <c r="BF47" s="2" t="str">
        <f>HYPERLINK("http://dx.doi.org/10.3390/buildings13122907","http://dx.doi.org/10.3390/buildings13122907")</f>
        <v>http://dx.doi.org/10.3390/buildings13122907</v>
      </c>
      <c r="BG47" s="1" t="s">
        <v>74</v>
      </c>
      <c r="BH47" s="1" t="s">
        <v>74</v>
      </c>
      <c r="BI47" s="1" t="s">
        <v>74</v>
      </c>
      <c r="BJ47" s="1" t="s">
        <v>74</v>
      </c>
      <c r="BK47" s="1" t="s">
        <v>74</v>
      </c>
      <c r="BL47" s="1" t="s">
        <v>74</v>
      </c>
      <c r="BM47" s="1" t="s">
        <v>74</v>
      </c>
      <c r="BN47" s="1" t="s">
        <v>74</v>
      </c>
      <c r="BO47" s="1" t="s">
        <v>74</v>
      </c>
      <c r="BP47" s="1" t="s">
        <v>74</v>
      </c>
      <c r="BQ47" s="1" t="s">
        <v>74</v>
      </c>
      <c r="BR47" s="1" t="s">
        <v>74</v>
      </c>
      <c r="BS47" s="1" t="s">
        <v>593</v>
      </c>
      <c r="BT47" s="1" t="str">
        <f>HYPERLINK("https%3A%2F%2Fwww.webofscience.com%2Fwos%2Fwoscc%2Ffull-record%2FWOS:001131334200001","View Full Record in Web of Science")</f>
        <v>View Full Record in Web of Science</v>
      </c>
    </row>
    <row r="48" ht="12.75" customHeight="1">
      <c r="A48" s="1" t="s">
        <v>72</v>
      </c>
      <c r="B48" s="1" t="s">
        <v>594</v>
      </c>
      <c r="C48" s="1" t="s">
        <v>74</v>
      </c>
      <c r="D48" s="1" t="s">
        <v>74</v>
      </c>
      <c r="E48" s="1" t="s">
        <v>74</v>
      </c>
      <c r="F48" s="1" t="s">
        <v>595</v>
      </c>
      <c r="G48" s="1" t="s">
        <v>74</v>
      </c>
      <c r="H48" s="1" t="s">
        <v>74</v>
      </c>
      <c r="I48" s="1" t="s">
        <v>596</v>
      </c>
      <c r="J48" s="1" t="s">
        <v>597</v>
      </c>
      <c r="K48" s="1" t="s">
        <v>74</v>
      </c>
      <c r="L48" s="1" t="s">
        <v>74</v>
      </c>
      <c r="M48" s="1" t="s">
        <v>74</v>
      </c>
      <c r="N48" s="1" t="s">
        <v>74</v>
      </c>
      <c r="O48" s="1" t="s">
        <v>74</v>
      </c>
      <c r="P48" s="1" t="s">
        <v>74</v>
      </c>
      <c r="Q48" s="1" t="s">
        <v>74</v>
      </c>
      <c r="R48" s="1" t="s">
        <v>74</v>
      </c>
      <c r="S48" s="1" t="s">
        <v>74</v>
      </c>
      <c r="T48" s="1" t="s">
        <v>74</v>
      </c>
      <c r="U48" s="1" t="s">
        <v>74</v>
      </c>
      <c r="V48" s="1" t="s">
        <v>598</v>
      </c>
      <c r="W48" s="1" t="s">
        <v>74</v>
      </c>
      <c r="X48" s="1" t="s">
        <v>74</v>
      </c>
      <c r="Y48" s="1" t="s">
        <v>74</v>
      </c>
      <c r="Z48" s="1" t="s">
        <v>74</v>
      </c>
      <c r="AA48" s="1" t="s">
        <v>74</v>
      </c>
      <c r="AB48" s="1" t="s">
        <v>74</v>
      </c>
      <c r="AC48" s="1" t="s">
        <v>74</v>
      </c>
      <c r="AD48" s="1" t="s">
        <v>74</v>
      </c>
      <c r="AE48" s="1" t="s">
        <v>74</v>
      </c>
      <c r="AF48" s="1" t="s">
        <v>74</v>
      </c>
      <c r="AG48" s="1" t="s">
        <v>74</v>
      </c>
      <c r="AH48" s="1" t="s">
        <v>74</v>
      </c>
      <c r="AI48" s="1" t="s">
        <v>74</v>
      </c>
      <c r="AJ48" s="1" t="s">
        <v>74</v>
      </c>
      <c r="AK48" s="1" t="s">
        <v>74</v>
      </c>
      <c r="AL48" s="1" t="s">
        <v>74</v>
      </c>
      <c r="AM48" s="1" t="s">
        <v>74</v>
      </c>
      <c r="AN48" s="1" t="s">
        <v>74</v>
      </c>
      <c r="AO48" s="1" t="s">
        <v>599</v>
      </c>
      <c r="AP48" s="1" t="s">
        <v>74</v>
      </c>
      <c r="AQ48" s="1" t="s">
        <v>74</v>
      </c>
      <c r="AR48" s="1" t="s">
        <v>74</v>
      </c>
      <c r="AS48" s="1" t="s">
        <v>74</v>
      </c>
      <c r="AT48" s="1" t="s">
        <v>600</v>
      </c>
      <c r="AU48" s="1">
        <v>2022.0</v>
      </c>
      <c r="AV48" s="1">
        <v>16.0</v>
      </c>
      <c r="AW48" s="1">
        <v>2.0</v>
      </c>
      <c r="AX48" s="1" t="s">
        <v>74</v>
      </c>
      <c r="AY48" s="1" t="s">
        <v>74</v>
      </c>
      <c r="AZ48" s="1" t="s">
        <v>74</v>
      </c>
      <c r="BA48" s="1" t="s">
        <v>74</v>
      </c>
      <c r="BB48" s="1" t="s">
        <v>74</v>
      </c>
      <c r="BC48" s="1" t="s">
        <v>74</v>
      </c>
      <c r="BD48" s="1" t="s">
        <v>601</v>
      </c>
      <c r="BE48" s="1" t="s">
        <v>602</v>
      </c>
      <c r="BF48" s="2" t="str">
        <f>HYPERLINK("http://dx.doi.org/10.19083/ridu.2022.1576","http://dx.doi.org/10.19083/ridu.2022.1576")</f>
        <v>http://dx.doi.org/10.19083/ridu.2022.1576</v>
      </c>
      <c r="BG48" s="1" t="s">
        <v>74</v>
      </c>
      <c r="BH48" s="1" t="s">
        <v>74</v>
      </c>
      <c r="BI48" s="1" t="s">
        <v>74</v>
      </c>
      <c r="BJ48" s="1" t="s">
        <v>74</v>
      </c>
      <c r="BK48" s="1" t="s">
        <v>74</v>
      </c>
      <c r="BL48" s="1" t="s">
        <v>74</v>
      </c>
      <c r="BM48" s="1" t="s">
        <v>74</v>
      </c>
      <c r="BN48" s="1" t="s">
        <v>74</v>
      </c>
      <c r="BO48" s="1" t="s">
        <v>74</v>
      </c>
      <c r="BP48" s="1" t="s">
        <v>74</v>
      </c>
      <c r="BQ48" s="1" t="s">
        <v>74</v>
      </c>
      <c r="BR48" s="1" t="s">
        <v>74</v>
      </c>
      <c r="BS48" s="1" t="s">
        <v>603</v>
      </c>
      <c r="BT48" s="1" t="str">
        <f>HYPERLINK("https%3A%2F%2Fwww.webofscience.com%2Fwos%2Fwoscc%2Ffull-record%2FWOS:001272960200004","View Full Record in Web of Science")</f>
        <v>View Full Record in Web of Science</v>
      </c>
    </row>
    <row r="49" ht="12.75" customHeight="1">
      <c r="A49" s="1" t="s">
        <v>72</v>
      </c>
      <c r="B49" s="1" t="s">
        <v>604</v>
      </c>
      <c r="C49" s="1" t="s">
        <v>74</v>
      </c>
      <c r="D49" s="1" t="s">
        <v>74</v>
      </c>
      <c r="E49" s="1" t="s">
        <v>74</v>
      </c>
      <c r="F49" s="1" t="s">
        <v>605</v>
      </c>
      <c r="G49" s="1" t="s">
        <v>74</v>
      </c>
      <c r="H49" s="1" t="s">
        <v>74</v>
      </c>
      <c r="I49" s="1" t="s">
        <v>606</v>
      </c>
      <c r="J49" s="1" t="s">
        <v>607</v>
      </c>
      <c r="K49" s="1" t="s">
        <v>74</v>
      </c>
      <c r="L49" s="1" t="s">
        <v>74</v>
      </c>
      <c r="M49" s="1" t="s">
        <v>74</v>
      </c>
      <c r="N49" s="1" t="s">
        <v>74</v>
      </c>
      <c r="O49" s="1" t="s">
        <v>74</v>
      </c>
      <c r="P49" s="1" t="s">
        <v>74</v>
      </c>
      <c r="Q49" s="1" t="s">
        <v>74</v>
      </c>
      <c r="R49" s="1" t="s">
        <v>74</v>
      </c>
      <c r="S49" s="1" t="s">
        <v>74</v>
      </c>
      <c r="T49" s="1" t="s">
        <v>74</v>
      </c>
      <c r="U49" s="1" t="s">
        <v>74</v>
      </c>
      <c r="V49" s="1" t="s">
        <v>608</v>
      </c>
      <c r="W49" s="1" t="s">
        <v>74</v>
      </c>
      <c r="X49" s="1" t="s">
        <v>74</v>
      </c>
      <c r="Y49" s="1" t="s">
        <v>74</v>
      </c>
      <c r="Z49" s="1" t="s">
        <v>74</v>
      </c>
      <c r="AA49" s="1" t="s">
        <v>609</v>
      </c>
      <c r="AB49" s="1" t="s">
        <v>610</v>
      </c>
      <c r="AC49" s="1" t="s">
        <v>74</v>
      </c>
      <c r="AD49" s="1" t="s">
        <v>74</v>
      </c>
      <c r="AE49" s="1" t="s">
        <v>74</v>
      </c>
      <c r="AF49" s="1" t="s">
        <v>74</v>
      </c>
      <c r="AG49" s="1" t="s">
        <v>74</v>
      </c>
      <c r="AH49" s="1" t="s">
        <v>74</v>
      </c>
      <c r="AI49" s="1" t="s">
        <v>74</v>
      </c>
      <c r="AJ49" s="1" t="s">
        <v>74</v>
      </c>
      <c r="AK49" s="1" t="s">
        <v>74</v>
      </c>
      <c r="AL49" s="1" t="s">
        <v>74</v>
      </c>
      <c r="AM49" s="1" t="s">
        <v>74</v>
      </c>
      <c r="AN49" s="1" t="s">
        <v>74</v>
      </c>
      <c r="AO49" s="1" t="s">
        <v>611</v>
      </c>
      <c r="AP49" s="1" t="s">
        <v>74</v>
      </c>
      <c r="AQ49" s="1" t="s">
        <v>74</v>
      </c>
      <c r="AR49" s="1" t="s">
        <v>74</v>
      </c>
      <c r="AS49" s="1" t="s">
        <v>74</v>
      </c>
      <c r="AT49" s="1" t="s">
        <v>94</v>
      </c>
      <c r="AU49" s="1">
        <v>2022.0</v>
      </c>
      <c r="AV49" s="1">
        <v>2.0</v>
      </c>
      <c r="AW49" s="1">
        <v>1.0</v>
      </c>
      <c r="AX49" s="1" t="s">
        <v>74</v>
      </c>
      <c r="AY49" s="1" t="s">
        <v>74</v>
      </c>
      <c r="AZ49" s="1" t="s">
        <v>74</v>
      </c>
      <c r="BA49" s="1" t="s">
        <v>74</v>
      </c>
      <c r="BB49" s="1" t="s">
        <v>74</v>
      </c>
      <c r="BC49" s="1" t="s">
        <v>74</v>
      </c>
      <c r="BD49" s="1">
        <v>100119.0</v>
      </c>
      <c r="BE49" s="1" t="s">
        <v>612</v>
      </c>
      <c r="BF49" s="2" t="str">
        <f>HYPERLINK("http://dx.doi.org/10.1016/j.afres.2022.100119","http://dx.doi.org/10.1016/j.afres.2022.100119")</f>
        <v>http://dx.doi.org/10.1016/j.afres.2022.100119</v>
      </c>
      <c r="BG49" s="1" t="s">
        <v>74</v>
      </c>
      <c r="BH49" s="1" t="s">
        <v>74</v>
      </c>
      <c r="BI49" s="1" t="s">
        <v>74</v>
      </c>
      <c r="BJ49" s="1" t="s">
        <v>74</v>
      </c>
      <c r="BK49" s="1" t="s">
        <v>74</v>
      </c>
      <c r="BL49" s="1" t="s">
        <v>74</v>
      </c>
      <c r="BM49" s="1" t="s">
        <v>74</v>
      </c>
      <c r="BN49" s="1" t="s">
        <v>74</v>
      </c>
      <c r="BO49" s="1" t="s">
        <v>74</v>
      </c>
      <c r="BP49" s="1" t="s">
        <v>74</v>
      </c>
      <c r="BQ49" s="1" t="s">
        <v>74</v>
      </c>
      <c r="BR49" s="1" t="s">
        <v>74</v>
      </c>
      <c r="BS49" s="1" t="s">
        <v>613</v>
      </c>
      <c r="BT49" s="1" t="str">
        <f>HYPERLINK("https%3A%2F%2Fwww.webofscience.com%2Fwos%2Fwoscc%2Ffull-record%2FWOS:001136207800022","View Full Record in Web of Science")</f>
        <v>View Full Record in Web of Science</v>
      </c>
    </row>
    <row r="50" ht="12.75" customHeight="1">
      <c r="A50" s="1" t="s">
        <v>72</v>
      </c>
      <c r="B50" s="1" t="s">
        <v>614</v>
      </c>
      <c r="C50" s="1" t="s">
        <v>74</v>
      </c>
      <c r="D50" s="1" t="s">
        <v>74</v>
      </c>
      <c r="E50" s="1" t="s">
        <v>74</v>
      </c>
      <c r="F50" s="1" t="s">
        <v>615</v>
      </c>
      <c r="G50" s="1" t="s">
        <v>74</v>
      </c>
      <c r="H50" s="1" t="s">
        <v>74</v>
      </c>
      <c r="I50" s="1" t="s">
        <v>616</v>
      </c>
      <c r="J50" s="1" t="s">
        <v>617</v>
      </c>
      <c r="K50" s="1" t="s">
        <v>74</v>
      </c>
      <c r="L50" s="1" t="s">
        <v>74</v>
      </c>
      <c r="M50" s="1" t="s">
        <v>74</v>
      </c>
      <c r="N50" s="1" t="s">
        <v>74</v>
      </c>
      <c r="O50" s="1" t="s">
        <v>74</v>
      </c>
      <c r="P50" s="1" t="s">
        <v>74</v>
      </c>
      <c r="Q50" s="1" t="s">
        <v>74</v>
      </c>
      <c r="R50" s="1" t="s">
        <v>74</v>
      </c>
      <c r="S50" s="1" t="s">
        <v>74</v>
      </c>
      <c r="T50" s="1" t="s">
        <v>74</v>
      </c>
      <c r="U50" s="1" t="s">
        <v>74</v>
      </c>
      <c r="V50" s="1" t="s">
        <v>618</v>
      </c>
      <c r="W50" s="1" t="s">
        <v>74</v>
      </c>
      <c r="X50" s="1" t="s">
        <v>74</v>
      </c>
      <c r="Y50" s="1" t="s">
        <v>74</v>
      </c>
      <c r="Z50" s="1" t="s">
        <v>74</v>
      </c>
      <c r="AA50" s="1" t="s">
        <v>619</v>
      </c>
      <c r="AB50" s="1" t="s">
        <v>371</v>
      </c>
      <c r="AC50" s="1" t="s">
        <v>74</v>
      </c>
      <c r="AD50" s="1" t="s">
        <v>74</v>
      </c>
      <c r="AE50" s="1" t="s">
        <v>74</v>
      </c>
      <c r="AF50" s="1" t="s">
        <v>74</v>
      </c>
      <c r="AG50" s="1" t="s">
        <v>74</v>
      </c>
      <c r="AH50" s="1" t="s">
        <v>74</v>
      </c>
      <c r="AI50" s="1" t="s">
        <v>74</v>
      </c>
      <c r="AJ50" s="1" t="s">
        <v>74</v>
      </c>
      <c r="AK50" s="1" t="s">
        <v>74</v>
      </c>
      <c r="AL50" s="1" t="s">
        <v>74</v>
      </c>
      <c r="AM50" s="1" t="s">
        <v>74</v>
      </c>
      <c r="AN50" s="1" t="s">
        <v>74</v>
      </c>
      <c r="AO50" s="1" t="s">
        <v>620</v>
      </c>
      <c r="AP50" s="1" t="s">
        <v>621</v>
      </c>
      <c r="AQ50" s="1" t="s">
        <v>74</v>
      </c>
      <c r="AR50" s="1" t="s">
        <v>74</v>
      </c>
      <c r="AS50" s="1" t="s">
        <v>74</v>
      </c>
      <c r="AT50" s="1" t="s">
        <v>622</v>
      </c>
      <c r="AU50" s="1">
        <v>2022.0</v>
      </c>
      <c r="AV50" s="1">
        <v>838.0</v>
      </c>
      <c r="AW50" s="1" t="s">
        <v>74</v>
      </c>
      <c r="AX50" s="1">
        <v>1.0</v>
      </c>
      <c r="AY50" s="1" t="s">
        <v>74</v>
      </c>
      <c r="AZ50" s="1" t="s">
        <v>74</v>
      </c>
      <c r="BA50" s="1" t="s">
        <v>74</v>
      </c>
      <c r="BB50" s="1" t="s">
        <v>74</v>
      </c>
      <c r="BC50" s="1" t="s">
        <v>74</v>
      </c>
      <c r="BD50" s="1">
        <v>155906.0</v>
      </c>
      <c r="BE50" s="1" t="s">
        <v>623</v>
      </c>
      <c r="BF50" s="2" t="str">
        <f>HYPERLINK("http://dx.doi.org/10.1016/j.scitotenv.2022.155906","http://dx.doi.org/10.1016/j.scitotenv.2022.155906")</f>
        <v>http://dx.doi.org/10.1016/j.scitotenv.2022.155906</v>
      </c>
      <c r="BG50" s="1" t="s">
        <v>74</v>
      </c>
      <c r="BH50" s="1" t="s">
        <v>624</v>
      </c>
      <c r="BI50" s="1" t="s">
        <v>74</v>
      </c>
      <c r="BJ50" s="1" t="s">
        <v>74</v>
      </c>
      <c r="BK50" s="1" t="s">
        <v>74</v>
      </c>
      <c r="BL50" s="1" t="s">
        <v>74</v>
      </c>
      <c r="BM50" s="1" t="s">
        <v>74</v>
      </c>
      <c r="BN50" s="1">
        <v>3.5580677E7</v>
      </c>
      <c r="BO50" s="1" t="s">
        <v>74</v>
      </c>
      <c r="BP50" s="1" t="s">
        <v>74</v>
      </c>
      <c r="BQ50" s="1" t="s">
        <v>74</v>
      </c>
      <c r="BR50" s="1" t="s">
        <v>74</v>
      </c>
      <c r="BS50" s="1" t="s">
        <v>625</v>
      </c>
      <c r="BT50" s="1" t="str">
        <f>HYPERLINK("https%3A%2F%2Fwww.webofscience.com%2Fwos%2Fwoscc%2Ffull-record%2FWOS:000806604000001","View Full Record in Web of Science")</f>
        <v>View Full Record in Web of Science</v>
      </c>
    </row>
    <row r="51" ht="12.75" customHeight="1">
      <c r="A51" s="1" t="s">
        <v>72</v>
      </c>
      <c r="B51" s="1" t="s">
        <v>626</v>
      </c>
      <c r="C51" s="1" t="s">
        <v>74</v>
      </c>
      <c r="D51" s="1" t="s">
        <v>74</v>
      </c>
      <c r="E51" s="1" t="s">
        <v>74</v>
      </c>
      <c r="F51" s="1" t="s">
        <v>627</v>
      </c>
      <c r="G51" s="1" t="s">
        <v>74</v>
      </c>
      <c r="H51" s="1" t="s">
        <v>74</v>
      </c>
      <c r="I51" s="1" t="s">
        <v>628</v>
      </c>
      <c r="J51" s="1" t="s">
        <v>629</v>
      </c>
      <c r="K51" s="1" t="s">
        <v>74</v>
      </c>
      <c r="L51" s="1" t="s">
        <v>74</v>
      </c>
      <c r="M51" s="1" t="s">
        <v>74</v>
      </c>
      <c r="N51" s="1" t="s">
        <v>74</v>
      </c>
      <c r="O51" s="1" t="s">
        <v>74</v>
      </c>
      <c r="P51" s="1" t="s">
        <v>74</v>
      </c>
      <c r="Q51" s="1" t="s">
        <v>74</v>
      </c>
      <c r="R51" s="1" t="s">
        <v>74</v>
      </c>
      <c r="S51" s="1" t="s">
        <v>74</v>
      </c>
      <c r="T51" s="1" t="s">
        <v>74</v>
      </c>
      <c r="U51" s="1" t="s">
        <v>74</v>
      </c>
      <c r="V51" s="1" t="s">
        <v>630</v>
      </c>
      <c r="W51" s="1" t="s">
        <v>74</v>
      </c>
      <c r="X51" s="1" t="s">
        <v>74</v>
      </c>
      <c r="Y51" s="1" t="s">
        <v>74</v>
      </c>
      <c r="Z51" s="1" t="s">
        <v>74</v>
      </c>
      <c r="AA51" s="1" t="s">
        <v>631</v>
      </c>
      <c r="AB51" s="1" t="s">
        <v>632</v>
      </c>
      <c r="AC51" s="1" t="s">
        <v>74</v>
      </c>
      <c r="AD51" s="1" t="s">
        <v>74</v>
      </c>
      <c r="AE51" s="1" t="s">
        <v>74</v>
      </c>
      <c r="AF51" s="1" t="s">
        <v>74</v>
      </c>
      <c r="AG51" s="1" t="s">
        <v>74</v>
      </c>
      <c r="AH51" s="1" t="s">
        <v>74</v>
      </c>
      <c r="AI51" s="1" t="s">
        <v>74</v>
      </c>
      <c r="AJ51" s="1" t="s">
        <v>74</v>
      </c>
      <c r="AK51" s="1" t="s">
        <v>74</v>
      </c>
      <c r="AL51" s="1" t="s">
        <v>74</v>
      </c>
      <c r="AM51" s="1" t="s">
        <v>74</v>
      </c>
      <c r="AN51" s="1" t="s">
        <v>74</v>
      </c>
      <c r="AO51" s="1" t="s">
        <v>633</v>
      </c>
      <c r="AP51" s="1" t="s">
        <v>634</v>
      </c>
      <c r="AQ51" s="1" t="s">
        <v>74</v>
      </c>
      <c r="AR51" s="1" t="s">
        <v>74</v>
      </c>
      <c r="AS51" s="1" t="s">
        <v>74</v>
      </c>
      <c r="AT51" s="1" t="s">
        <v>177</v>
      </c>
      <c r="AU51" s="1">
        <v>2022.0</v>
      </c>
      <c r="AV51" s="1">
        <v>26.0</v>
      </c>
      <c r="AW51" s="1">
        <v>14.0</v>
      </c>
      <c r="AX51" s="1" t="s">
        <v>74</v>
      </c>
      <c r="AY51" s="1" t="s">
        <v>74</v>
      </c>
      <c r="AZ51" s="1" t="s">
        <v>74</v>
      </c>
      <c r="BA51" s="1" t="s">
        <v>74</v>
      </c>
      <c r="BB51" s="1">
        <v>6619.0</v>
      </c>
      <c r="BC51" s="1">
        <v>6644.0</v>
      </c>
      <c r="BD51" s="1" t="s">
        <v>74</v>
      </c>
      <c r="BE51" s="1" t="s">
        <v>635</v>
      </c>
      <c r="BF51" s="2" t="str">
        <f>HYPERLINK("http://dx.doi.org/10.1007/s00500-022-07042-7","http://dx.doi.org/10.1007/s00500-022-07042-7")</f>
        <v>http://dx.doi.org/10.1007/s00500-022-07042-7</v>
      </c>
      <c r="BG51" s="1" t="s">
        <v>74</v>
      </c>
      <c r="BH51" s="1" t="s">
        <v>636</v>
      </c>
      <c r="BI51" s="1" t="s">
        <v>74</v>
      </c>
      <c r="BJ51" s="1" t="s">
        <v>74</v>
      </c>
      <c r="BK51" s="1" t="s">
        <v>74</v>
      </c>
      <c r="BL51" s="1" t="s">
        <v>74</v>
      </c>
      <c r="BM51" s="1" t="s">
        <v>74</v>
      </c>
      <c r="BN51" s="1" t="s">
        <v>74</v>
      </c>
      <c r="BO51" s="1" t="s">
        <v>74</v>
      </c>
      <c r="BP51" s="1" t="s">
        <v>74</v>
      </c>
      <c r="BQ51" s="1" t="s">
        <v>74</v>
      </c>
      <c r="BR51" s="1" t="s">
        <v>74</v>
      </c>
      <c r="BS51" s="1" t="s">
        <v>637</v>
      </c>
      <c r="BT51" s="1" t="str">
        <f>HYPERLINK("https%3A%2F%2Fwww.webofscience.com%2Fwos%2Fwoscc%2Ffull-record%2FWOS:000782725600004","View Full Record in Web of Science")</f>
        <v>View Full Record in Web of Science</v>
      </c>
    </row>
    <row r="52" ht="12.75" customHeight="1">
      <c r="A52" s="1" t="s">
        <v>207</v>
      </c>
      <c r="B52" s="1" t="s">
        <v>638</v>
      </c>
      <c r="C52" s="1" t="s">
        <v>74</v>
      </c>
      <c r="D52" s="1" t="s">
        <v>639</v>
      </c>
      <c r="E52" s="1" t="s">
        <v>74</v>
      </c>
      <c r="F52" s="1" t="s">
        <v>640</v>
      </c>
      <c r="G52" s="1" t="s">
        <v>74</v>
      </c>
      <c r="H52" s="1" t="s">
        <v>74</v>
      </c>
      <c r="I52" s="1" t="s">
        <v>641</v>
      </c>
      <c r="J52" s="1" t="s">
        <v>642</v>
      </c>
      <c r="K52" s="1" t="s">
        <v>213</v>
      </c>
      <c r="L52" s="1" t="s">
        <v>74</v>
      </c>
      <c r="M52" s="1" t="s">
        <v>74</v>
      </c>
      <c r="N52" s="1" t="s">
        <v>74</v>
      </c>
      <c r="O52" s="1" t="s">
        <v>643</v>
      </c>
      <c r="P52" s="1" t="s">
        <v>644</v>
      </c>
      <c r="Q52" s="1" t="s">
        <v>645</v>
      </c>
      <c r="R52" s="1" t="s">
        <v>74</v>
      </c>
      <c r="S52" s="1" t="s">
        <v>74</v>
      </c>
      <c r="T52" s="1" t="s">
        <v>74</v>
      </c>
      <c r="U52" s="1" t="s">
        <v>74</v>
      </c>
      <c r="V52" s="1" t="s">
        <v>646</v>
      </c>
      <c r="W52" s="1" t="s">
        <v>74</v>
      </c>
      <c r="X52" s="1" t="s">
        <v>74</v>
      </c>
      <c r="Y52" s="1" t="s">
        <v>74</v>
      </c>
      <c r="Z52" s="1" t="s">
        <v>74</v>
      </c>
      <c r="AA52" s="1" t="s">
        <v>647</v>
      </c>
      <c r="AB52" s="1" t="s">
        <v>74</v>
      </c>
      <c r="AC52" s="1" t="s">
        <v>74</v>
      </c>
      <c r="AD52" s="1" t="s">
        <v>74</v>
      </c>
      <c r="AE52" s="1" t="s">
        <v>74</v>
      </c>
      <c r="AF52" s="1" t="s">
        <v>74</v>
      </c>
      <c r="AG52" s="1" t="s">
        <v>74</v>
      </c>
      <c r="AH52" s="1" t="s">
        <v>74</v>
      </c>
      <c r="AI52" s="1" t="s">
        <v>74</v>
      </c>
      <c r="AJ52" s="1" t="s">
        <v>74</v>
      </c>
      <c r="AK52" s="1" t="s">
        <v>74</v>
      </c>
      <c r="AL52" s="1" t="s">
        <v>74</v>
      </c>
      <c r="AM52" s="1" t="s">
        <v>74</v>
      </c>
      <c r="AN52" s="1" t="s">
        <v>74</v>
      </c>
      <c r="AO52" s="1" t="s">
        <v>220</v>
      </c>
      <c r="AP52" s="1" t="s">
        <v>74</v>
      </c>
      <c r="AQ52" s="1" t="s">
        <v>74</v>
      </c>
      <c r="AR52" s="1" t="s">
        <v>74</v>
      </c>
      <c r="AS52" s="1" t="s">
        <v>74</v>
      </c>
      <c r="AT52" s="1" t="s">
        <v>74</v>
      </c>
      <c r="AU52" s="1">
        <v>2022.0</v>
      </c>
      <c r="AV52" s="1">
        <v>199.0</v>
      </c>
      <c r="AW52" s="1" t="s">
        <v>74</v>
      </c>
      <c r="AX52" s="1" t="s">
        <v>74</v>
      </c>
      <c r="AY52" s="1" t="s">
        <v>74</v>
      </c>
      <c r="AZ52" s="1" t="s">
        <v>74</v>
      </c>
      <c r="BA52" s="1" t="s">
        <v>74</v>
      </c>
      <c r="BB52" s="1">
        <v>1424.0</v>
      </c>
      <c r="BC52" s="1">
        <v>1431.0</v>
      </c>
      <c r="BD52" s="1" t="s">
        <v>74</v>
      </c>
      <c r="BE52" s="1" t="s">
        <v>648</v>
      </c>
      <c r="BF52" s="2" t="str">
        <f>HYPERLINK("http://dx.doi.org/10.1016/j.procs.2022.01.180","http://dx.doi.org/10.1016/j.procs.2022.01.180")</f>
        <v>http://dx.doi.org/10.1016/j.procs.2022.01.180</v>
      </c>
      <c r="BG52" s="1" t="s">
        <v>74</v>
      </c>
      <c r="BH52" s="1" t="s">
        <v>649</v>
      </c>
      <c r="BI52" s="1" t="s">
        <v>74</v>
      </c>
      <c r="BJ52" s="1" t="s">
        <v>74</v>
      </c>
      <c r="BK52" s="1" t="s">
        <v>74</v>
      </c>
      <c r="BL52" s="1" t="s">
        <v>74</v>
      </c>
      <c r="BM52" s="1" t="s">
        <v>74</v>
      </c>
      <c r="BN52" s="1" t="s">
        <v>74</v>
      </c>
      <c r="BO52" s="1" t="s">
        <v>74</v>
      </c>
      <c r="BP52" s="1" t="s">
        <v>74</v>
      </c>
      <c r="BQ52" s="1" t="s">
        <v>74</v>
      </c>
      <c r="BR52" s="1" t="s">
        <v>74</v>
      </c>
      <c r="BS52" s="1" t="s">
        <v>650</v>
      </c>
      <c r="BT52" s="1" t="str">
        <f>HYPERLINK("https%3A%2F%2Fwww.webofscience.com%2Fwos%2Fwoscc%2Ffull-record%2FWOS:000765802100183","View Full Record in Web of Science")</f>
        <v>View Full Record in Web of Science</v>
      </c>
    </row>
    <row r="53" ht="12.75" customHeight="1">
      <c r="A53" s="1" t="s">
        <v>72</v>
      </c>
      <c r="B53" s="1" t="s">
        <v>651</v>
      </c>
      <c r="C53" s="1" t="s">
        <v>74</v>
      </c>
      <c r="D53" s="1" t="s">
        <v>74</v>
      </c>
      <c r="E53" s="1" t="s">
        <v>74</v>
      </c>
      <c r="F53" s="1" t="s">
        <v>652</v>
      </c>
      <c r="G53" s="1" t="s">
        <v>74</v>
      </c>
      <c r="H53" s="1" t="s">
        <v>74</v>
      </c>
      <c r="I53" s="1" t="s">
        <v>653</v>
      </c>
      <c r="J53" s="1" t="s">
        <v>654</v>
      </c>
      <c r="K53" s="1" t="s">
        <v>74</v>
      </c>
      <c r="L53" s="1" t="s">
        <v>74</v>
      </c>
      <c r="M53" s="1" t="s">
        <v>74</v>
      </c>
      <c r="N53" s="1" t="s">
        <v>74</v>
      </c>
      <c r="O53" s="1" t="s">
        <v>74</v>
      </c>
      <c r="P53" s="1" t="s">
        <v>74</v>
      </c>
      <c r="Q53" s="1" t="s">
        <v>74</v>
      </c>
      <c r="R53" s="1" t="s">
        <v>74</v>
      </c>
      <c r="S53" s="1" t="s">
        <v>74</v>
      </c>
      <c r="T53" s="1" t="s">
        <v>74</v>
      </c>
      <c r="U53" s="1" t="s">
        <v>74</v>
      </c>
      <c r="V53" s="1" t="s">
        <v>655</v>
      </c>
      <c r="W53" s="1" t="s">
        <v>74</v>
      </c>
      <c r="X53" s="1" t="s">
        <v>74</v>
      </c>
      <c r="Y53" s="1" t="s">
        <v>74</v>
      </c>
      <c r="Z53" s="1" t="s">
        <v>74</v>
      </c>
      <c r="AA53" s="1" t="s">
        <v>656</v>
      </c>
      <c r="AB53" s="1" t="s">
        <v>657</v>
      </c>
      <c r="AC53" s="1" t="s">
        <v>74</v>
      </c>
      <c r="AD53" s="1" t="s">
        <v>74</v>
      </c>
      <c r="AE53" s="1" t="s">
        <v>74</v>
      </c>
      <c r="AF53" s="1" t="s">
        <v>74</v>
      </c>
      <c r="AG53" s="1" t="s">
        <v>74</v>
      </c>
      <c r="AH53" s="1" t="s">
        <v>74</v>
      </c>
      <c r="AI53" s="1" t="s">
        <v>74</v>
      </c>
      <c r="AJ53" s="1" t="s">
        <v>74</v>
      </c>
      <c r="AK53" s="1" t="s">
        <v>74</v>
      </c>
      <c r="AL53" s="1" t="s">
        <v>74</v>
      </c>
      <c r="AM53" s="1" t="s">
        <v>74</v>
      </c>
      <c r="AN53" s="1" t="s">
        <v>74</v>
      </c>
      <c r="AO53" s="1" t="s">
        <v>658</v>
      </c>
      <c r="AP53" s="1" t="s">
        <v>74</v>
      </c>
      <c r="AQ53" s="1" t="s">
        <v>74</v>
      </c>
      <c r="AR53" s="1" t="s">
        <v>74</v>
      </c>
      <c r="AS53" s="1" t="s">
        <v>74</v>
      </c>
      <c r="AT53" s="1" t="s">
        <v>659</v>
      </c>
      <c r="AU53" s="1">
        <v>2020.0</v>
      </c>
      <c r="AV53" s="1">
        <v>11.0</v>
      </c>
      <c r="AW53" s="1" t="s">
        <v>74</v>
      </c>
      <c r="AX53" s="1" t="s">
        <v>74</v>
      </c>
      <c r="AY53" s="1" t="s">
        <v>74</v>
      </c>
      <c r="AZ53" s="1" t="s">
        <v>74</v>
      </c>
      <c r="BA53" s="1" t="s">
        <v>74</v>
      </c>
      <c r="BB53" s="1" t="s">
        <v>74</v>
      </c>
      <c r="BC53" s="1" t="s">
        <v>74</v>
      </c>
      <c r="BD53" s="1">
        <v>1044.0</v>
      </c>
      <c r="BE53" s="1" t="s">
        <v>660</v>
      </c>
      <c r="BF53" s="2" t="str">
        <f>HYPERLINK("http://dx.doi.org/10.3389/fneur.2020.01044","http://dx.doi.org/10.3389/fneur.2020.01044")</f>
        <v>http://dx.doi.org/10.3389/fneur.2020.01044</v>
      </c>
      <c r="BG53" s="1" t="s">
        <v>74</v>
      </c>
      <c r="BH53" s="1" t="s">
        <v>74</v>
      </c>
      <c r="BI53" s="1" t="s">
        <v>74</v>
      </c>
      <c r="BJ53" s="1" t="s">
        <v>74</v>
      </c>
      <c r="BK53" s="1" t="s">
        <v>74</v>
      </c>
      <c r="BL53" s="1" t="s">
        <v>74</v>
      </c>
      <c r="BM53" s="1" t="s">
        <v>74</v>
      </c>
      <c r="BN53" s="1">
        <v>3.3041985E7</v>
      </c>
      <c r="BO53" s="1" t="s">
        <v>74</v>
      </c>
      <c r="BP53" s="1" t="s">
        <v>74</v>
      </c>
      <c r="BQ53" s="1" t="s">
        <v>74</v>
      </c>
      <c r="BR53" s="1" t="s">
        <v>74</v>
      </c>
      <c r="BS53" s="1" t="s">
        <v>661</v>
      </c>
      <c r="BT53" s="1" t="str">
        <f>HYPERLINK("https%3A%2F%2Fwww.webofscience.com%2Fwos%2Fwoscc%2Ffull-record%2FWOS:000576373100001","View Full Record in Web of Science")</f>
        <v>View Full Record in Web of Science</v>
      </c>
    </row>
    <row r="54" ht="12.75" customHeight="1">
      <c r="A54" s="1" t="s">
        <v>72</v>
      </c>
      <c r="B54" s="1" t="s">
        <v>662</v>
      </c>
      <c r="C54" s="1" t="s">
        <v>74</v>
      </c>
      <c r="D54" s="1" t="s">
        <v>74</v>
      </c>
      <c r="E54" s="1" t="s">
        <v>74</v>
      </c>
      <c r="F54" s="1" t="s">
        <v>663</v>
      </c>
      <c r="G54" s="1" t="s">
        <v>74</v>
      </c>
      <c r="H54" s="1" t="s">
        <v>74</v>
      </c>
      <c r="I54" s="1" t="s">
        <v>664</v>
      </c>
      <c r="J54" s="1" t="s">
        <v>665</v>
      </c>
      <c r="K54" s="1" t="s">
        <v>74</v>
      </c>
      <c r="L54" s="1" t="s">
        <v>74</v>
      </c>
      <c r="M54" s="1" t="s">
        <v>74</v>
      </c>
      <c r="N54" s="1" t="s">
        <v>74</v>
      </c>
      <c r="O54" s="1" t="s">
        <v>74</v>
      </c>
      <c r="P54" s="1" t="s">
        <v>74</v>
      </c>
      <c r="Q54" s="1" t="s">
        <v>74</v>
      </c>
      <c r="R54" s="1" t="s">
        <v>74</v>
      </c>
      <c r="S54" s="1" t="s">
        <v>74</v>
      </c>
      <c r="T54" s="1" t="s">
        <v>74</v>
      </c>
      <c r="U54" s="1" t="s">
        <v>74</v>
      </c>
      <c r="V54" s="1" t="s">
        <v>666</v>
      </c>
      <c r="W54" s="1" t="s">
        <v>74</v>
      </c>
      <c r="X54" s="1" t="s">
        <v>74</v>
      </c>
      <c r="Y54" s="1" t="s">
        <v>74</v>
      </c>
      <c r="Z54" s="1" t="s">
        <v>74</v>
      </c>
      <c r="AA54" s="1" t="s">
        <v>667</v>
      </c>
      <c r="AB54" s="1" t="s">
        <v>668</v>
      </c>
      <c r="AC54" s="1" t="s">
        <v>74</v>
      </c>
      <c r="AD54" s="1" t="s">
        <v>74</v>
      </c>
      <c r="AE54" s="1" t="s">
        <v>74</v>
      </c>
      <c r="AF54" s="1" t="s">
        <v>74</v>
      </c>
      <c r="AG54" s="1" t="s">
        <v>74</v>
      </c>
      <c r="AH54" s="1" t="s">
        <v>74</v>
      </c>
      <c r="AI54" s="1" t="s">
        <v>74</v>
      </c>
      <c r="AJ54" s="1" t="s">
        <v>74</v>
      </c>
      <c r="AK54" s="1" t="s">
        <v>74</v>
      </c>
      <c r="AL54" s="1" t="s">
        <v>74</v>
      </c>
      <c r="AM54" s="1" t="s">
        <v>74</v>
      </c>
      <c r="AN54" s="1" t="s">
        <v>74</v>
      </c>
      <c r="AO54" s="1" t="s">
        <v>74</v>
      </c>
      <c r="AP54" s="1" t="s">
        <v>669</v>
      </c>
      <c r="AQ54" s="1" t="s">
        <v>74</v>
      </c>
      <c r="AR54" s="1" t="s">
        <v>74</v>
      </c>
      <c r="AS54" s="1" t="s">
        <v>74</v>
      </c>
      <c r="AT54" s="1" t="s">
        <v>282</v>
      </c>
      <c r="AU54" s="1">
        <v>2020.0</v>
      </c>
      <c r="AV54" s="1">
        <v>25.0</v>
      </c>
      <c r="AW54" s="1">
        <v>16.0</v>
      </c>
      <c r="AX54" s="1" t="s">
        <v>74</v>
      </c>
      <c r="AY54" s="1" t="s">
        <v>74</v>
      </c>
      <c r="AZ54" s="1" t="s">
        <v>74</v>
      </c>
      <c r="BA54" s="1" t="s">
        <v>74</v>
      </c>
      <c r="BB54" s="1" t="s">
        <v>74</v>
      </c>
      <c r="BC54" s="1" t="s">
        <v>74</v>
      </c>
      <c r="BD54" s="1">
        <v>3750.0</v>
      </c>
      <c r="BE54" s="1" t="s">
        <v>670</v>
      </c>
      <c r="BF54" s="2" t="str">
        <f>HYPERLINK("http://dx.doi.org/10.3390/molecules25163750","http://dx.doi.org/10.3390/molecules25163750")</f>
        <v>http://dx.doi.org/10.3390/molecules25163750</v>
      </c>
      <c r="BG54" s="1" t="s">
        <v>74</v>
      </c>
      <c r="BH54" s="1" t="s">
        <v>74</v>
      </c>
      <c r="BI54" s="1" t="s">
        <v>74</v>
      </c>
      <c r="BJ54" s="1" t="s">
        <v>74</v>
      </c>
      <c r="BK54" s="1" t="s">
        <v>74</v>
      </c>
      <c r="BL54" s="1" t="s">
        <v>74</v>
      </c>
      <c r="BM54" s="1" t="s">
        <v>74</v>
      </c>
      <c r="BN54" s="1">
        <v>3.2824604E7</v>
      </c>
      <c r="BO54" s="1" t="s">
        <v>74</v>
      </c>
      <c r="BP54" s="1" t="s">
        <v>74</v>
      </c>
      <c r="BQ54" s="1" t="s">
        <v>74</v>
      </c>
      <c r="BR54" s="1" t="s">
        <v>74</v>
      </c>
      <c r="BS54" s="1" t="s">
        <v>671</v>
      </c>
      <c r="BT54" s="1" t="str">
        <f>HYPERLINK("https%3A%2F%2Fwww.webofscience.com%2Fwos%2Fwoscc%2Ffull-record%2FWOS:000577869400001","View Full Record in Web of Science")</f>
        <v>View Full Record in Web of Science</v>
      </c>
    </row>
    <row r="55" ht="12.75" customHeight="1">
      <c r="A55" s="1" t="s">
        <v>72</v>
      </c>
      <c r="B55" s="1" t="s">
        <v>672</v>
      </c>
      <c r="C55" s="1" t="s">
        <v>74</v>
      </c>
      <c r="D55" s="1" t="s">
        <v>74</v>
      </c>
      <c r="E55" s="1" t="s">
        <v>74</v>
      </c>
      <c r="F55" s="1" t="s">
        <v>673</v>
      </c>
      <c r="G55" s="1" t="s">
        <v>74</v>
      </c>
      <c r="H55" s="1" t="s">
        <v>74</v>
      </c>
      <c r="I55" s="1" t="s">
        <v>674</v>
      </c>
      <c r="J55" s="1" t="s">
        <v>675</v>
      </c>
      <c r="K55" s="1" t="s">
        <v>74</v>
      </c>
      <c r="L55" s="1" t="s">
        <v>74</v>
      </c>
      <c r="M55" s="1" t="s">
        <v>74</v>
      </c>
      <c r="N55" s="1" t="s">
        <v>74</v>
      </c>
      <c r="O55" s="1" t="s">
        <v>74</v>
      </c>
      <c r="P55" s="1" t="s">
        <v>74</v>
      </c>
      <c r="Q55" s="1" t="s">
        <v>74</v>
      </c>
      <c r="R55" s="1" t="s">
        <v>74</v>
      </c>
      <c r="S55" s="1" t="s">
        <v>74</v>
      </c>
      <c r="T55" s="1" t="s">
        <v>74</v>
      </c>
      <c r="U55" s="1" t="s">
        <v>74</v>
      </c>
      <c r="V55" s="1" t="s">
        <v>676</v>
      </c>
      <c r="W55" s="1" t="s">
        <v>74</v>
      </c>
      <c r="X55" s="1" t="s">
        <v>74</v>
      </c>
      <c r="Y55" s="1" t="s">
        <v>74</v>
      </c>
      <c r="Z55" s="1" t="s">
        <v>74</v>
      </c>
      <c r="AA55" s="1" t="s">
        <v>677</v>
      </c>
      <c r="AB55" s="1" t="s">
        <v>678</v>
      </c>
      <c r="AC55" s="1" t="s">
        <v>74</v>
      </c>
      <c r="AD55" s="1" t="s">
        <v>74</v>
      </c>
      <c r="AE55" s="1" t="s">
        <v>74</v>
      </c>
      <c r="AF55" s="1" t="s">
        <v>74</v>
      </c>
      <c r="AG55" s="1" t="s">
        <v>74</v>
      </c>
      <c r="AH55" s="1" t="s">
        <v>74</v>
      </c>
      <c r="AI55" s="1" t="s">
        <v>74</v>
      </c>
      <c r="AJ55" s="1" t="s">
        <v>74</v>
      </c>
      <c r="AK55" s="1" t="s">
        <v>74</v>
      </c>
      <c r="AL55" s="1" t="s">
        <v>74</v>
      </c>
      <c r="AM55" s="1" t="s">
        <v>74</v>
      </c>
      <c r="AN55" s="1" t="s">
        <v>74</v>
      </c>
      <c r="AO55" s="1" t="s">
        <v>679</v>
      </c>
      <c r="AP55" s="1" t="s">
        <v>680</v>
      </c>
      <c r="AQ55" s="1" t="s">
        <v>74</v>
      </c>
      <c r="AR55" s="1" t="s">
        <v>74</v>
      </c>
      <c r="AS55" s="1" t="s">
        <v>74</v>
      </c>
      <c r="AT55" s="1" t="s">
        <v>177</v>
      </c>
      <c r="AU55" s="1">
        <v>2020.0</v>
      </c>
      <c r="AV55" s="1">
        <v>251.0</v>
      </c>
      <c r="AW55" s="1" t="s">
        <v>74</v>
      </c>
      <c r="AX55" s="1" t="s">
        <v>74</v>
      </c>
      <c r="AY55" s="1" t="s">
        <v>74</v>
      </c>
      <c r="AZ55" s="1" t="s">
        <v>74</v>
      </c>
      <c r="BA55" s="1" t="s">
        <v>74</v>
      </c>
      <c r="BB55" s="1" t="s">
        <v>74</v>
      </c>
      <c r="BC55" s="1" t="s">
        <v>74</v>
      </c>
      <c r="BD55" s="1">
        <v>126674.0</v>
      </c>
      <c r="BE55" s="1" t="s">
        <v>681</v>
      </c>
      <c r="BF55" s="2" t="str">
        <f>HYPERLINK("http://dx.doi.org/10.1016/j.chemosphere.2020.126674","http://dx.doi.org/10.1016/j.chemosphere.2020.126674")</f>
        <v>http://dx.doi.org/10.1016/j.chemosphere.2020.126674</v>
      </c>
      <c r="BG55" s="1" t="s">
        <v>74</v>
      </c>
      <c r="BH55" s="1" t="s">
        <v>74</v>
      </c>
      <c r="BI55" s="1" t="s">
        <v>74</v>
      </c>
      <c r="BJ55" s="1" t="s">
        <v>74</v>
      </c>
      <c r="BK55" s="1" t="s">
        <v>74</v>
      </c>
      <c r="BL55" s="1" t="s">
        <v>74</v>
      </c>
      <c r="BM55" s="1" t="s">
        <v>74</v>
      </c>
      <c r="BN55" s="1">
        <v>3.235972E7</v>
      </c>
      <c r="BO55" s="1" t="s">
        <v>74</v>
      </c>
      <c r="BP55" s="1" t="s">
        <v>74</v>
      </c>
      <c r="BQ55" s="1" t="s">
        <v>74</v>
      </c>
      <c r="BR55" s="1" t="s">
        <v>74</v>
      </c>
      <c r="BS55" s="1" t="s">
        <v>682</v>
      </c>
      <c r="BT55" s="1" t="str">
        <f>HYPERLINK("https%3A%2F%2Fwww.webofscience.com%2Fwos%2Fwoscc%2Ffull-record%2FWOS:000533642900031","View Full Record in Web of Science")</f>
        <v>View Full Record in Web of Science</v>
      </c>
    </row>
    <row r="56" ht="12.75" customHeight="1">
      <c r="A56" s="1" t="s">
        <v>72</v>
      </c>
      <c r="B56" s="1" t="s">
        <v>683</v>
      </c>
      <c r="C56" s="1" t="s">
        <v>74</v>
      </c>
      <c r="D56" s="1" t="s">
        <v>74</v>
      </c>
      <c r="E56" s="1" t="s">
        <v>74</v>
      </c>
      <c r="F56" s="1" t="s">
        <v>684</v>
      </c>
      <c r="G56" s="1" t="s">
        <v>74</v>
      </c>
      <c r="H56" s="1" t="s">
        <v>74</v>
      </c>
      <c r="I56" s="1" t="s">
        <v>685</v>
      </c>
      <c r="J56" s="1" t="s">
        <v>686</v>
      </c>
      <c r="K56" s="1" t="s">
        <v>74</v>
      </c>
      <c r="L56" s="1" t="s">
        <v>74</v>
      </c>
      <c r="M56" s="1" t="s">
        <v>74</v>
      </c>
      <c r="N56" s="1" t="s">
        <v>74</v>
      </c>
      <c r="O56" s="1" t="s">
        <v>74</v>
      </c>
      <c r="P56" s="1" t="s">
        <v>74</v>
      </c>
      <c r="Q56" s="1" t="s">
        <v>74</v>
      </c>
      <c r="R56" s="1" t="s">
        <v>74</v>
      </c>
      <c r="S56" s="1" t="s">
        <v>74</v>
      </c>
      <c r="T56" s="1" t="s">
        <v>74</v>
      </c>
      <c r="U56" s="1" t="s">
        <v>74</v>
      </c>
      <c r="V56" s="1" t="s">
        <v>687</v>
      </c>
      <c r="W56" s="1" t="s">
        <v>74</v>
      </c>
      <c r="X56" s="1" t="s">
        <v>74</v>
      </c>
      <c r="Y56" s="1" t="s">
        <v>74</v>
      </c>
      <c r="Z56" s="1" t="s">
        <v>74</v>
      </c>
      <c r="AA56" s="1" t="s">
        <v>688</v>
      </c>
      <c r="AB56" s="1" t="s">
        <v>689</v>
      </c>
      <c r="AC56" s="1" t="s">
        <v>74</v>
      </c>
      <c r="AD56" s="1" t="s">
        <v>74</v>
      </c>
      <c r="AE56" s="1" t="s">
        <v>74</v>
      </c>
      <c r="AF56" s="1" t="s">
        <v>74</v>
      </c>
      <c r="AG56" s="1" t="s">
        <v>74</v>
      </c>
      <c r="AH56" s="1" t="s">
        <v>74</v>
      </c>
      <c r="AI56" s="1" t="s">
        <v>74</v>
      </c>
      <c r="AJ56" s="1" t="s">
        <v>74</v>
      </c>
      <c r="AK56" s="1" t="s">
        <v>74</v>
      </c>
      <c r="AL56" s="1" t="s">
        <v>74</v>
      </c>
      <c r="AM56" s="1" t="s">
        <v>74</v>
      </c>
      <c r="AN56" s="1" t="s">
        <v>74</v>
      </c>
      <c r="AO56" s="1" t="s">
        <v>690</v>
      </c>
      <c r="AP56" s="1" t="s">
        <v>74</v>
      </c>
      <c r="AQ56" s="1" t="s">
        <v>74</v>
      </c>
      <c r="AR56" s="1" t="s">
        <v>74</v>
      </c>
      <c r="AS56" s="1" t="s">
        <v>74</v>
      </c>
      <c r="AT56" s="1" t="s">
        <v>691</v>
      </c>
      <c r="AU56" s="1">
        <v>2020.0</v>
      </c>
      <c r="AV56" s="1">
        <v>4.0</v>
      </c>
      <c r="AW56" s="1">
        <v>6.0</v>
      </c>
      <c r="AX56" s="1" t="s">
        <v>74</v>
      </c>
      <c r="AY56" s="1" t="s">
        <v>74</v>
      </c>
      <c r="AZ56" s="1" t="s">
        <v>74</v>
      </c>
      <c r="BA56" s="1" t="s">
        <v>74</v>
      </c>
      <c r="BB56" s="1" t="s">
        <v>74</v>
      </c>
      <c r="BC56" s="1" t="s">
        <v>74</v>
      </c>
      <c r="BD56" s="1">
        <v>66004.0</v>
      </c>
      <c r="BE56" s="1" t="s">
        <v>692</v>
      </c>
      <c r="BF56" s="2" t="str">
        <f>HYPERLINK("http://dx.doi.org/10.1103/PhysRevMaterials.4.066004","http://dx.doi.org/10.1103/PhysRevMaterials.4.066004")</f>
        <v>http://dx.doi.org/10.1103/PhysRevMaterials.4.066004</v>
      </c>
      <c r="BG56" s="1" t="s">
        <v>74</v>
      </c>
      <c r="BH56" s="1" t="s">
        <v>74</v>
      </c>
      <c r="BI56" s="1" t="s">
        <v>74</v>
      </c>
      <c r="BJ56" s="1" t="s">
        <v>74</v>
      </c>
      <c r="BK56" s="1" t="s">
        <v>74</v>
      </c>
      <c r="BL56" s="1" t="s">
        <v>74</v>
      </c>
      <c r="BM56" s="1" t="s">
        <v>74</v>
      </c>
      <c r="BN56" s="1" t="s">
        <v>74</v>
      </c>
      <c r="BO56" s="1" t="s">
        <v>74</v>
      </c>
      <c r="BP56" s="1" t="s">
        <v>74</v>
      </c>
      <c r="BQ56" s="1" t="s">
        <v>74</v>
      </c>
      <c r="BR56" s="1" t="s">
        <v>74</v>
      </c>
      <c r="BS56" s="1" t="s">
        <v>693</v>
      </c>
      <c r="BT56" s="1" t="str">
        <f>HYPERLINK("https%3A%2F%2Fwww.webofscience.com%2Fwos%2Fwoscc%2Ffull-record%2FWOS:000548354100002","View Full Record in Web of Science")</f>
        <v>View Full Record in Web of Science</v>
      </c>
    </row>
    <row r="57" ht="12.75" customHeight="1">
      <c r="A57" s="1" t="s">
        <v>72</v>
      </c>
      <c r="B57" s="1" t="s">
        <v>694</v>
      </c>
      <c r="C57" s="1" t="s">
        <v>74</v>
      </c>
      <c r="D57" s="1" t="s">
        <v>74</v>
      </c>
      <c r="E57" s="1" t="s">
        <v>74</v>
      </c>
      <c r="F57" s="1" t="s">
        <v>695</v>
      </c>
      <c r="G57" s="1" t="s">
        <v>74</v>
      </c>
      <c r="H57" s="1" t="s">
        <v>74</v>
      </c>
      <c r="I57" s="1" t="s">
        <v>696</v>
      </c>
      <c r="J57" s="1" t="s">
        <v>697</v>
      </c>
      <c r="K57" s="1" t="s">
        <v>74</v>
      </c>
      <c r="L57" s="1" t="s">
        <v>74</v>
      </c>
      <c r="M57" s="1" t="s">
        <v>74</v>
      </c>
      <c r="N57" s="1" t="s">
        <v>74</v>
      </c>
      <c r="O57" s="1" t="s">
        <v>74</v>
      </c>
      <c r="P57" s="1" t="s">
        <v>74</v>
      </c>
      <c r="Q57" s="1" t="s">
        <v>74</v>
      </c>
      <c r="R57" s="1" t="s">
        <v>74</v>
      </c>
      <c r="S57" s="1" t="s">
        <v>74</v>
      </c>
      <c r="T57" s="1" t="s">
        <v>74</v>
      </c>
      <c r="U57" s="1" t="s">
        <v>74</v>
      </c>
      <c r="V57" s="1" t="s">
        <v>698</v>
      </c>
      <c r="W57" s="1" t="s">
        <v>74</v>
      </c>
      <c r="X57" s="1" t="s">
        <v>74</v>
      </c>
      <c r="Y57" s="1" t="s">
        <v>74</v>
      </c>
      <c r="Z57" s="1" t="s">
        <v>74</v>
      </c>
      <c r="AA57" s="1" t="s">
        <v>699</v>
      </c>
      <c r="AB57" s="1" t="s">
        <v>700</v>
      </c>
      <c r="AC57" s="1" t="s">
        <v>74</v>
      </c>
      <c r="AD57" s="1" t="s">
        <v>74</v>
      </c>
      <c r="AE57" s="1" t="s">
        <v>74</v>
      </c>
      <c r="AF57" s="1" t="s">
        <v>74</v>
      </c>
      <c r="AG57" s="1" t="s">
        <v>74</v>
      </c>
      <c r="AH57" s="1" t="s">
        <v>74</v>
      </c>
      <c r="AI57" s="1" t="s">
        <v>74</v>
      </c>
      <c r="AJ57" s="1" t="s">
        <v>74</v>
      </c>
      <c r="AK57" s="1" t="s">
        <v>74</v>
      </c>
      <c r="AL57" s="1" t="s">
        <v>74</v>
      </c>
      <c r="AM57" s="1" t="s">
        <v>74</v>
      </c>
      <c r="AN57" s="1" t="s">
        <v>74</v>
      </c>
      <c r="AO57" s="1" t="s">
        <v>701</v>
      </c>
      <c r="AP57" s="1" t="s">
        <v>702</v>
      </c>
      <c r="AQ57" s="1" t="s">
        <v>74</v>
      </c>
      <c r="AR57" s="1" t="s">
        <v>74</v>
      </c>
      <c r="AS57" s="1" t="s">
        <v>74</v>
      </c>
      <c r="AT57" s="1" t="s">
        <v>703</v>
      </c>
      <c r="AU57" s="1">
        <v>2019.0</v>
      </c>
      <c r="AV57" s="1">
        <v>28.0</v>
      </c>
      <c r="AW57" s="1">
        <v>4.0</v>
      </c>
      <c r="AX57" s="1" t="s">
        <v>74</v>
      </c>
      <c r="AY57" s="1" t="s">
        <v>74</v>
      </c>
      <c r="AZ57" s="1" t="s">
        <v>74</v>
      </c>
      <c r="BA57" s="1" t="s">
        <v>74</v>
      </c>
      <c r="BB57" s="1">
        <v>375.0</v>
      </c>
      <c r="BC57" s="1">
        <v>391.0</v>
      </c>
      <c r="BD57" s="1" t="s">
        <v>74</v>
      </c>
      <c r="BE57" s="1" t="s">
        <v>704</v>
      </c>
      <c r="BF57" s="2" t="str">
        <f>HYPERLINK("http://dx.doi.org/10.1080/10498850.2019.1594483","http://dx.doi.org/10.1080/10498850.2019.1594483")</f>
        <v>http://dx.doi.org/10.1080/10498850.2019.1594483</v>
      </c>
      <c r="BG57" s="1" t="s">
        <v>74</v>
      </c>
      <c r="BH57" s="1" t="s">
        <v>705</v>
      </c>
      <c r="BI57" s="1" t="s">
        <v>74</v>
      </c>
      <c r="BJ57" s="1" t="s">
        <v>74</v>
      </c>
      <c r="BK57" s="1" t="s">
        <v>74</v>
      </c>
      <c r="BL57" s="1" t="s">
        <v>74</v>
      </c>
      <c r="BM57" s="1" t="s">
        <v>74</v>
      </c>
      <c r="BN57" s="1" t="s">
        <v>74</v>
      </c>
      <c r="BO57" s="1" t="s">
        <v>74</v>
      </c>
      <c r="BP57" s="1" t="s">
        <v>74</v>
      </c>
      <c r="BQ57" s="1" t="s">
        <v>74</v>
      </c>
      <c r="BR57" s="1" t="s">
        <v>74</v>
      </c>
      <c r="BS57" s="1" t="s">
        <v>706</v>
      </c>
      <c r="BT57" s="1" t="str">
        <f>HYPERLINK("https%3A%2F%2Fwww.webofscience.com%2Fwos%2Fwoscc%2Ffull-record%2FWOS:000465838000001","View Full Record in Web of Science")</f>
        <v>View Full Record in Web of Science</v>
      </c>
    </row>
    <row r="58" ht="12.75" customHeight="1">
      <c r="A58" s="1" t="s">
        <v>72</v>
      </c>
      <c r="B58" s="1" t="s">
        <v>707</v>
      </c>
      <c r="C58" s="1" t="s">
        <v>74</v>
      </c>
      <c r="D58" s="1" t="s">
        <v>74</v>
      </c>
      <c r="E58" s="1" t="s">
        <v>74</v>
      </c>
      <c r="F58" s="1" t="s">
        <v>708</v>
      </c>
      <c r="G58" s="1" t="s">
        <v>74</v>
      </c>
      <c r="H58" s="1" t="s">
        <v>74</v>
      </c>
      <c r="I58" s="1" t="s">
        <v>709</v>
      </c>
      <c r="J58" s="1" t="s">
        <v>710</v>
      </c>
      <c r="K58" s="1" t="s">
        <v>74</v>
      </c>
      <c r="L58" s="1" t="s">
        <v>74</v>
      </c>
      <c r="M58" s="1" t="s">
        <v>74</v>
      </c>
      <c r="N58" s="1" t="s">
        <v>74</v>
      </c>
      <c r="O58" s="1" t="s">
        <v>74</v>
      </c>
      <c r="P58" s="1" t="s">
        <v>74</v>
      </c>
      <c r="Q58" s="1" t="s">
        <v>74</v>
      </c>
      <c r="R58" s="1" t="s">
        <v>74</v>
      </c>
      <c r="S58" s="1" t="s">
        <v>74</v>
      </c>
      <c r="T58" s="1" t="s">
        <v>74</v>
      </c>
      <c r="U58" s="1" t="s">
        <v>74</v>
      </c>
      <c r="V58" s="1" t="s">
        <v>711</v>
      </c>
      <c r="W58" s="1" t="s">
        <v>74</v>
      </c>
      <c r="X58" s="1" t="s">
        <v>74</v>
      </c>
      <c r="Y58" s="1" t="s">
        <v>74</v>
      </c>
      <c r="Z58" s="1" t="s">
        <v>74</v>
      </c>
      <c r="AA58" s="1" t="s">
        <v>712</v>
      </c>
      <c r="AB58" s="1" t="s">
        <v>74</v>
      </c>
      <c r="AC58" s="1" t="s">
        <v>74</v>
      </c>
      <c r="AD58" s="1" t="s">
        <v>74</v>
      </c>
      <c r="AE58" s="1" t="s">
        <v>74</v>
      </c>
      <c r="AF58" s="1" t="s">
        <v>74</v>
      </c>
      <c r="AG58" s="1" t="s">
        <v>74</v>
      </c>
      <c r="AH58" s="1" t="s">
        <v>74</v>
      </c>
      <c r="AI58" s="1" t="s">
        <v>74</v>
      </c>
      <c r="AJ58" s="1" t="s">
        <v>74</v>
      </c>
      <c r="AK58" s="1" t="s">
        <v>74</v>
      </c>
      <c r="AL58" s="1" t="s">
        <v>74</v>
      </c>
      <c r="AM58" s="1" t="s">
        <v>74</v>
      </c>
      <c r="AN58" s="1" t="s">
        <v>74</v>
      </c>
      <c r="AO58" s="1" t="s">
        <v>713</v>
      </c>
      <c r="AP58" s="1" t="s">
        <v>714</v>
      </c>
      <c r="AQ58" s="1" t="s">
        <v>74</v>
      </c>
      <c r="AR58" s="1" t="s">
        <v>74</v>
      </c>
      <c r="AS58" s="1" t="s">
        <v>74</v>
      </c>
      <c r="AT58" s="1" t="s">
        <v>408</v>
      </c>
      <c r="AU58" s="1">
        <v>2019.0</v>
      </c>
      <c r="AV58" s="1">
        <v>141.0</v>
      </c>
      <c r="AW58" s="1">
        <v>3.0</v>
      </c>
      <c r="AX58" s="1" t="s">
        <v>74</v>
      </c>
      <c r="AY58" s="1" t="s">
        <v>74</v>
      </c>
      <c r="AZ58" s="1" t="s">
        <v>74</v>
      </c>
      <c r="BA58" s="1" t="s">
        <v>74</v>
      </c>
      <c r="BB58" s="1" t="s">
        <v>74</v>
      </c>
      <c r="BC58" s="1" t="s">
        <v>74</v>
      </c>
      <c r="BD58" s="1">
        <v>31702.0</v>
      </c>
      <c r="BE58" s="1" t="s">
        <v>715</v>
      </c>
      <c r="BF58" s="2" t="str">
        <f>HYPERLINK("http://dx.doi.org/10.1115/1.4042331","http://dx.doi.org/10.1115/1.4042331")</f>
        <v>http://dx.doi.org/10.1115/1.4042331</v>
      </c>
      <c r="BG58" s="1" t="s">
        <v>74</v>
      </c>
      <c r="BH58" s="1" t="s">
        <v>74</v>
      </c>
      <c r="BI58" s="1" t="s">
        <v>74</v>
      </c>
      <c r="BJ58" s="1" t="s">
        <v>74</v>
      </c>
      <c r="BK58" s="1" t="s">
        <v>74</v>
      </c>
      <c r="BL58" s="1" t="s">
        <v>74</v>
      </c>
      <c r="BM58" s="1" t="s">
        <v>74</v>
      </c>
      <c r="BN58" s="1" t="s">
        <v>74</v>
      </c>
      <c r="BO58" s="1" t="s">
        <v>74</v>
      </c>
      <c r="BP58" s="1" t="s">
        <v>74</v>
      </c>
      <c r="BQ58" s="1" t="s">
        <v>74</v>
      </c>
      <c r="BR58" s="1" t="s">
        <v>74</v>
      </c>
      <c r="BS58" s="1" t="s">
        <v>716</v>
      </c>
      <c r="BT58" s="1" t="str">
        <f>HYPERLINK("https%3A%2F%2Fwww.webofscience.com%2Fwos%2Fwoscc%2Ffull-record%2FWOS:000474734300005","View Full Record in Web of Science")</f>
        <v>View Full Record in Web of Science</v>
      </c>
    </row>
    <row r="59" ht="12.75" customHeight="1">
      <c r="A59" s="1" t="s">
        <v>207</v>
      </c>
      <c r="B59" s="1" t="s">
        <v>717</v>
      </c>
      <c r="C59" s="1" t="s">
        <v>74</v>
      </c>
      <c r="D59" s="1" t="s">
        <v>74</v>
      </c>
      <c r="E59" s="1" t="s">
        <v>224</v>
      </c>
      <c r="F59" s="1" t="s">
        <v>718</v>
      </c>
      <c r="G59" s="1" t="s">
        <v>74</v>
      </c>
      <c r="H59" s="1" t="s">
        <v>74</v>
      </c>
      <c r="I59" s="1" t="s">
        <v>719</v>
      </c>
      <c r="J59" s="1" t="s">
        <v>720</v>
      </c>
      <c r="K59" s="1" t="s">
        <v>721</v>
      </c>
      <c r="L59" s="1" t="s">
        <v>74</v>
      </c>
      <c r="M59" s="1" t="s">
        <v>74</v>
      </c>
      <c r="N59" s="1" t="s">
        <v>74</v>
      </c>
      <c r="O59" s="1" t="s">
        <v>722</v>
      </c>
      <c r="P59" s="1" t="s">
        <v>723</v>
      </c>
      <c r="Q59" s="1" t="s">
        <v>724</v>
      </c>
      <c r="R59" s="1" t="s">
        <v>725</v>
      </c>
      <c r="S59" s="1" t="s">
        <v>74</v>
      </c>
      <c r="T59" s="1" t="s">
        <v>74</v>
      </c>
      <c r="U59" s="1" t="s">
        <v>74</v>
      </c>
      <c r="V59" s="1" t="s">
        <v>726</v>
      </c>
      <c r="W59" s="1" t="s">
        <v>74</v>
      </c>
      <c r="X59" s="1" t="s">
        <v>74</v>
      </c>
      <c r="Y59" s="1" t="s">
        <v>74</v>
      </c>
      <c r="Z59" s="1" t="s">
        <v>74</v>
      </c>
      <c r="AA59" s="1" t="s">
        <v>727</v>
      </c>
      <c r="AB59" s="1" t="s">
        <v>728</v>
      </c>
      <c r="AC59" s="1" t="s">
        <v>74</v>
      </c>
      <c r="AD59" s="1" t="s">
        <v>74</v>
      </c>
      <c r="AE59" s="1" t="s">
        <v>74</v>
      </c>
      <c r="AF59" s="1" t="s">
        <v>74</v>
      </c>
      <c r="AG59" s="1" t="s">
        <v>74</v>
      </c>
      <c r="AH59" s="1" t="s">
        <v>74</v>
      </c>
      <c r="AI59" s="1" t="s">
        <v>74</v>
      </c>
      <c r="AJ59" s="1" t="s">
        <v>74</v>
      </c>
      <c r="AK59" s="1" t="s">
        <v>74</v>
      </c>
      <c r="AL59" s="1" t="s">
        <v>74</v>
      </c>
      <c r="AM59" s="1" t="s">
        <v>74</v>
      </c>
      <c r="AN59" s="1" t="s">
        <v>74</v>
      </c>
      <c r="AO59" s="1" t="s">
        <v>729</v>
      </c>
      <c r="AP59" s="1" t="s">
        <v>74</v>
      </c>
      <c r="AQ59" s="1" t="s">
        <v>730</v>
      </c>
      <c r="AR59" s="1" t="s">
        <v>74</v>
      </c>
      <c r="AS59" s="1" t="s">
        <v>74</v>
      </c>
      <c r="AT59" s="1" t="s">
        <v>74</v>
      </c>
      <c r="AU59" s="1">
        <v>2019.0</v>
      </c>
      <c r="AV59" s="1" t="s">
        <v>74</v>
      </c>
      <c r="AW59" s="1" t="s">
        <v>74</v>
      </c>
      <c r="AX59" s="1" t="s">
        <v>74</v>
      </c>
      <c r="AY59" s="1" t="s">
        <v>74</v>
      </c>
      <c r="AZ59" s="1" t="s">
        <v>74</v>
      </c>
      <c r="BA59" s="1" t="s">
        <v>74</v>
      </c>
      <c r="BB59" s="1">
        <v>6120.0</v>
      </c>
      <c r="BC59" s="1">
        <v>6126.0</v>
      </c>
      <c r="BD59" s="1" t="s">
        <v>74</v>
      </c>
      <c r="BE59" s="1" t="s">
        <v>731</v>
      </c>
      <c r="BF59" s="2" t="str">
        <f>HYPERLINK("http://dx.doi.org/10.1109/iecon.2019.8927583","http://dx.doi.org/10.1109/iecon.2019.8927583")</f>
        <v>http://dx.doi.org/10.1109/iecon.2019.8927583</v>
      </c>
      <c r="BG59" s="1" t="s">
        <v>74</v>
      </c>
      <c r="BH59" s="1" t="s">
        <v>74</v>
      </c>
      <c r="BI59" s="1" t="s">
        <v>74</v>
      </c>
      <c r="BJ59" s="1" t="s">
        <v>74</v>
      </c>
      <c r="BK59" s="1" t="s">
        <v>74</v>
      </c>
      <c r="BL59" s="1" t="s">
        <v>74</v>
      </c>
      <c r="BM59" s="1" t="s">
        <v>74</v>
      </c>
      <c r="BN59" s="1" t="s">
        <v>74</v>
      </c>
      <c r="BO59" s="1" t="s">
        <v>74</v>
      </c>
      <c r="BP59" s="1" t="s">
        <v>74</v>
      </c>
      <c r="BQ59" s="1" t="s">
        <v>74</v>
      </c>
      <c r="BR59" s="1" t="s">
        <v>74</v>
      </c>
      <c r="BS59" s="1" t="s">
        <v>732</v>
      </c>
      <c r="BT59" s="1" t="str">
        <f>HYPERLINK("https%3A%2F%2Fwww.webofscience.com%2Fwos%2Fwoscc%2Ffull-record%2FWOS:000522050606019","View Full Record in Web of Science")</f>
        <v>View Full Record in Web of Science</v>
      </c>
    </row>
    <row r="60" ht="12.75" customHeight="1">
      <c r="A60" s="1" t="s">
        <v>72</v>
      </c>
      <c r="B60" s="1" t="s">
        <v>733</v>
      </c>
      <c r="C60" s="1" t="s">
        <v>74</v>
      </c>
      <c r="D60" s="1" t="s">
        <v>74</v>
      </c>
      <c r="E60" s="1" t="s">
        <v>74</v>
      </c>
      <c r="F60" s="1" t="s">
        <v>734</v>
      </c>
      <c r="G60" s="1" t="s">
        <v>74</v>
      </c>
      <c r="H60" s="1" t="s">
        <v>74</v>
      </c>
      <c r="I60" s="1" t="s">
        <v>735</v>
      </c>
      <c r="J60" s="1" t="s">
        <v>736</v>
      </c>
      <c r="K60" s="1" t="s">
        <v>74</v>
      </c>
      <c r="L60" s="1" t="s">
        <v>74</v>
      </c>
      <c r="M60" s="1" t="s">
        <v>74</v>
      </c>
      <c r="N60" s="1" t="s">
        <v>74</v>
      </c>
      <c r="O60" s="1" t="s">
        <v>74</v>
      </c>
      <c r="P60" s="1" t="s">
        <v>74</v>
      </c>
      <c r="Q60" s="1" t="s">
        <v>74</v>
      </c>
      <c r="R60" s="1" t="s">
        <v>74</v>
      </c>
      <c r="S60" s="1" t="s">
        <v>74</v>
      </c>
      <c r="T60" s="1" t="s">
        <v>74</v>
      </c>
      <c r="U60" s="1" t="s">
        <v>74</v>
      </c>
      <c r="V60" s="1" t="s">
        <v>737</v>
      </c>
      <c r="W60" s="1" t="s">
        <v>74</v>
      </c>
      <c r="X60" s="1" t="s">
        <v>74</v>
      </c>
      <c r="Y60" s="1" t="s">
        <v>74</v>
      </c>
      <c r="Z60" s="1" t="s">
        <v>74</v>
      </c>
      <c r="AA60" s="1" t="s">
        <v>332</v>
      </c>
      <c r="AB60" s="1" t="s">
        <v>738</v>
      </c>
      <c r="AC60" s="1" t="s">
        <v>74</v>
      </c>
      <c r="AD60" s="1" t="s">
        <v>74</v>
      </c>
      <c r="AE60" s="1" t="s">
        <v>74</v>
      </c>
      <c r="AF60" s="1" t="s">
        <v>74</v>
      </c>
      <c r="AG60" s="1" t="s">
        <v>74</v>
      </c>
      <c r="AH60" s="1" t="s">
        <v>74</v>
      </c>
      <c r="AI60" s="1" t="s">
        <v>74</v>
      </c>
      <c r="AJ60" s="1" t="s">
        <v>74</v>
      </c>
      <c r="AK60" s="1" t="s">
        <v>74</v>
      </c>
      <c r="AL60" s="1" t="s">
        <v>74</v>
      </c>
      <c r="AM60" s="1" t="s">
        <v>74</v>
      </c>
      <c r="AN60" s="1" t="s">
        <v>74</v>
      </c>
      <c r="AO60" s="1" t="s">
        <v>739</v>
      </c>
      <c r="AP60" s="1" t="s">
        <v>740</v>
      </c>
      <c r="AQ60" s="1" t="s">
        <v>74</v>
      </c>
      <c r="AR60" s="1" t="s">
        <v>74</v>
      </c>
      <c r="AS60" s="1" t="s">
        <v>74</v>
      </c>
      <c r="AT60" s="1" t="s">
        <v>271</v>
      </c>
      <c r="AU60" s="1">
        <v>2018.0</v>
      </c>
      <c r="AV60" s="1">
        <v>17.0</v>
      </c>
      <c r="AW60" s="1">
        <v>5.0</v>
      </c>
      <c r="AX60" s="1" t="s">
        <v>74</v>
      </c>
      <c r="AY60" s="1" t="s">
        <v>74</v>
      </c>
      <c r="AZ60" s="1" t="s">
        <v>74</v>
      </c>
      <c r="BA60" s="1" t="s">
        <v>74</v>
      </c>
      <c r="BB60" s="1">
        <v>1765.0</v>
      </c>
      <c r="BC60" s="1">
        <v>1783.0</v>
      </c>
      <c r="BD60" s="1" t="s">
        <v>74</v>
      </c>
      <c r="BE60" s="1" t="s">
        <v>741</v>
      </c>
      <c r="BF60" s="2" t="str">
        <f>HYPERLINK("http://dx.doi.org/10.3934/cpaa.2018084","http://dx.doi.org/10.3934/cpaa.2018084")</f>
        <v>http://dx.doi.org/10.3934/cpaa.2018084</v>
      </c>
      <c r="BG60" s="1" t="s">
        <v>74</v>
      </c>
      <c r="BH60" s="1" t="s">
        <v>74</v>
      </c>
      <c r="BI60" s="1" t="s">
        <v>74</v>
      </c>
      <c r="BJ60" s="1" t="s">
        <v>74</v>
      </c>
      <c r="BK60" s="1" t="s">
        <v>74</v>
      </c>
      <c r="BL60" s="1" t="s">
        <v>74</v>
      </c>
      <c r="BM60" s="1" t="s">
        <v>74</v>
      </c>
      <c r="BN60" s="1" t="s">
        <v>74</v>
      </c>
      <c r="BO60" s="1" t="s">
        <v>74</v>
      </c>
      <c r="BP60" s="1" t="s">
        <v>74</v>
      </c>
      <c r="BQ60" s="1" t="s">
        <v>74</v>
      </c>
      <c r="BR60" s="1" t="s">
        <v>74</v>
      </c>
      <c r="BS60" s="1" t="s">
        <v>742</v>
      </c>
      <c r="BT60" s="1" t="str">
        <f>HYPERLINK("https%3A%2F%2Fwww.webofscience.com%2Fwos%2Fwoscc%2Ffull-record%2FWOS:000446340200003","View Full Record in Web of Science")</f>
        <v>View Full Record in Web of Science</v>
      </c>
    </row>
    <row r="61" ht="12.75" customHeight="1">
      <c r="A61" s="1" t="s">
        <v>72</v>
      </c>
      <c r="B61" s="1" t="s">
        <v>274</v>
      </c>
      <c r="C61" s="1" t="s">
        <v>74</v>
      </c>
      <c r="D61" s="1" t="s">
        <v>74</v>
      </c>
      <c r="E61" s="1" t="s">
        <v>74</v>
      </c>
      <c r="F61" s="1" t="s">
        <v>275</v>
      </c>
      <c r="G61" s="1" t="s">
        <v>74</v>
      </c>
      <c r="H61" s="1" t="s">
        <v>74</v>
      </c>
      <c r="I61" s="1" t="s">
        <v>743</v>
      </c>
      <c r="J61" s="1" t="s">
        <v>736</v>
      </c>
      <c r="K61" s="1" t="s">
        <v>74</v>
      </c>
      <c r="L61" s="1" t="s">
        <v>74</v>
      </c>
      <c r="M61" s="1" t="s">
        <v>74</v>
      </c>
      <c r="N61" s="1" t="s">
        <v>74</v>
      </c>
      <c r="O61" s="1" t="s">
        <v>74</v>
      </c>
      <c r="P61" s="1" t="s">
        <v>74</v>
      </c>
      <c r="Q61" s="1" t="s">
        <v>74</v>
      </c>
      <c r="R61" s="1" t="s">
        <v>74</v>
      </c>
      <c r="S61" s="1" t="s">
        <v>74</v>
      </c>
      <c r="T61" s="1" t="s">
        <v>74</v>
      </c>
      <c r="U61" s="1" t="s">
        <v>74</v>
      </c>
      <c r="V61" s="1" t="s">
        <v>744</v>
      </c>
      <c r="W61" s="1" t="s">
        <v>74</v>
      </c>
      <c r="X61" s="1" t="s">
        <v>74</v>
      </c>
      <c r="Y61" s="1" t="s">
        <v>74</v>
      </c>
      <c r="Z61" s="1" t="s">
        <v>74</v>
      </c>
      <c r="AA61" s="1" t="s">
        <v>74</v>
      </c>
      <c r="AB61" s="1" t="s">
        <v>279</v>
      </c>
      <c r="AC61" s="1" t="s">
        <v>74</v>
      </c>
      <c r="AD61" s="1" t="s">
        <v>74</v>
      </c>
      <c r="AE61" s="1" t="s">
        <v>74</v>
      </c>
      <c r="AF61" s="1" t="s">
        <v>74</v>
      </c>
      <c r="AG61" s="1" t="s">
        <v>74</v>
      </c>
      <c r="AH61" s="1" t="s">
        <v>74</v>
      </c>
      <c r="AI61" s="1" t="s">
        <v>74</v>
      </c>
      <c r="AJ61" s="1" t="s">
        <v>74</v>
      </c>
      <c r="AK61" s="1" t="s">
        <v>74</v>
      </c>
      <c r="AL61" s="1" t="s">
        <v>74</v>
      </c>
      <c r="AM61" s="1" t="s">
        <v>74</v>
      </c>
      <c r="AN61" s="1" t="s">
        <v>74</v>
      </c>
      <c r="AO61" s="1" t="s">
        <v>739</v>
      </c>
      <c r="AP61" s="1" t="s">
        <v>740</v>
      </c>
      <c r="AQ61" s="1" t="s">
        <v>74</v>
      </c>
      <c r="AR61" s="1" t="s">
        <v>74</v>
      </c>
      <c r="AS61" s="1" t="s">
        <v>74</v>
      </c>
      <c r="AT61" s="1" t="s">
        <v>745</v>
      </c>
      <c r="AU61" s="1">
        <v>2018.0</v>
      </c>
      <c r="AV61" s="1">
        <v>17.0</v>
      </c>
      <c r="AW61" s="1">
        <v>3.0</v>
      </c>
      <c r="AX61" s="1" t="s">
        <v>74</v>
      </c>
      <c r="AY61" s="1" t="s">
        <v>74</v>
      </c>
      <c r="AZ61" s="1" t="s">
        <v>74</v>
      </c>
      <c r="BA61" s="1" t="s">
        <v>74</v>
      </c>
      <c r="BB61" s="1">
        <v>1255.0</v>
      </c>
      <c r="BC61" s="1">
        <v>1269.0</v>
      </c>
      <c r="BD61" s="1" t="s">
        <v>74</v>
      </c>
      <c r="BE61" s="1" t="s">
        <v>746</v>
      </c>
      <c r="BF61" s="2" t="str">
        <f>HYPERLINK("http://dx.doi.org/10.3934/cpaa.2018060","http://dx.doi.org/10.3934/cpaa.2018060")</f>
        <v>http://dx.doi.org/10.3934/cpaa.2018060</v>
      </c>
      <c r="BG61" s="1" t="s">
        <v>74</v>
      </c>
      <c r="BH61" s="1" t="s">
        <v>74</v>
      </c>
      <c r="BI61" s="1" t="s">
        <v>74</v>
      </c>
      <c r="BJ61" s="1" t="s">
        <v>74</v>
      </c>
      <c r="BK61" s="1" t="s">
        <v>74</v>
      </c>
      <c r="BL61" s="1" t="s">
        <v>74</v>
      </c>
      <c r="BM61" s="1" t="s">
        <v>74</v>
      </c>
      <c r="BN61" s="1" t="s">
        <v>74</v>
      </c>
      <c r="BO61" s="1" t="s">
        <v>74</v>
      </c>
      <c r="BP61" s="1" t="s">
        <v>74</v>
      </c>
      <c r="BQ61" s="1" t="s">
        <v>74</v>
      </c>
      <c r="BR61" s="1" t="s">
        <v>74</v>
      </c>
      <c r="BS61" s="1" t="s">
        <v>747</v>
      </c>
      <c r="BT61" s="1" t="str">
        <f>HYPERLINK("https%3A%2F%2Fwww.webofscience.com%2Fwos%2Fwoscc%2Ffull-record%2FWOS:000439236400023","View Full Record in Web of Science")</f>
        <v>View Full Record in Web of Science</v>
      </c>
    </row>
    <row r="62" ht="12.75" customHeight="1">
      <c r="A62" s="1" t="s">
        <v>748</v>
      </c>
      <c r="B62" s="1" t="s">
        <v>749</v>
      </c>
      <c r="C62" s="1" t="s">
        <v>74</v>
      </c>
      <c r="D62" s="1" t="s">
        <v>750</v>
      </c>
      <c r="E62" s="1" t="s">
        <v>74</v>
      </c>
      <c r="F62" s="1" t="s">
        <v>751</v>
      </c>
      <c r="G62" s="1" t="s">
        <v>74</v>
      </c>
      <c r="H62" s="1" t="s">
        <v>74</v>
      </c>
      <c r="I62" s="1" t="s">
        <v>752</v>
      </c>
      <c r="J62" s="1" t="s">
        <v>753</v>
      </c>
      <c r="K62" s="1" t="s">
        <v>74</v>
      </c>
      <c r="L62" s="1" t="s">
        <v>74</v>
      </c>
      <c r="M62" s="1" t="s">
        <v>74</v>
      </c>
      <c r="N62" s="1" t="s">
        <v>74</v>
      </c>
      <c r="O62" s="1" t="s">
        <v>74</v>
      </c>
      <c r="P62" s="1" t="s">
        <v>74</v>
      </c>
      <c r="Q62" s="1" t="s">
        <v>74</v>
      </c>
      <c r="R62" s="1" t="s">
        <v>74</v>
      </c>
      <c r="S62" s="1" t="s">
        <v>74</v>
      </c>
      <c r="T62" s="1" t="s">
        <v>74</v>
      </c>
      <c r="U62" s="1" t="s">
        <v>74</v>
      </c>
      <c r="V62" s="1" t="s">
        <v>74</v>
      </c>
      <c r="W62" s="1" t="s">
        <v>74</v>
      </c>
      <c r="X62" s="1" t="s">
        <v>74</v>
      </c>
      <c r="Y62" s="1" t="s">
        <v>74</v>
      </c>
      <c r="Z62" s="1" t="s">
        <v>74</v>
      </c>
      <c r="AA62" s="1" t="s">
        <v>74</v>
      </c>
      <c r="AB62" s="1" t="s">
        <v>74</v>
      </c>
      <c r="AC62" s="1" t="s">
        <v>74</v>
      </c>
      <c r="AD62" s="1" t="s">
        <v>74</v>
      </c>
      <c r="AE62" s="1" t="s">
        <v>74</v>
      </c>
      <c r="AF62" s="1" t="s">
        <v>74</v>
      </c>
      <c r="AG62" s="1" t="s">
        <v>74</v>
      </c>
      <c r="AH62" s="1" t="s">
        <v>74</v>
      </c>
      <c r="AI62" s="1" t="s">
        <v>74</v>
      </c>
      <c r="AJ62" s="1" t="s">
        <v>74</v>
      </c>
      <c r="AK62" s="1" t="s">
        <v>74</v>
      </c>
      <c r="AL62" s="1" t="s">
        <v>74</v>
      </c>
      <c r="AM62" s="1" t="s">
        <v>74</v>
      </c>
      <c r="AN62" s="1" t="s">
        <v>74</v>
      </c>
      <c r="AO62" s="1" t="s">
        <v>74</v>
      </c>
      <c r="AP62" s="1" t="s">
        <v>74</v>
      </c>
      <c r="AQ62" s="1" t="s">
        <v>754</v>
      </c>
      <c r="AR62" s="1" t="s">
        <v>74</v>
      </c>
      <c r="AS62" s="1" t="s">
        <v>74</v>
      </c>
      <c r="AT62" s="1" t="s">
        <v>74</v>
      </c>
      <c r="AU62" s="1">
        <v>2018.0</v>
      </c>
      <c r="AV62" s="1" t="s">
        <v>74</v>
      </c>
      <c r="AW62" s="1" t="s">
        <v>74</v>
      </c>
      <c r="AX62" s="1" t="s">
        <v>74</v>
      </c>
      <c r="AY62" s="1" t="s">
        <v>74</v>
      </c>
      <c r="AZ62" s="1" t="s">
        <v>74</v>
      </c>
      <c r="BA62" s="1" t="s">
        <v>74</v>
      </c>
      <c r="BB62" s="1">
        <v>85.0</v>
      </c>
      <c r="BC62" s="1">
        <v>108.0</v>
      </c>
      <c r="BD62" s="1" t="s">
        <v>74</v>
      </c>
      <c r="BE62" s="1" t="s">
        <v>74</v>
      </c>
      <c r="BF62" s="1" t="s">
        <v>74</v>
      </c>
      <c r="BG62" s="1" t="s">
        <v>74</v>
      </c>
      <c r="BH62" s="1" t="s">
        <v>74</v>
      </c>
      <c r="BI62" s="1" t="s">
        <v>74</v>
      </c>
      <c r="BJ62" s="1" t="s">
        <v>74</v>
      </c>
      <c r="BK62" s="1" t="s">
        <v>74</v>
      </c>
      <c r="BL62" s="1" t="s">
        <v>74</v>
      </c>
      <c r="BM62" s="1" t="s">
        <v>74</v>
      </c>
      <c r="BN62" s="1" t="s">
        <v>74</v>
      </c>
      <c r="BO62" s="1" t="s">
        <v>74</v>
      </c>
      <c r="BP62" s="1" t="s">
        <v>74</v>
      </c>
      <c r="BQ62" s="1" t="s">
        <v>74</v>
      </c>
      <c r="BR62" s="1" t="s">
        <v>74</v>
      </c>
      <c r="BS62" s="1" t="s">
        <v>755</v>
      </c>
      <c r="BT62" s="1" t="str">
        <f>HYPERLINK("https%3A%2F%2Fwww.webofscience.com%2Fwos%2Fwoscc%2Ffull-record%2FWOS:000462868900006","View Full Record in Web of Science")</f>
        <v>View Full Record in Web of Science</v>
      </c>
    </row>
    <row r="63" ht="12.75" customHeight="1">
      <c r="A63" s="1" t="s">
        <v>72</v>
      </c>
      <c r="B63" s="1" t="s">
        <v>756</v>
      </c>
      <c r="C63" s="1" t="s">
        <v>74</v>
      </c>
      <c r="D63" s="1" t="s">
        <v>74</v>
      </c>
      <c r="E63" s="1" t="s">
        <v>74</v>
      </c>
      <c r="F63" s="1" t="s">
        <v>757</v>
      </c>
      <c r="G63" s="1" t="s">
        <v>74</v>
      </c>
      <c r="H63" s="1" t="s">
        <v>74</v>
      </c>
      <c r="I63" s="1" t="s">
        <v>758</v>
      </c>
      <c r="J63" s="1" t="s">
        <v>759</v>
      </c>
      <c r="K63" s="1" t="s">
        <v>74</v>
      </c>
      <c r="L63" s="1" t="s">
        <v>74</v>
      </c>
      <c r="M63" s="1" t="s">
        <v>74</v>
      </c>
      <c r="N63" s="1" t="s">
        <v>74</v>
      </c>
      <c r="O63" s="1" t="s">
        <v>74</v>
      </c>
      <c r="P63" s="1" t="s">
        <v>74</v>
      </c>
      <c r="Q63" s="1" t="s">
        <v>74</v>
      </c>
      <c r="R63" s="1" t="s">
        <v>74</v>
      </c>
      <c r="S63" s="1" t="s">
        <v>74</v>
      </c>
      <c r="T63" s="1" t="s">
        <v>74</v>
      </c>
      <c r="U63" s="1" t="s">
        <v>74</v>
      </c>
      <c r="V63" s="1" t="s">
        <v>760</v>
      </c>
      <c r="W63" s="1" t="s">
        <v>74</v>
      </c>
      <c r="X63" s="1" t="s">
        <v>74</v>
      </c>
      <c r="Y63" s="1" t="s">
        <v>74</v>
      </c>
      <c r="Z63" s="1" t="s">
        <v>74</v>
      </c>
      <c r="AA63" s="1" t="s">
        <v>761</v>
      </c>
      <c r="AB63" s="1" t="s">
        <v>762</v>
      </c>
      <c r="AC63" s="1" t="s">
        <v>74</v>
      </c>
      <c r="AD63" s="1" t="s">
        <v>74</v>
      </c>
      <c r="AE63" s="1" t="s">
        <v>74</v>
      </c>
      <c r="AF63" s="1" t="s">
        <v>74</v>
      </c>
      <c r="AG63" s="1" t="s">
        <v>74</v>
      </c>
      <c r="AH63" s="1" t="s">
        <v>74</v>
      </c>
      <c r="AI63" s="1" t="s">
        <v>74</v>
      </c>
      <c r="AJ63" s="1" t="s">
        <v>74</v>
      </c>
      <c r="AK63" s="1" t="s">
        <v>74</v>
      </c>
      <c r="AL63" s="1" t="s">
        <v>74</v>
      </c>
      <c r="AM63" s="1" t="s">
        <v>74</v>
      </c>
      <c r="AN63" s="1" t="s">
        <v>74</v>
      </c>
      <c r="AO63" s="1" t="s">
        <v>74</v>
      </c>
      <c r="AP63" s="1" t="s">
        <v>763</v>
      </c>
      <c r="AQ63" s="1" t="s">
        <v>74</v>
      </c>
      <c r="AR63" s="1" t="s">
        <v>74</v>
      </c>
      <c r="AS63" s="1" t="s">
        <v>74</v>
      </c>
      <c r="AT63" s="1" t="s">
        <v>764</v>
      </c>
      <c r="AU63" s="1">
        <v>2017.0</v>
      </c>
      <c r="AV63" s="1">
        <v>16.0</v>
      </c>
      <c r="AW63" s="1" t="s">
        <v>74</v>
      </c>
      <c r="AX63" s="1" t="s">
        <v>74</v>
      </c>
      <c r="AY63" s="1" t="s">
        <v>74</v>
      </c>
      <c r="AZ63" s="1" t="s">
        <v>74</v>
      </c>
      <c r="BA63" s="1" t="s">
        <v>74</v>
      </c>
      <c r="BB63" s="1" t="s">
        <v>74</v>
      </c>
      <c r="BC63" s="1" t="s">
        <v>74</v>
      </c>
      <c r="BD63" s="1">
        <v>138.0</v>
      </c>
      <c r="BE63" s="1" t="s">
        <v>765</v>
      </c>
      <c r="BF63" s="2" t="str">
        <f>HYPERLINK("http://dx.doi.org/10.1186/s12934-017-0737-2","http://dx.doi.org/10.1186/s12934-017-0737-2")</f>
        <v>http://dx.doi.org/10.1186/s12934-017-0737-2</v>
      </c>
      <c r="BG63" s="1" t="s">
        <v>74</v>
      </c>
      <c r="BH63" s="1" t="s">
        <v>74</v>
      </c>
      <c r="BI63" s="1" t="s">
        <v>74</v>
      </c>
      <c r="BJ63" s="1" t="s">
        <v>74</v>
      </c>
      <c r="BK63" s="1" t="s">
        <v>74</v>
      </c>
      <c r="BL63" s="1" t="s">
        <v>74</v>
      </c>
      <c r="BM63" s="1" t="s">
        <v>74</v>
      </c>
      <c r="BN63" s="1">
        <v>2.8784139E7</v>
      </c>
      <c r="BO63" s="1" t="s">
        <v>74</v>
      </c>
      <c r="BP63" s="1" t="s">
        <v>74</v>
      </c>
      <c r="BQ63" s="1" t="s">
        <v>74</v>
      </c>
      <c r="BR63" s="1" t="s">
        <v>74</v>
      </c>
      <c r="BS63" s="1" t="s">
        <v>766</v>
      </c>
      <c r="BT63" s="1" t="str">
        <f>HYPERLINK("https%3A%2F%2Fwww.webofscience.com%2Fwos%2Fwoscc%2Ffull-record%2FWOS:000407062400001","View Full Record in Web of Science")</f>
        <v>View Full Record in Web of Science</v>
      </c>
    </row>
    <row r="64" ht="12.75" customHeight="1">
      <c r="A64" s="1" t="s">
        <v>72</v>
      </c>
      <c r="B64" s="1" t="s">
        <v>767</v>
      </c>
      <c r="C64" s="1" t="s">
        <v>74</v>
      </c>
      <c r="D64" s="1" t="s">
        <v>74</v>
      </c>
      <c r="E64" s="1" t="s">
        <v>74</v>
      </c>
      <c r="F64" s="1" t="s">
        <v>768</v>
      </c>
      <c r="G64" s="1" t="s">
        <v>74</v>
      </c>
      <c r="H64" s="1" t="s">
        <v>74</v>
      </c>
      <c r="I64" s="1" t="s">
        <v>769</v>
      </c>
      <c r="J64" s="1" t="s">
        <v>770</v>
      </c>
      <c r="K64" s="1" t="s">
        <v>74</v>
      </c>
      <c r="L64" s="1" t="s">
        <v>74</v>
      </c>
      <c r="M64" s="1" t="s">
        <v>74</v>
      </c>
      <c r="N64" s="1" t="s">
        <v>74</v>
      </c>
      <c r="O64" s="1" t="s">
        <v>74</v>
      </c>
      <c r="P64" s="1" t="s">
        <v>74</v>
      </c>
      <c r="Q64" s="1" t="s">
        <v>74</v>
      </c>
      <c r="R64" s="1" t="s">
        <v>74</v>
      </c>
      <c r="S64" s="1" t="s">
        <v>74</v>
      </c>
      <c r="T64" s="1" t="s">
        <v>74</v>
      </c>
      <c r="U64" s="1" t="s">
        <v>74</v>
      </c>
      <c r="V64" s="1" t="s">
        <v>771</v>
      </c>
      <c r="W64" s="1" t="s">
        <v>74</v>
      </c>
      <c r="X64" s="1" t="s">
        <v>74</v>
      </c>
      <c r="Y64" s="1" t="s">
        <v>74</v>
      </c>
      <c r="Z64" s="1" t="s">
        <v>74</v>
      </c>
      <c r="AA64" s="1" t="s">
        <v>772</v>
      </c>
      <c r="AB64" s="1" t="s">
        <v>773</v>
      </c>
      <c r="AC64" s="1" t="s">
        <v>74</v>
      </c>
      <c r="AD64" s="1" t="s">
        <v>74</v>
      </c>
      <c r="AE64" s="1" t="s">
        <v>74</v>
      </c>
      <c r="AF64" s="1" t="s">
        <v>74</v>
      </c>
      <c r="AG64" s="1" t="s">
        <v>74</v>
      </c>
      <c r="AH64" s="1" t="s">
        <v>74</v>
      </c>
      <c r="AI64" s="1" t="s">
        <v>74</v>
      </c>
      <c r="AJ64" s="1" t="s">
        <v>74</v>
      </c>
      <c r="AK64" s="1" t="s">
        <v>74</v>
      </c>
      <c r="AL64" s="1" t="s">
        <v>74</v>
      </c>
      <c r="AM64" s="1" t="s">
        <v>74</v>
      </c>
      <c r="AN64" s="1" t="s">
        <v>74</v>
      </c>
      <c r="AO64" s="1" t="s">
        <v>774</v>
      </c>
      <c r="AP64" s="1" t="s">
        <v>74</v>
      </c>
      <c r="AQ64" s="1" t="s">
        <v>74</v>
      </c>
      <c r="AR64" s="1" t="s">
        <v>74</v>
      </c>
      <c r="AS64" s="1" t="s">
        <v>74</v>
      </c>
      <c r="AT64" s="1" t="s">
        <v>775</v>
      </c>
      <c r="AU64" s="1">
        <v>2017.0</v>
      </c>
      <c r="AV64" s="1">
        <v>110.0</v>
      </c>
      <c r="AW64" s="1" t="s">
        <v>74</v>
      </c>
      <c r="AX64" s="1" t="s">
        <v>74</v>
      </c>
      <c r="AY64" s="1" t="s">
        <v>74</v>
      </c>
      <c r="AZ64" s="1" t="s">
        <v>74</v>
      </c>
      <c r="BA64" s="1" t="s">
        <v>74</v>
      </c>
      <c r="BB64" s="1">
        <v>18.0</v>
      </c>
      <c r="BC64" s="1">
        <v>22.0</v>
      </c>
      <c r="BD64" s="1" t="s">
        <v>74</v>
      </c>
      <c r="BE64" s="1" t="s">
        <v>776</v>
      </c>
      <c r="BF64" s="2" t="str">
        <f>HYPERLINK("http://dx.doi.org/10.1016/j.paid.2017.01.013","http://dx.doi.org/10.1016/j.paid.2017.01.013")</f>
        <v>http://dx.doi.org/10.1016/j.paid.2017.01.013</v>
      </c>
      <c r="BG64" s="1" t="s">
        <v>74</v>
      </c>
      <c r="BH64" s="1" t="s">
        <v>74</v>
      </c>
      <c r="BI64" s="1" t="s">
        <v>74</v>
      </c>
      <c r="BJ64" s="1" t="s">
        <v>74</v>
      </c>
      <c r="BK64" s="1" t="s">
        <v>74</v>
      </c>
      <c r="BL64" s="1" t="s">
        <v>74</v>
      </c>
      <c r="BM64" s="1" t="s">
        <v>74</v>
      </c>
      <c r="BN64" s="1" t="s">
        <v>74</v>
      </c>
      <c r="BO64" s="1" t="s">
        <v>74</v>
      </c>
      <c r="BP64" s="1" t="s">
        <v>74</v>
      </c>
      <c r="BQ64" s="1" t="s">
        <v>74</v>
      </c>
      <c r="BR64" s="1" t="s">
        <v>74</v>
      </c>
      <c r="BS64" s="1" t="s">
        <v>777</v>
      </c>
      <c r="BT64" s="1" t="str">
        <f>HYPERLINK("https%3A%2F%2Fwww.webofscience.com%2Fwos%2Fwoscc%2Ffull-record%2FWOS:000397361700004","View Full Record in Web of Science")</f>
        <v>View Full Record in Web of Science</v>
      </c>
    </row>
    <row r="65" ht="12.75" customHeight="1">
      <c r="A65" s="1" t="s">
        <v>72</v>
      </c>
      <c r="B65" s="1" t="s">
        <v>778</v>
      </c>
      <c r="C65" s="1" t="s">
        <v>74</v>
      </c>
      <c r="D65" s="1" t="s">
        <v>74</v>
      </c>
      <c r="E65" s="1" t="s">
        <v>74</v>
      </c>
      <c r="F65" s="1" t="s">
        <v>779</v>
      </c>
      <c r="G65" s="1" t="s">
        <v>74</v>
      </c>
      <c r="H65" s="1" t="s">
        <v>74</v>
      </c>
      <c r="I65" s="1" t="s">
        <v>780</v>
      </c>
      <c r="J65" s="1" t="s">
        <v>781</v>
      </c>
      <c r="K65" s="1" t="s">
        <v>74</v>
      </c>
      <c r="L65" s="1" t="s">
        <v>74</v>
      </c>
      <c r="M65" s="1" t="s">
        <v>74</v>
      </c>
      <c r="N65" s="1" t="s">
        <v>74</v>
      </c>
      <c r="O65" s="1" t="s">
        <v>74</v>
      </c>
      <c r="P65" s="1" t="s">
        <v>74</v>
      </c>
      <c r="Q65" s="1" t="s">
        <v>74</v>
      </c>
      <c r="R65" s="1" t="s">
        <v>74</v>
      </c>
      <c r="S65" s="1" t="s">
        <v>74</v>
      </c>
      <c r="T65" s="1" t="s">
        <v>74</v>
      </c>
      <c r="U65" s="1" t="s">
        <v>74</v>
      </c>
      <c r="V65" s="1" t="s">
        <v>782</v>
      </c>
      <c r="W65" s="1" t="s">
        <v>74</v>
      </c>
      <c r="X65" s="1" t="s">
        <v>74</v>
      </c>
      <c r="Y65" s="1" t="s">
        <v>74</v>
      </c>
      <c r="Z65" s="1" t="s">
        <v>74</v>
      </c>
      <c r="AA65" s="1" t="s">
        <v>783</v>
      </c>
      <c r="AB65" s="1" t="s">
        <v>784</v>
      </c>
      <c r="AC65" s="1" t="s">
        <v>74</v>
      </c>
      <c r="AD65" s="1" t="s">
        <v>74</v>
      </c>
      <c r="AE65" s="1" t="s">
        <v>74</v>
      </c>
      <c r="AF65" s="1" t="s">
        <v>74</v>
      </c>
      <c r="AG65" s="1" t="s">
        <v>74</v>
      </c>
      <c r="AH65" s="1" t="s">
        <v>74</v>
      </c>
      <c r="AI65" s="1" t="s">
        <v>74</v>
      </c>
      <c r="AJ65" s="1" t="s">
        <v>74</v>
      </c>
      <c r="AK65" s="1" t="s">
        <v>74</v>
      </c>
      <c r="AL65" s="1" t="s">
        <v>74</v>
      </c>
      <c r="AM65" s="1" t="s">
        <v>74</v>
      </c>
      <c r="AN65" s="1" t="s">
        <v>74</v>
      </c>
      <c r="AO65" s="1" t="s">
        <v>785</v>
      </c>
      <c r="AP65" s="1" t="s">
        <v>786</v>
      </c>
      <c r="AQ65" s="1" t="s">
        <v>74</v>
      </c>
      <c r="AR65" s="1" t="s">
        <v>74</v>
      </c>
      <c r="AS65" s="1" t="s">
        <v>74</v>
      </c>
      <c r="AT65" s="1" t="s">
        <v>374</v>
      </c>
      <c r="AU65" s="1">
        <v>2016.0</v>
      </c>
      <c r="AV65" s="1">
        <v>133.0</v>
      </c>
      <c r="AW65" s="1" t="s">
        <v>74</v>
      </c>
      <c r="AX65" s="1" t="s">
        <v>74</v>
      </c>
      <c r="AY65" s="1" t="s">
        <v>74</v>
      </c>
      <c r="AZ65" s="1" t="s">
        <v>74</v>
      </c>
      <c r="BA65" s="1" t="s">
        <v>74</v>
      </c>
      <c r="BB65" s="1">
        <v>316.0</v>
      </c>
      <c r="BC65" s="1">
        <v>326.0</v>
      </c>
      <c r="BD65" s="1" t="s">
        <v>74</v>
      </c>
      <c r="BE65" s="1" t="s">
        <v>787</v>
      </c>
      <c r="BF65" s="2" t="str">
        <f>HYPERLINK("http://dx.doi.org/10.1016/j.ecoenv.2016.07.029","http://dx.doi.org/10.1016/j.ecoenv.2016.07.029")</f>
        <v>http://dx.doi.org/10.1016/j.ecoenv.2016.07.029</v>
      </c>
      <c r="BG65" s="1" t="s">
        <v>74</v>
      </c>
      <c r="BH65" s="1" t="s">
        <v>74</v>
      </c>
      <c r="BI65" s="1" t="s">
        <v>74</v>
      </c>
      <c r="BJ65" s="1" t="s">
        <v>74</v>
      </c>
      <c r="BK65" s="1" t="s">
        <v>74</v>
      </c>
      <c r="BL65" s="1" t="s">
        <v>74</v>
      </c>
      <c r="BM65" s="1" t="s">
        <v>74</v>
      </c>
      <c r="BN65" s="1">
        <v>2.7485373E7</v>
      </c>
      <c r="BO65" s="1" t="s">
        <v>74</v>
      </c>
      <c r="BP65" s="1" t="s">
        <v>74</v>
      </c>
      <c r="BQ65" s="1" t="s">
        <v>74</v>
      </c>
      <c r="BR65" s="1" t="s">
        <v>74</v>
      </c>
      <c r="BS65" s="1" t="s">
        <v>788</v>
      </c>
      <c r="BT65" s="1" t="str">
        <f>HYPERLINK("https%3A%2F%2Fwww.webofscience.com%2Fwos%2Fwoscc%2Ffull-record%2FWOS:000384398800036","View Full Record in Web of Science")</f>
        <v>View Full Record in Web of Science</v>
      </c>
    </row>
    <row r="66" ht="12.75" customHeight="1">
      <c r="A66" s="1" t="s">
        <v>72</v>
      </c>
      <c r="B66" s="1" t="s">
        <v>789</v>
      </c>
      <c r="C66" s="1" t="s">
        <v>74</v>
      </c>
      <c r="D66" s="1" t="s">
        <v>74</v>
      </c>
      <c r="E66" s="1" t="s">
        <v>74</v>
      </c>
      <c r="F66" s="1" t="s">
        <v>790</v>
      </c>
      <c r="G66" s="1" t="s">
        <v>74</v>
      </c>
      <c r="H66" s="1" t="s">
        <v>74</v>
      </c>
      <c r="I66" s="1" t="s">
        <v>791</v>
      </c>
      <c r="J66" s="1" t="s">
        <v>792</v>
      </c>
      <c r="K66" s="1" t="s">
        <v>74</v>
      </c>
      <c r="L66" s="1" t="s">
        <v>74</v>
      </c>
      <c r="M66" s="1" t="s">
        <v>74</v>
      </c>
      <c r="N66" s="1" t="s">
        <v>74</v>
      </c>
      <c r="O66" s="1" t="s">
        <v>793</v>
      </c>
      <c r="P66" s="1" t="s">
        <v>794</v>
      </c>
      <c r="Q66" s="1" t="s">
        <v>795</v>
      </c>
      <c r="R66" s="1" t="s">
        <v>796</v>
      </c>
      <c r="S66" s="1" t="s">
        <v>797</v>
      </c>
      <c r="T66" s="1" t="s">
        <v>74</v>
      </c>
      <c r="U66" s="1" t="s">
        <v>74</v>
      </c>
      <c r="V66" s="1" t="s">
        <v>74</v>
      </c>
      <c r="W66" s="1" t="s">
        <v>74</v>
      </c>
      <c r="X66" s="1" t="s">
        <v>74</v>
      </c>
      <c r="Y66" s="1" t="s">
        <v>74</v>
      </c>
      <c r="Z66" s="1" t="s">
        <v>74</v>
      </c>
      <c r="AA66" s="1" t="s">
        <v>798</v>
      </c>
      <c r="AB66" s="1" t="s">
        <v>74</v>
      </c>
      <c r="AC66" s="1" t="s">
        <v>74</v>
      </c>
      <c r="AD66" s="1" t="s">
        <v>74</v>
      </c>
      <c r="AE66" s="1" t="s">
        <v>74</v>
      </c>
      <c r="AF66" s="1" t="s">
        <v>74</v>
      </c>
      <c r="AG66" s="1" t="s">
        <v>74</v>
      </c>
      <c r="AH66" s="1" t="s">
        <v>74</v>
      </c>
      <c r="AI66" s="1" t="s">
        <v>74</v>
      </c>
      <c r="AJ66" s="1" t="s">
        <v>74</v>
      </c>
      <c r="AK66" s="1" t="s">
        <v>74</v>
      </c>
      <c r="AL66" s="1" t="s">
        <v>74</v>
      </c>
      <c r="AM66" s="1" t="s">
        <v>74</v>
      </c>
      <c r="AN66" s="1" t="s">
        <v>74</v>
      </c>
      <c r="AO66" s="1" t="s">
        <v>799</v>
      </c>
      <c r="AP66" s="1" t="s">
        <v>800</v>
      </c>
      <c r="AQ66" s="1" t="s">
        <v>74</v>
      </c>
      <c r="AR66" s="1" t="s">
        <v>74</v>
      </c>
      <c r="AS66" s="1" t="s">
        <v>74</v>
      </c>
      <c r="AT66" s="1" t="s">
        <v>271</v>
      </c>
      <c r="AU66" s="1">
        <v>2015.0</v>
      </c>
      <c r="AV66" s="1">
        <v>32.0</v>
      </c>
      <c r="AW66" s="1" t="s">
        <v>74</v>
      </c>
      <c r="AX66" s="1" t="s">
        <v>74</v>
      </c>
      <c r="AY66" s="1">
        <v>1.0</v>
      </c>
      <c r="AZ66" s="1" t="s">
        <v>74</v>
      </c>
      <c r="BA66" s="1" t="s">
        <v>801</v>
      </c>
      <c r="BB66" s="1" t="s">
        <v>802</v>
      </c>
      <c r="BC66" s="1" t="s">
        <v>802</v>
      </c>
      <c r="BD66" s="1" t="s">
        <v>74</v>
      </c>
      <c r="BE66" s="1" t="s">
        <v>74</v>
      </c>
      <c r="BF66" s="1" t="s">
        <v>74</v>
      </c>
      <c r="BG66" s="1" t="s">
        <v>74</v>
      </c>
      <c r="BH66" s="1" t="s">
        <v>74</v>
      </c>
      <c r="BI66" s="1" t="s">
        <v>74</v>
      </c>
      <c r="BJ66" s="1" t="s">
        <v>74</v>
      </c>
      <c r="BK66" s="1" t="s">
        <v>74</v>
      </c>
      <c r="BL66" s="1" t="s">
        <v>74</v>
      </c>
      <c r="BM66" s="1" t="s">
        <v>74</v>
      </c>
      <c r="BN66" s="1" t="s">
        <v>74</v>
      </c>
      <c r="BO66" s="1" t="s">
        <v>74</v>
      </c>
      <c r="BP66" s="1" t="s">
        <v>74</v>
      </c>
      <c r="BQ66" s="1" t="s">
        <v>74</v>
      </c>
      <c r="BR66" s="1" t="s">
        <v>74</v>
      </c>
      <c r="BS66" s="1" t="s">
        <v>803</v>
      </c>
      <c r="BT66" s="1" t="str">
        <f>HYPERLINK("https%3A%2F%2Fwww.webofscience.com%2Fwos%2Fwoscc%2Ffull-record%2FWOS:000361466200234","View Full Record in Web of Science")</f>
        <v>View Full Record in Web of Science</v>
      </c>
    </row>
    <row r="67" ht="12.75" customHeight="1">
      <c r="A67" s="1" t="s">
        <v>72</v>
      </c>
      <c r="B67" s="1" t="s">
        <v>804</v>
      </c>
      <c r="C67" s="1" t="s">
        <v>74</v>
      </c>
      <c r="D67" s="1" t="s">
        <v>74</v>
      </c>
      <c r="E67" s="1" t="s">
        <v>74</v>
      </c>
      <c r="F67" s="1" t="s">
        <v>805</v>
      </c>
      <c r="G67" s="1" t="s">
        <v>74</v>
      </c>
      <c r="H67" s="1" t="s">
        <v>74</v>
      </c>
      <c r="I67" s="1" t="s">
        <v>806</v>
      </c>
      <c r="J67" s="1" t="s">
        <v>807</v>
      </c>
      <c r="K67" s="1" t="s">
        <v>74</v>
      </c>
      <c r="L67" s="1" t="s">
        <v>74</v>
      </c>
      <c r="M67" s="1" t="s">
        <v>74</v>
      </c>
      <c r="N67" s="1" t="s">
        <v>74</v>
      </c>
      <c r="O67" s="1" t="s">
        <v>74</v>
      </c>
      <c r="P67" s="1" t="s">
        <v>74</v>
      </c>
      <c r="Q67" s="1" t="s">
        <v>74</v>
      </c>
      <c r="R67" s="1" t="s">
        <v>74</v>
      </c>
      <c r="S67" s="1" t="s">
        <v>74</v>
      </c>
      <c r="T67" s="1" t="s">
        <v>74</v>
      </c>
      <c r="U67" s="1" t="s">
        <v>74</v>
      </c>
      <c r="V67" s="1" t="s">
        <v>808</v>
      </c>
      <c r="W67" s="1" t="s">
        <v>74</v>
      </c>
      <c r="X67" s="1" t="s">
        <v>74</v>
      </c>
      <c r="Y67" s="1" t="s">
        <v>74</v>
      </c>
      <c r="Z67" s="1" t="s">
        <v>74</v>
      </c>
      <c r="AA67" s="1" t="s">
        <v>319</v>
      </c>
      <c r="AB67" s="1" t="s">
        <v>809</v>
      </c>
      <c r="AC67" s="1" t="s">
        <v>74</v>
      </c>
      <c r="AD67" s="1" t="s">
        <v>74</v>
      </c>
      <c r="AE67" s="1" t="s">
        <v>74</v>
      </c>
      <c r="AF67" s="1" t="s">
        <v>74</v>
      </c>
      <c r="AG67" s="1" t="s">
        <v>74</v>
      </c>
      <c r="AH67" s="1" t="s">
        <v>74</v>
      </c>
      <c r="AI67" s="1" t="s">
        <v>74</v>
      </c>
      <c r="AJ67" s="1" t="s">
        <v>74</v>
      </c>
      <c r="AK67" s="1" t="s">
        <v>74</v>
      </c>
      <c r="AL67" s="1" t="s">
        <v>74</v>
      </c>
      <c r="AM67" s="1" t="s">
        <v>74</v>
      </c>
      <c r="AN67" s="1" t="s">
        <v>74</v>
      </c>
      <c r="AO67" s="1" t="s">
        <v>810</v>
      </c>
      <c r="AP67" s="1" t="s">
        <v>74</v>
      </c>
      <c r="AQ67" s="1" t="s">
        <v>74</v>
      </c>
      <c r="AR67" s="1" t="s">
        <v>74</v>
      </c>
      <c r="AS67" s="1" t="s">
        <v>74</v>
      </c>
      <c r="AT67" s="1" t="s">
        <v>811</v>
      </c>
      <c r="AU67" s="1">
        <v>2015.0</v>
      </c>
      <c r="AV67" s="1">
        <v>7.0</v>
      </c>
      <c r="AW67" s="1" t="s">
        <v>74</v>
      </c>
      <c r="AX67" s="1" t="s">
        <v>74</v>
      </c>
      <c r="AY67" s="1" t="s">
        <v>74</v>
      </c>
      <c r="AZ67" s="1" t="s">
        <v>74</v>
      </c>
      <c r="BA67" s="1" t="s">
        <v>74</v>
      </c>
      <c r="BB67" s="1" t="s">
        <v>74</v>
      </c>
      <c r="BC67" s="1" t="s">
        <v>74</v>
      </c>
      <c r="BD67" s="1">
        <v>124.0</v>
      </c>
      <c r="BE67" s="1" t="s">
        <v>812</v>
      </c>
      <c r="BF67" s="2" t="str">
        <f>HYPERLINK("http://dx.doi.org/10.3389/fnagi.2015.00124","http://dx.doi.org/10.3389/fnagi.2015.00124")</f>
        <v>http://dx.doi.org/10.3389/fnagi.2015.00124</v>
      </c>
      <c r="BG67" s="1" t="s">
        <v>74</v>
      </c>
      <c r="BH67" s="1" t="s">
        <v>74</v>
      </c>
      <c r="BI67" s="1" t="s">
        <v>74</v>
      </c>
      <c r="BJ67" s="1" t="s">
        <v>74</v>
      </c>
      <c r="BK67" s="1" t="s">
        <v>74</v>
      </c>
      <c r="BL67" s="1" t="s">
        <v>74</v>
      </c>
      <c r="BM67" s="1" t="s">
        <v>74</v>
      </c>
      <c r="BN67" s="1">
        <v>2.6257642E7</v>
      </c>
      <c r="BO67" s="1" t="s">
        <v>74</v>
      </c>
      <c r="BP67" s="1" t="s">
        <v>74</v>
      </c>
      <c r="BQ67" s="1" t="s">
        <v>74</v>
      </c>
      <c r="BR67" s="1" t="s">
        <v>74</v>
      </c>
      <c r="BS67" s="1" t="s">
        <v>813</v>
      </c>
      <c r="BT67" s="1" t="str">
        <f>HYPERLINK("https%3A%2F%2Fwww.webofscience.com%2Fwos%2Fwoscc%2Ffull-record%2FWOS:000360162600001","View Full Record in Web of Science")</f>
        <v>View Full Record in Web of Science</v>
      </c>
    </row>
    <row r="68" ht="12.75" customHeight="1">
      <c r="A68" s="1" t="s">
        <v>72</v>
      </c>
      <c r="B68" s="1" t="s">
        <v>814</v>
      </c>
      <c r="C68" s="1" t="s">
        <v>74</v>
      </c>
      <c r="D68" s="1" t="s">
        <v>74</v>
      </c>
      <c r="E68" s="1" t="s">
        <v>74</v>
      </c>
      <c r="F68" s="1" t="s">
        <v>815</v>
      </c>
      <c r="G68" s="1" t="s">
        <v>74</v>
      </c>
      <c r="H68" s="1" t="s">
        <v>74</v>
      </c>
      <c r="I68" s="1" t="s">
        <v>816</v>
      </c>
      <c r="J68" s="1" t="s">
        <v>817</v>
      </c>
      <c r="K68" s="1" t="s">
        <v>74</v>
      </c>
      <c r="L68" s="1" t="s">
        <v>74</v>
      </c>
      <c r="M68" s="1" t="s">
        <v>74</v>
      </c>
      <c r="N68" s="1" t="s">
        <v>74</v>
      </c>
      <c r="O68" s="1" t="s">
        <v>74</v>
      </c>
      <c r="P68" s="1" t="s">
        <v>74</v>
      </c>
      <c r="Q68" s="1" t="s">
        <v>74</v>
      </c>
      <c r="R68" s="1" t="s">
        <v>74</v>
      </c>
      <c r="S68" s="1" t="s">
        <v>74</v>
      </c>
      <c r="T68" s="1" t="s">
        <v>74</v>
      </c>
      <c r="U68" s="1" t="s">
        <v>74</v>
      </c>
      <c r="V68" s="1" t="s">
        <v>818</v>
      </c>
      <c r="W68" s="1" t="s">
        <v>74</v>
      </c>
      <c r="X68" s="1" t="s">
        <v>74</v>
      </c>
      <c r="Y68" s="1" t="s">
        <v>74</v>
      </c>
      <c r="Z68" s="1" t="s">
        <v>74</v>
      </c>
      <c r="AA68" s="1" t="s">
        <v>819</v>
      </c>
      <c r="AB68" s="1" t="s">
        <v>820</v>
      </c>
      <c r="AC68" s="1" t="s">
        <v>74</v>
      </c>
      <c r="AD68" s="1" t="s">
        <v>74</v>
      </c>
      <c r="AE68" s="1" t="s">
        <v>74</v>
      </c>
      <c r="AF68" s="1" t="s">
        <v>74</v>
      </c>
      <c r="AG68" s="1" t="s">
        <v>74</v>
      </c>
      <c r="AH68" s="1" t="s">
        <v>74</v>
      </c>
      <c r="AI68" s="1" t="s">
        <v>74</v>
      </c>
      <c r="AJ68" s="1" t="s">
        <v>74</v>
      </c>
      <c r="AK68" s="1" t="s">
        <v>74</v>
      </c>
      <c r="AL68" s="1" t="s">
        <v>74</v>
      </c>
      <c r="AM68" s="1" t="s">
        <v>74</v>
      </c>
      <c r="AN68" s="1" t="s">
        <v>74</v>
      </c>
      <c r="AO68" s="1" t="s">
        <v>821</v>
      </c>
      <c r="AP68" s="1" t="s">
        <v>822</v>
      </c>
      <c r="AQ68" s="1" t="s">
        <v>74</v>
      </c>
      <c r="AR68" s="1" t="s">
        <v>74</v>
      </c>
      <c r="AS68" s="1" t="s">
        <v>74</v>
      </c>
      <c r="AT68" s="1" t="s">
        <v>294</v>
      </c>
      <c r="AU68" s="1">
        <v>2015.0</v>
      </c>
      <c r="AV68" s="1">
        <v>15.0</v>
      </c>
      <c r="AW68" s="1">
        <v>1.0</v>
      </c>
      <c r="AX68" s="1" t="s">
        <v>74</v>
      </c>
      <c r="AY68" s="1" t="s">
        <v>74</v>
      </c>
      <c r="AZ68" s="1" t="s">
        <v>74</v>
      </c>
      <c r="BA68" s="1" t="s">
        <v>74</v>
      </c>
      <c r="BB68" s="1">
        <v>306.0</v>
      </c>
      <c r="BC68" s="1">
        <v>318.0</v>
      </c>
      <c r="BD68" s="1" t="s">
        <v>74</v>
      </c>
      <c r="BE68" s="1" t="s">
        <v>823</v>
      </c>
      <c r="BF68" s="2" t="str">
        <f>HYPERLINK("http://dx.doi.org/10.4209/aaqr.2013.01.0316","http://dx.doi.org/10.4209/aaqr.2013.01.0316")</f>
        <v>http://dx.doi.org/10.4209/aaqr.2013.01.0316</v>
      </c>
      <c r="BG68" s="1" t="s">
        <v>74</v>
      </c>
      <c r="BH68" s="1" t="s">
        <v>74</v>
      </c>
      <c r="BI68" s="1" t="s">
        <v>74</v>
      </c>
      <c r="BJ68" s="1" t="s">
        <v>74</v>
      </c>
      <c r="BK68" s="1" t="s">
        <v>74</v>
      </c>
      <c r="BL68" s="1" t="s">
        <v>74</v>
      </c>
      <c r="BM68" s="1" t="s">
        <v>74</v>
      </c>
      <c r="BN68" s="1" t="s">
        <v>74</v>
      </c>
      <c r="BO68" s="1" t="s">
        <v>74</v>
      </c>
      <c r="BP68" s="1" t="s">
        <v>74</v>
      </c>
      <c r="BQ68" s="1" t="s">
        <v>74</v>
      </c>
      <c r="BR68" s="1" t="s">
        <v>74</v>
      </c>
      <c r="BS68" s="1" t="s">
        <v>824</v>
      </c>
      <c r="BT68" s="1" t="str">
        <f>HYPERLINK("https%3A%2F%2Fwww.webofscience.com%2Fwos%2Fwoscc%2Ffull-record%2FWOS:000351351000026","View Full Record in Web of Science")</f>
        <v>View Full Record in Web of Science</v>
      </c>
    </row>
    <row r="69" ht="12.75" customHeight="1">
      <c r="A69" s="1" t="s">
        <v>207</v>
      </c>
      <c r="B69" s="1" t="s">
        <v>825</v>
      </c>
      <c r="C69" s="1" t="s">
        <v>74</v>
      </c>
      <c r="D69" s="1" t="s">
        <v>826</v>
      </c>
      <c r="E69" s="1" t="s">
        <v>74</v>
      </c>
      <c r="F69" s="1" t="s">
        <v>827</v>
      </c>
      <c r="G69" s="1" t="s">
        <v>74</v>
      </c>
      <c r="H69" s="1" t="s">
        <v>74</v>
      </c>
      <c r="I69" s="1" t="s">
        <v>828</v>
      </c>
      <c r="J69" s="1" t="s">
        <v>829</v>
      </c>
      <c r="K69" s="1" t="s">
        <v>74</v>
      </c>
      <c r="L69" s="1" t="s">
        <v>74</v>
      </c>
      <c r="M69" s="1" t="s">
        <v>74</v>
      </c>
      <c r="N69" s="1" t="s">
        <v>74</v>
      </c>
      <c r="O69" s="1" t="s">
        <v>830</v>
      </c>
      <c r="P69" s="1" t="s">
        <v>831</v>
      </c>
      <c r="Q69" s="1" t="s">
        <v>832</v>
      </c>
      <c r="R69" s="1" t="s">
        <v>833</v>
      </c>
      <c r="S69" s="1" t="s">
        <v>834</v>
      </c>
      <c r="T69" s="1" t="s">
        <v>74</v>
      </c>
      <c r="U69" s="1" t="s">
        <v>74</v>
      </c>
      <c r="V69" s="1" t="s">
        <v>835</v>
      </c>
      <c r="W69" s="1" t="s">
        <v>74</v>
      </c>
      <c r="X69" s="1" t="s">
        <v>74</v>
      </c>
      <c r="Y69" s="1" t="s">
        <v>74</v>
      </c>
      <c r="Z69" s="1" t="s">
        <v>74</v>
      </c>
      <c r="AA69" s="1" t="s">
        <v>836</v>
      </c>
      <c r="AB69" s="1" t="s">
        <v>837</v>
      </c>
      <c r="AC69" s="1" t="s">
        <v>74</v>
      </c>
      <c r="AD69" s="1" t="s">
        <v>74</v>
      </c>
      <c r="AE69" s="1" t="s">
        <v>74</v>
      </c>
      <c r="AF69" s="1" t="s">
        <v>74</v>
      </c>
      <c r="AG69" s="1" t="s">
        <v>74</v>
      </c>
      <c r="AH69" s="1" t="s">
        <v>74</v>
      </c>
      <c r="AI69" s="1" t="s">
        <v>74</v>
      </c>
      <c r="AJ69" s="1" t="s">
        <v>74</v>
      </c>
      <c r="AK69" s="1" t="s">
        <v>74</v>
      </c>
      <c r="AL69" s="1" t="s">
        <v>74</v>
      </c>
      <c r="AM69" s="1" t="s">
        <v>74</v>
      </c>
      <c r="AN69" s="1" t="s">
        <v>74</v>
      </c>
      <c r="AO69" s="1" t="s">
        <v>74</v>
      </c>
      <c r="AP69" s="1" t="s">
        <v>74</v>
      </c>
      <c r="AQ69" s="1" t="s">
        <v>838</v>
      </c>
      <c r="AR69" s="1" t="s">
        <v>74</v>
      </c>
      <c r="AS69" s="1" t="s">
        <v>74</v>
      </c>
      <c r="AT69" s="1" t="s">
        <v>74</v>
      </c>
      <c r="AU69" s="1">
        <v>2015.0</v>
      </c>
      <c r="AV69" s="1" t="s">
        <v>74</v>
      </c>
      <c r="AW69" s="1" t="s">
        <v>74</v>
      </c>
      <c r="AX69" s="1" t="s">
        <v>74</v>
      </c>
      <c r="AY69" s="1" t="s">
        <v>74</v>
      </c>
      <c r="AZ69" s="1" t="s">
        <v>74</v>
      </c>
      <c r="BA69" s="1" t="s">
        <v>74</v>
      </c>
      <c r="BB69" s="1">
        <v>1287.0</v>
      </c>
      <c r="BC69" s="1">
        <v>1292.0</v>
      </c>
      <c r="BD69" s="1" t="s">
        <v>74</v>
      </c>
      <c r="BE69" s="1" t="s">
        <v>839</v>
      </c>
      <c r="BF69" s="2" t="str">
        <f>HYPERLINK("http://dx.doi.org/10.1007/978-3-642-40660-7_193","http://dx.doi.org/10.1007/978-3-642-40660-7_193")</f>
        <v>http://dx.doi.org/10.1007/978-3-642-40660-7_193</v>
      </c>
      <c r="BG69" s="1" t="s">
        <v>74</v>
      </c>
      <c r="BH69" s="1" t="s">
        <v>74</v>
      </c>
      <c r="BI69" s="1" t="s">
        <v>74</v>
      </c>
      <c r="BJ69" s="1" t="s">
        <v>74</v>
      </c>
      <c r="BK69" s="1" t="s">
        <v>74</v>
      </c>
      <c r="BL69" s="1" t="s">
        <v>74</v>
      </c>
      <c r="BM69" s="1" t="s">
        <v>74</v>
      </c>
      <c r="BN69" s="1" t="s">
        <v>74</v>
      </c>
      <c r="BO69" s="1" t="s">
        <v>74</v>
      </c>
      <c r="BP69" s="1" t="s">
        <v>74</v>
      </c>
      <c r="BQ69" s="1" t="s">
        <v>74</v>
      </c>
      <c r="BR69" s="1" t="s">
        <v>74</v>
      </c>
      <c r="BS69" s="1" t="s">
        <v>840</v>
      </c>
      <c r="BT69" s="1" t="str">
        <f>HYPERLINK("https%3A%2F%2Fwww.webofscience.com%2Fwos%2Fwoscc%2Ffull-record%2FWOS:000358441900193","View Full Record in Web of Science")</f>
        <v>View Full Record in Web of Science</v>
      </c>
    </row>
    <row r="70" ht="12.75" customHeight="1">
      <c r="A70" s="1" t="s">
        <v>72</v>
      </c>
      <c r="B70" s="1" t="s">
        <v>841</v>
      </c>
      <c r="C70" s="1" t="s">
        <v>74</v>
      </c>
      <c r="D70" s="1" t="s">
        <v>74</v>
      </c>
      <c r="E70" s="1" t="s">
        <v>74</v>
      </c>
      <c r="F70" s="1" t="s">
        <v>842</v>
      </c>
      <c r="G70" s="1" t="s">
        <v>74</v>
      </c>
      <c r="H70" s="1" t="s">
        <v>74</v>
      </c>
      <c r="I70" s="1" t="s">
        <v>843</v>
      </c>
      <c r="J70" s="1" t="s">
        <v>844</v>
      </c>
      <c r="K70" s="1" t="s">
        <v>74</v>
      </c>
      <c r="L70" s="1" t="s">
        <v>74</v>
      </c>
      <c r="M70" s="1" t="s">
        <v>74</v>
      </c>
      <c r="N70" s="1" t="s">
        <v>74</v>
      </c>
      <c r="O70" s="1" t="s">
        <v>74</v>
      </c>
      <c r="P70" s="1" t="s">
        <v>74</v>
      </c>
      <c r="Q70" s="1" t="s">
        <v>74</v>
      </c>
      <c r="R70" s="1" t="s">
        <v>74</v>
      </c>
      <c r="S70" s="1" t="s">
        <v>74</v>
      </c>
      <c r="T70" s="1" t="s">
        <v>74</v>
      </c>
      <c r="U70" s="1" t="s">
        <v>74</v>
      </c>
      <c r="V70" s="1" t="s">
        <v>845</v>
      </c>
      <c r="W70" s="1" t="s">
        <v>74</v>
      </c>
      <c r="X70" s="1" t="s">
        <v>74</v>
      </c>
      <c r="Y70" s="1" t="s">
        <v>74</v>
      </c>
      <c r="Z70" s="1" t="s">
        <v>74</v>
      </c>
      <c r="AA70" s="1" t="s">
        <v>846</v>
      </c>
      <c r="AB70" s="1" t="s">
        <v>847</v>
      </c>
      <c r="AC70" s="1" t="s">
        <v>74</v>
      </c>
      <c r="AD70" s="1" t="s">
        <v>74</v>
      </c>
      <c r="AE70" s="1" t="s">
        <v>74</v>
      </c>
      <c r="AF70" s="1" t="s">
        <v>74</v>
      </c>
      <c r="AG70" s="1" t="s">
        <v>74</v>
      </c>
      <c r="AH70" s="1" t="s">
        <v>74</v>
      </c>
      <c r="AI70" s="1" t="s">
        <v>74</v>
      </c>
      <c r="AJ70" s="1" t="s">
        <v>74</v>
      </c>
      <c r="AK70" s="1" t="s">
        <v>74</v>
      </c>
      <c r="AL70" s="1" t="s">
        <v>74</v>
      </c>
      <c r="AM70" s="1" t="s">
        <v>74</v>
      </c>
      <c r="AN70" s="1" t="s">
        <v>74</v>
      </c>
      <c r="AO70" s="1" t="s">
        <v>848</v>
      </c>
      <c r="AP70" s="1" t="s">
        <v>849</v>
      </c>
      <c r="AQ70" s="1" t="s">
        <v>74</v>
      </c>
      <c r="AR70" s="1" t="s">
        <v>74</v>
      </c>
      <c r="AS70" s="1" t="s">
        <v>74</v>
      </c>
      <c r="AT70" s="1" t="s">
        <v>164</v>
      </c>
      <c r="AU70" s="1">
        <v>2014.0</v>
      </c>
      <c r="AV70" s="1">
        <v>33.0</v>
      </c>
      <c r="AW70" s="1">
        <v>4.0</v>
      </c>
      <c r="AX70" s="1" t="s">
        <v>74</v>
      </c>
      <c r="AY70" s="1" t="s">
        <v>74</v>
      </c>
      <c r="AZ70" s="1" t="s">
        <v>74</v>
      </c>
      <c r="BA70" s="1" t="s">
        <v>74</v>
      </c>
      <c r="BB70" s="1">
        <v>435.0</v>
      </c>
      <c r="BC70" s="1">
        <v>450.0</v>
      </c>
      <c r="BD70" s="1" t="s">
        <v>74</v>
      </c>
      <c r="BE70" s="1" t="s">
        <v>850</v>
      </c>
      <c r="BF70" s="2" t="str">
        <f>HYPERLINK("http://dx.doi.org/10.1007/s12144-014-9221-x","http://dx.doi.org/10.1007/s12144-014-9221-x")</f>
        <v>http://dx.doi.org/10.1007/s12144-014-9221-x</v>
      </c>
      <c r="BG70" s="1" t="s">
        <v>74</v>
      </c>
      <c r="BH70" s="1" t="s">
        <v>74</v>
      </c>
      <c r="BI70" s="1" t="s">
        <v>74</v>
      </c>
      <c r="BJ70" s="1" t="s">
        <v>74</v>
      </c>
      <c r="BK70" s="1" t="s">
        <v>74</v>
      </c>
      <c r="BL70" s="1" t="s">
        <v>74</v>
      </c>
      <c r="BM70" s="1" t="s">
        <v>74</v>
      </c>
      <c r="BN70" s="1" t="s">
        <v>74</v>
      </c>
      <c r="BO70" s="1" t="s">
        <v>74</v>
      </c>
      <c r="BP70" s="1" t="s">
        <v>74</v>
      </c>
      <c r="BQ70" s="1" t="s">
        <v>74</v>
      </c>
      <c r="BR70" s="1" t="s">
        <v>74</v>
      </c>
      <c r="BS70" s="1" t="s">
        <v>851</v>
      </c>
      <c r="BT70" s="1" t="str">
        <f>HYPERLINK("https%3A%2F%2Fwww.webofscience.com%2Fwos%2Fwoscc%2Ffull-record%2FWOS:000344735600001","View Full Record in Web of Science")</f>
        <v>View Full Record in Web of Science</v>
      </c>
    </row>
    <row r="71" ht="12.75" customHeight="1">
      <c r="A71" s="1" t="s">
        <v>72</v>
      </c>
      <c r="B71" s="1" t="s">
        <v>852</v>
      </c>
      <c r="C71" s="1" t="s">
        <v>74</v>
      </c>
      <c r="D71" s="1" t="s">
        <v>74</v>
      </c>
      <c r="E71" s="1" t="s">
        <v>74</v>
      </c>
      <c r="F71" s="1" t="s">
        <v>853</v>
      </c>
      <c r="G71" s="1" t="s">
        <v>74</v>
      </c>
      <c r="H71" s="1" t="s">
        <v>74</v>
      </c>
      <c r="I71" s="1" t="s">
        <v>854</v>
      </c>
      <c r="J71" s="1" t="s">
        <v>855</v>
      </c>
      <c r="K71" s="1" t="s">
        <v>74</v>
      </c>
      <c r="L71" s="1" t="s">
        <v>74</v>
      </c>
      <c r="M71" s="1" t="s">
        <v>74</v>
      </c>
      <c r="N71" s="1" t="s">
        <v>74</v>
      </c>
      <c r="O71" s="1" t="s">
        <v>74</v>
      </c>
      <c r="P71" s="1" t="s">
        <v>74</v>
      </c>
      <c r="Q71" s="1" t="s">
        <v>74</v>
      </c>
      <c r="R71" s="1" t="s">
        <v>74</v>
      </c>
      <c r="S71" s="1" t="s">
        <v>74</v>
      </c>
      <c r="T71" s="1" t="s">
        <v>74</v>
      </c>
      <c r="U71" s="1" t="s">
        <v>74</v>
      </c>
      <c r="V71" s="1" t="s">
        <v>856</v>
      </c>
      <c r="W71" s="1" t="s">
        <v>74</v>
      </c>
      <c r="X71" s="1" t="s">
        <v>74</v>
      </c>
      <c r="Y71" s="1" t="s">
        <v>74</v>
      </c>
      <c r="Z71" s="1" t="s">
        <v>74</v>
      </c>
      <c r="AA71" s="1" t="s">
        <v>74</v>
      </c>
      <c r="AB71" s="1" t="s">
        <v>74</v>
      </c>
      <c r="AC71" s="1" t="s">
        <v>74</v>
      </c>
      <c r="AD71" s="1" t="s">
        <v>74</v>
      </c>
      <c r="AE71" s="1" t="s">
        <v>74</v>
      </c>
      <c r="AF71" s="1" t="s">
        <v>74</v>
      </c>
      <c r="AG71" s="1" t="s">
        <v>74</v>
      </c>
      <c r="AH71" s="1" t="s">
        <v>74</v>
      </c>
      <c r="AI71" s="1" t="s">
        <v>74</v>
      </c>
      <c r="AJ71" s="1" t="s">
        <v>74</v>
      </c>
      <c r="AK71" s="1" t="s">
        <v>74</v>
      </c>
      <c r="AL71" s="1" t="s">
        <v>74</v>
      </c>
      <c r="AM71" s="1" t="s">
        <v>74</v>
      </c>
      <c r="AN71" s="1" t="s">
        <v>74</v>
      </c>
      <c r="AO71" s="1" t="s">
        <v>857</v>
      </c>
      <c r="AP71" s="1" t="s">
        <v>858</v>
      </c>
      <c r="AQ71" s="1" t="s">
        <v>74</v>
      </c>
      <c r="AR71" s="1" t="s">
        <v>74</v>
      </c>
      <c r="AS71" s="1" t="s">
        <v>74</v>
      </c>
      <c r="AT71" s="1" t="s">
        <v>74</v>
      </c>
      <c r="AU71" s="1">
        <v>2013.0</v>
      </c>
      <c r="AV71" s="1">
        <v>42.0</v>
      </c>
      <c r="AW71" s="1">
        <v>4.0</v>
      </c>
      <c r="AX71" s="1" t="s">
        <v>74</v>
      </c>
      <c r="AY71" s="1" t="s">
        <v>74</v>
      </c>
      <c r="AZ71" s="1" t="s">
        <v>74</v>
      </c>
      <c r="BA71" s="1" t="s">
        <v>74</v>
      </c>
      <c r="BB71" s="1">
        <v>544.0</v>
      </c>
      <c r="BC71" s="1">
        <v>553.0</v>
      </c>
      <c r="BD71" s="1" t="s">
        <v>74</v>
      </c>
      <c r="BE71" s="1" t="s">
        <v>859</v>
      </c>
      <c r="BF71" s="2" t="str">
        <f>HYPERLINK("http://dx.doi.org/10.1108/K-08-2012-0015","http://dx.doi.org/10.1108/K-08-2012-0015")</f>
        <v>http://dx.doi.org/10.1108/K-08-2012-0015</v>
      </c>
      <c r="BG71" s="1" t="s">
        <v>74</v>
      </c>
      <c r="BH71" s="1" t="s">
        <v>74</v>
      </c>
      <c r="BI71" s="1" t="s">
        <v>74</v>
      </c>
      <c r="BJ71" s="1" t="s">
        <v>74</v>
      </c>
      <c r="BK71" s="1" t="s">
        <v>74</v>
      </c>
      <c r="BL71" s="1" t="s">
        <v>74</v>
      </c>
      <c r="BM71" s="1" t="s">
        <v>74</v>
      </c>
      <c r="BN71" s="1" t="s">
        <v>74</v>
      </c>
      <c r="BO71" s="1" t="s">
        <v>74</v>
      </c>
      <c r="BP71" s="1" t="s">
        <v>74</v>
      </c>
      <c r="BQ71" s="1" t="s">
        <v>74</v>
      </c>
      <c r="BR71" s="1" t="s">
        <v>74</v>
      </c>
      <c r="BS71" s="1" t="s">
        <v>860</v>
      </c>
      <c r="BT71" s="1" t="str">
        <f>HYPERLINK("https%3A%2F%2Fwww.webofscience.com%2Fwos%2Fwoscc%2Ffull-record%2FWOS:000321084900003","View Full Record in Web of Science")</f>
        <v>View Full Record in Web of Science</v>
      </c>
    </row>
    <row r="72" ht="12.75" customHeight="1">
      <c r="A72" s="1" t="s">
        <v>72</v>
      </c>
      <c r="B72" s="1" t="s">
        <v>861</v>
      </c>
      <c r="C72" s="1" t="s">
        <v>74</v>
      </c>
      <c r="D72" s="1" t="s">
        <v>74</v>
      </c>
      <c r="E72" s="1" t="s">
        <v>74</v>
      </c>
      <c r="F72" s="1" t="s">
        <v>862</v>
      </c>
      <c r="G72" s="1" t="s">
        <v>74</v>
      </c>
      <c r="H72" s="1" t="s">
        <v>74</v>
      </c>
      <c r="I72" s="1" t="s">
        <v>863</v>
      </c>
      <c r="J72" s="1" t="s">
        <v>864</v>
      </c>
      <c r="K72" s="1" t="s">
        <v>74</v>
      </c>
      <c r="L72" s="1" t="s">
        <v>74</v>
      </c>
      <c r="M72" s="1" t="s">
        <v>74</v>
      </c>
      <c r="N72" s="1" t="s">
        <v>74</v>
      </c>
      <c r="O72" s="1" t="s">
        <v>74</v>
      </c>
      <c r="P72" s="1" t="s">
        <v>74</v>
      </c>
      <c r="Q72" s="1" t="s">
        <v>74</v>
      </c>
      <c r="R72" s="1" t="s">
        <v>74</v>
      </c>
      <c r="S72" s="1" t="s">
        <v>74</v>
      </c>
      <c r="T72" s="1" t="s">
        <v>74</v>
      </c>
      <c r="U72" s="1" t="s">
        <v>74</v>
      </c>
      <c r="V72" s="1" t="s">
        <v>865</v>
      </c>
      <c r="W72" s="1" t="s">
        <v>74</v>
      </c>
      <c r="X72" s="1" t="s">
        <v>74</v>
      </c>
      <c r="Y72" s="1" t="s">
        <v>74</v>
      </c>
      <c r="Z72" s="1" t="s">
        <v>74</v>
      </c>
      <c r="AA72" s="1" t="s">
        <v>866</v>
      </c>
      <c r="AB72" s="1" t="s">
        <v>867</v>
      </c>
      <c r="AC72" s="1" t="s">
        <v>74</v>
      </c>
      <c r="AD72" s="1" t="s">
        <v>74</v>
      </c>
      <c r="AE72" s="1" t="s">
        <v>74</v>
      </c>
      <c r="AF72" s="1" t="s">
        <v>74</v>
      </c>
      <c r="AG72" s="1" t="s">
        <v>74</v>
      </c>
      <c r="AH72" s="1" t="s">
        <v>74</v>
      </c>
      <c r="AI72" s="1" t="s">
        <v>74</v>
      </c>
      <c r="AJ72" s="1" t="s">
        <v>74</v>
      </c>
      <c r="AK72" s="1" t="s">
        <v>74</v>
      </c>
      <c r="AL72" s="1" t="s">
        <v>74</v>
      </c>
      <c r="AM72" s="1" t="s">
        <v>74</v>
      </c>
      <c r="AN72" s="1" t="s">
        <v>74</v>
      </c>
      <c r="AO72" s="1" t="s">
        <v>868</v>
      </c>
      <c r="AP72" s="1" t="s">
        <v>869</v>
      </c>
      <c r="AQ72" s="1" t="s">
        <v>74</v>
      </c>
      <c r="AR72" s="1" t="s">
        <v>74</v>
      </c>
      <c r="AS72" s="1" t="s">
        <v>74</v>
      </c>
      <c r="AT72" s="1" t="s">
        <v>870</v>
      </c>
      <c r="AU72" s="1">
        <v>2011.0</v>
      </c>
      <c r="AV72" s="1">
        <v>151.0</v>
      </c>
      <c r="AW72" s="1">
        <v>3.0</v>
      </c>
      <c r="AX72" s="1" t="s">
        <v>74</v>
      </c>
      <c r="AY72" s="1" t="s">
        <v>74</v>
      </c>
      <c r="AZ72" s="1" t="s">
        <v>74</v>
      </c>
      <c r="BA72" s="1" t="s">
        <v>74</v>
      </c>
      <c r="BB72" s="1">
        <v>319.0</v>
      </c>
      <c r="BC72" s="1">
        <v>326.0</v>
      </c>
      <c r="BD72" s="1" t="s">
        <v>74</v>
      </c>
      <c r="BE72" s="1" t="s">
        <v>871</v>
      </c>
      <c r="BF72" s="2" t="str">
        <f>HYPERLINK("http://dx.doi.org/10.1016/j.ijfoodmicro.2011.09.026","http://dx.doi.org/10.1016/j.ijfoodmicro.2011.09.026")</f>
        <v>http://dx.doi.org/10.1016/j.ijfoodmicro.2011.09.026</v>
      </c>
      <c r="BG72" s="1" t="s">
        <v>74</v>
      </c>
      <c r="BH72" s="1" t="s">
        <v>74</v>
      </c>
      <c r="BI72" s="1" t="s">
        <v>74</v>
      </c>
      <c r="BJ72" s="1" t="s">
        <v>74</v>
      </c>
      <c r="BK72" s="1" t="s">
        <v>74</v>
      </c>
      <c r="BL72" s="1" t="s">
        <v>74</v>
      </c>
      <c r="BM72" s="1" t="s">
        <v>74</v>
      </c>
      <c r="BN72" s="1">
        <v>2.2056145E7</v>
      </c>
      <c r="BO72" s="1" t="s">
        <v>74</v>
      </c>
      <c r="BP72" s="1" t="s">
        <v>74</v>
      </c>
      <c r="BQ72" s="1" t="s">
        <v>74</v>
      </c>
      <c r="BR72" s="1" t="s">
        <v>74</v>
      </c>
      <c r="BS72" s="1" t="s">
        <v>872</v>
      </c>
      <c r="BT72" s="1" t="str">
        <f>HYPERLINK("https%3A%2F%2Fwww.webofscience.com%2Fwos%2Fwoscc%2Ffull-record%2FWOS:000297964300009","View Full Record in Web of Science")</f>
        <v>View Full Record in Web of Science</v>
      </c>
    </row>
    <row r="73" ht="12.75" customHeight="1">
      <c r="A73" s="1" t="s">
        <v>72</v>
      </c>
      <c r="B73" s="1" t="s">
        <v>873</v>
      </c>
      <c r="C73" s="1" t="s">
        <v>74</v>
      </c>
      <c r="D73" s="1" t="s">
        <v>74</v>
      </c>
      <c r="E73" s="1" t="s">
        <v>74</v>
      </c>
      <c r="F73" s="1" t="s">
        <v>874</v>
      </c>
      <c r="G73" s="1" t="s">
        <v>74</v>
      </c>
      <c r="H73" s="1" t="s">
        <v>74</v>
      </c>
      <c r="I73" s="1" t="s">
        <v>875</v>
      </c>
      <c r="J73" s="1" t="s">
        <v>876</v>
      </c>
      <c r="K73" s="1" t="s">
        <v>74</v>
      </c>
      <c r="L73" s="1" t="s">
        <v>74</v>
      </c>
      <c r="M73" s="1" t="s">
        <v>74</v>
      </c>
      <c r="N73" s="1" t="s">
        <v>74</v>
      </c>
      <c r="O73" s="1" t="s">
        <v>74</v>
      </c>
      <c r="P73" s="1" t="s">
        <v>74</v>
      </c>
      <c r="Q73" s="1" t="s">
        <v>74</v>
      </c>
      <c r="R73" s="1" t="s">
        <v>74</v>
      </c>
      <c r="S73" s="1" t="s">
        <v>74</v>
      </c>
      <c r="T73" s="1" t="s">
        <v>74</v>
      </c>
      <c r="U73" s="1" t="s">
        <v>74</v>
      </c>
      <c r="V73" s="1" t="s">
        <v>877</v>
      </c>
      <c r="W73" s="1" t="s">
        <v>74</v>
      </c>
      <c r="X73" s="1" t="s">
        <v>74</v>
      </c>
      <c r="Y73" s="1" t="s">
        <v>74</v>
      </c>
      <c r="Z73" s="1" t="s">
        <v>74</v>
      </c>
      <c r="AA73" s="1" t="s">
        <v>878</v>
      </c>
      <c r="AB73" s="1" t="s">
        <v>879</v>
      </c>
      <c r="AC73" s="1" t="s">
        <v>74</v>
      </c>
      <c r="AD73" s="1" t="s">
        <v>74</v>
      </c>
      <c r="AE73" s="1" t="s">
        <v>74</v>
      </c>
      <c r="AF73" s="1" t="s">
        <v>74</v>
      </c>
      <c r="AG73" s="1" t="s">
        <v>74</v>
      </c>
      <c r="AH73" s="1" t="s">
        <v>74</v>
      </c>
      <c r="AI73" s="1" t="s">
        <v>74</v>
      </c>
      <c r="AJ73" s="1" t="s">
        <v>74</v>
      </c>
      <c r="AK73" s="1" t="s">
        <v>74</v>
      </c>
      <c r="AL73" s="1" t="s">
        <v>74</v>
      </c>
      <c r="AM73" s="1" t="s">
        <v>74</v>
      </c>
      <c r="AN73" s="1" t="s">
        <v>74</v>
      </c>
      <c r="AO73" s="1" t="s">
        <v>880</v>
      </c>
      <c r="AP73" s="1" t="s">
        <v>74</v>
      </c>
      <c r="AQ73" s="1" t="s">
        <v>74</v>
      </c>
      <c r="AR73" s="1" t="s">
        <v>74</v>
      </c>
      <c r="AS73" s="1" t="s">
        <v>74</v>
      </c>
      <c r="AT73" s="1" t="s">
        <v>177</v>
      </c>
      <c r="AU73" s="1">
        <v>2011.0</v>
      </c>
      <c r="AV73" s="1">
        <v>58.0</v>
      </c>
      <c r="AW73" s="1">
        <v>1.0</v>
      </c>
      <c r="AX73" s="1" t="s">
        <v>74</v>
      </c>
      <c r="AY73" s="1" t="s">
        <v>74</v>
      </c>
      <c r="AZ73" s="1" t="s">
        <v>74</v>
      </c>
      <c r="BA73" s="1" t="s">
        <v>74</v>
      </c>
      <c r="BB73" s="1">
        <v>8.0</v>
      </c>
      <c r="BC73" s="1">
        <v>17.0</v>
      </c>
      <c r="BD73" s="1" t="s">
        <v>74</v>
      </c>
      <c r="BE73" s="1" t="s">
        <v>881</v>
      </c>
      <c r="BF73" s="2" t="str">
        <f>HYPERLINK("http://dx.doi.org/10.1016/j.toxicon.2011.04.005","http://dx.doi.org/10.1016/j.toxicon.2011.04.005")</f>
        <v>http://dx.doi.org/10.1016/j.toxicon.2011.04.005</v>
      </c>
      <c r="BG73" s="1" t="s">
        <v>74</v>
      </c>
      <c r="BH73" s="1" t="s">
        <v>74</v>
      </c>
      <c r="BI73" s="1" t="s">
        <v>74</v>
      </c>
      <c r="BJ73" s="1" t="s">
        <v>74</v>
      </c>
      <c r="BK73" s="1" t="s">
        <v>74</v>
      </c>
      <c r="BL73" s="1" t="s">
        <v>74</v>
      </c>
      <c r="BM73" s="1" t="s">
        <v>74</v>
      </c>
      <c r="BN73" s="1">
        <v>2.1510967E7</v>
      </c>
      <c r="BO73" s="1" t="s">
        <v>74</v>
      </c>
      <c r="BP73" s="1" t="s">
        <v>74</v>
      </c>
      <c r="BQ73" s="1" t="s">
        <v>74</v>
      </c>
      <c r="BR73" s="1" t="s">
        <v>74</v>
      </c>
      <c r="BS73" s="1" t="s">
        <v>882</v>
      </c>
      <c r="BT73" s="1" t="str">
        <f>HYPERLINK("https%3A%2F%2Fwww.webofscience.com%2Fwos%2Fwoscc%2Ffull-record%2FWOS:000294031000002","View Full Record in Web of Science")</f>
        <v>View Full Record in Web of Science</v>
      </c>
    </row>
    <row r="74" ht="12.75" customHeight="1">
      <c r="A74" s="1" t="s">
        <v>72</v>
      </c>
      <c r="B74" s="1" t="s">
        <v>883</v>
      </c>
      <c r="C74" s="1" t="s">
        <v>74</v>
      </c>
      <c r="D74" s="1" t="s">
        <v>74</v>
      </c>
      <c r="E74" s="1" t="s">
        <v>74</v>
      </c>
      <c r="F74" s="1" t="s">
        <v>884</v>
      </c>
      <c r="G74" s="1" t="s">
        <v>74</v>
      </c>
      <c r="H74" s="1" t="s">
        <v>74</v>
      </c>
      <c r="I74" s="1" t="s">
        <v>885</v>
      </c>
      <c r="J74" s="1" t="s">
        <v>886</v>
      </c>
      <c r="K74" s="1" t="s">
        <v>74</v>
      </c>
      <c r="L74" s="1" t="s">
        <v>74</v>
      </c>
      <c r="M74" s="1" t="s">
        <v>74</v>
      </c>
      <c r="N74" s="1" t="s">
        <v>74</v>
      </c>
      <c r="O74" s="1" t="s">
        <v>74</v>
      </c>
      <c r="P74" s="1" t="s">
        <v>74</v>
      </c>
      <c r="Q74" s="1" t="s">
        <v>74</v>
      </c>
      <c r="R74" s="1" t="s">
        <v>74</v>
      </c>
      <c r="S74" s="1" t="s">
        <v>74</v>
      </c>
      <c r="T74" s="1" t="s">
        <v>74</v>
      </c>
      <c r="U74" s="1" t="s">
        <v>74</v>
      </c>
      <c r="V74" s="1" t="s">
        <v>887</v>
      </c>
      <c r="W74" s="1" t="s">
        <v>74</v>
      </c>
      <c r="X74" s="1" t="s">
        <v>74</v>
      </c>
      <c r="Y74" s="1" t="s">
        <v>74</v>
      </c>
      <c r="Z74" s="1" t="s">
        <v>74</v>
      </c>
      <c r="AA74" s="1" t="s">
        <v>888</v>
      </c>
      <c r="AB74" s="1" t="s">
        <v>889</v>
      </c>
      <c r="AC74" s="1" t="s">
        <v>74</v>
      </c>
      <c r="AD74" s="1" t="s">
        <v>74</v>
      </c>
      <c r="AE74" s="1" t="s">
        <v>74</v>
      </c>
      <c r="AF74" s="1" t="s">
        <v>74</v>
      </c>
      <c r="AG74" s="1" t="s">
        <v>74</v>
      </c>
      <c r="AH74" s="1" t="s">
        <v>74</v>
      </c>
      <c r="AI74" s="1" t="s">
        <v>74</v>
      </c>
      <c r="AJ74" s="1" t="s">
        <v>74</v>
      </c>
      <c r="AK74" s="1" t="s">
        <v>74</v>
      </c>
      <c r="AL74" s="1" t="s">
        <v>74</v>
      </c>
      <c r="AM74" s="1" t="s">
        <v>74</v>
      </c>
      <c r="AN74" s="1" t="s">
        <v>74</v>
      </c>
      <c r="AO74" s="1" t="s">
        <v>890</v>
      </c>
      <c r="AP74" s="1" t="s">
        <v>74</v>
      </c>
      <c r="AQ74" s="1" t="s">
        <v>74</v>
      </c>
      <c r="AR74" s="1" t="s">
        <v>74</v>
      </c>
      <c r="AS74" s="1" t="s">
        <v>74</v>
      </c>
      <c r="AT74" s="1" t="s">
        <v>891</v>
      </c>
      <c r="AU74" s="1">
        <v>2011.0</v>
      </c>
      <c r="AV74" s="1">
        <v>10.0</v>
      </c>
      <c r="AW74" s="1">
        <v>2.0</v>
      </c>
      <c r="AX74" s="1" t="s">
        <v>74</v>
      </c>
      <c r="AY74" s="1" t="s">
        <v>74</v>
      </c>
      <c r="AZ74" s="1" t="s">
        <v>74</v>
      </c>
      <c r="BA74" s="1" t="s">
        <v>74</v>
      </c>
      <c r="BB74" s="1">
        <v>521.0</v>
      </c>
      <c r="BC74" s="1">
        <v>533.0</v>
      </c>
      <c r="BD74" s="1" t="s">
        <v>74</v>
      </c>
      <c r="BE74" s="1" t="s">
        <v>892</v>
      </c>
      <c r="BF74" s="2" t="str">
        <f>HYPERLINK("http://dx.doi.org/10.11144/Javeriana.upsy10-2.asce","http://dx.doi.org/10.11144/Javeriana.upsy10-2.asce")</f>
        <v>http://dx.doi.org/10.11144/Javeriana.upsy10-2.asce</v>
      </c>
      <c r="BG74" s="1" t="s">
        <v>74</v>
      </c>
      <c r="BH74" s="1" t="s">
        <v>74</v>
      </c>
      <c r="BI74" s="1" t="s">
        <v>74</v>
      </c>
      <c r="BJ74" s="1" t="s">
        <v>74</v>
      </c>
      <c r="BK74" s="1" t="s">
        <v>74</v>
      </c>
      <c r="BL74" s="1" t="s">
        <v>74</v>
      </c>
      <c r="BM74" s="1" t="s">
        <v>74</v>
      </c>
      <c r="BN74" s="1" t="s">
        <v>74</v>
      </c>
      <c r="BO74" s="1" t="s">
        <v>74</v>
      </c>
      <c r="BP74" s="1" t="s">
        <v>74</v>
      </c>
      <c r="BQ74" s="1" t="s">
        <v>74</v>
      </c>
      <c r="BR74" s="1" t="s">
        <v>74</v>
      </c>
      <c r="BS74" s="1" t="s">
        <v>893</v>
      </c>
      <c r="BT74" s="1" t="str">
        <f>HYPERLINK("https%3A%2F%2Fwww.webofscience.com%2Fwos%2Fwoscc%2Ffull-record%2FWOS:000299709000016","View Full Record in Web of Science")</f>
        <v>View Full Record in Web of Science</v>
      </c>
    </row>
    <row r="75" ht="12.75" customHeight="1">
      <c r="A75" s="1" t="s">
        <v>207</v>
      </c>
      <c r="B75" s="1" t="s">
        <v>894</v>
      </c>
      <c r="C75" s="1" t="s">
        <v>74</v>
      </c>
      <c r="D75" s="1" t="s">
        <v>895</v>
      </c>
      <c r="E75" s="1" t="s">
        <v>74</v>
      </c>
      <c r="F75" s="1" t="s">
        <v>896</v>
      </c>
      <c r="G75" s="1" t="s">
        <v>74</v>
      </c>
      <c r="H75" s="1" t="s">
        <v>74</v>
      </c>
      <c r="I75" s="1" t="s">
        <v>897</v>
      </c>
      <c r="J75" s="1" t="s">
        <v>898</v>
      </c>
      <c r="K75" s="1" t="s">
        <v>354</v>
      </c>
      <c r="L75" s="1" t="s">
        <v>74</v>
      </c>
      <c r="M75" s="1" t="s">
        <v>74</v>
      </c>
      <c r="N75" s="1" t="s">
        <v>74</v>
      </c>
      <c r="O75" s="1" t="s">
        <v>899</v>
      </c>
      <c r="P75" s="1" t="s">
        <v>900</v>
      </c>
      <c r="Q75" s="1" t="s">
        <v>901</v>
      </c>
      <c r="R75" s="1" t="s">
        <v>74</v>
      </c>
      <c r="S75" s="1" t="s">
        <v>74</v>
      </c>
      <c r="T75" s="1" t="s">
        <v>74</v>
      </c>
      <c r="U75" s="1" t="s">
        <v>74</v>
      </c>
      <c r="V75" s="1" t="s">
        <v>902</v>
      </c>
      <c r="W75" s="1" t="s">
        <v>74</v>
      </c>
      <c r="X75" s="1" t="s">
        <v>74</v>
      </c>
      <c r="Y75" s="1" t="s">
        <v>74</v>
      </c>
      <c r="Z75" s="1" t="s">
        <v>74</v>
      </c>
      <c r="AA75" s="1" t="s">
        <v>903</v>
      </c>
      <c r="AB75" s="1" t="s">
        <v>904</v>
      </c>
      <c r="AC75" s="1" t="s">
        <v>74</v>
      </c>
      <c r="AD75" s="1" t="s">
        <v>74</v>
      </c>
      <c r="AE75" s="1" t="s">
        <v>74</v>
      </c>
      <c r="AF75" s="1" t="s">
        <v>74</v>
      </c>
      <c r="AG75" s="1" t="s">
        <v>74</v>
      </c>
      <c r="AH75" s="1" t="s">
        <v>74</v>
      </c>
      <c r="AI75" s="1" t="s">
        <v>74</v>
      </c>
      <c r="AJ75" s="1" t="s">
        <v>74</v>
      </c>
      <c r="AK75" s="1" t="s">
        <v>74</v>
      </c>
      <c r="AL75" s="1" t="s">
        <v>74</v>
      </c>
      <c r="AM75" s="1" t="s">
        <v>74</v>
      </c>
      <c r="AN75" s="1" t="s">
        <v>74</v>
      </c>
      <c r="AO75" s="1" t="s">
        <v>361</v>
      </c>
      <c r="AP75" s="1" t="s">
        <v>362</v>
      </c>
      <c r="AQ75" s="1" t="s">
        <v>905</v>
      </c>
      <c r="AR75" s="1" t="s">
        <v>74</v>
      </c>
      <c r="AS75" s="1" t="s">
        <v>74</v>
      </c>
      <c r="AT75" s="1" t="s">
        <v>74</v>
      </c>
      <c r="AU75" s="1">
        <v>2011.0</v>
      </c>
      <c r="AV75" s="1">
        <v>6449.0</v>
      </c>
      <c r="AW75" s="1" t="s">
        <v>74</v>
      </c>
      <c r="AX75" s="1" t="s">
        <v>74</v>
      </c>
      <c r="AY75" s="1" t="s">
        <v>74</v>
      </c>
      <c r="AZ75" s="1" t="s">
        <v>74</v>
      </c>
      <c r="BA75" s="1" t="s">
        <v>74</v>
      </c>
      <c r="BB75" s="1">
        <v>222.0</v>
      </c>
      <c r="BC75" s="1" t="s">
        <v>906</v>
      </c>
      <c r="BD75" s="1" t="s">
        <v>74</v>
      </c>
      <c r="BE75" s="1" t="s">
        <v>74</v>
      </c>
      <c r="BF75" s="1" t="s">
        <v>74</v>
      </c>
      <c r="BG75" s="1" t="s">
        <v>74</v>
      </c>
      <c r="BH75" s="1" t="s">
        <v>74</v>
      </c>
      <c r="BI75" s="1" t="s">
        <v>74</v>
      </c>
      <c r="BJ75" s="1" t="s">
        <v>74</v>
      </c>
      <c r="BK75" s="1" t="s">
        <v>74</v>
      </c>
      <c r="BL75" s="1" t="s">
        <v>74</v>
      </c>
      <c r="BM75" s="1" t="s">
        <v>74</v>
      </c>
      <c r="BN75" s="1" t="s">
        <v>74</v>
      </c>
      <c r="BO75" s="1" t="s">
        <v>74</v>
      </c>
      <c r="BP75" s="1" t="s">
        <v>74</v>
      </c>
      <c r="BQ75" s="1" t="s">
        <v>74</v>
      </c>
      <c r="BR75" s="1" t="s">
        <v>74</v>
      </c>
      <c r="BS75" s="1" t="s">
        <v>907</v>
      </c>
      <c r="BT75" s="1" t="str">
        <f>HYPERLINK("https%3A%2F%2Fwww.webofscience.com%2Fwos%2Fwoscc%2Ffull-record%2FWOS:000290652300022","View Full Record in Web of Science")</f>
        <v>View Full Record in Web of Science</v>
      </c>
    </row>
    <row r="76" ht="12.75" customHeight="1">
      <c r="A76" s="1" t="s">
        <v>72</v>
      </c>
      <c r="B76" s="1" t="s">
        <v>908</v>
      </c>
      <c r="C76" s="1" t="s">
        <v>74</v>
      </c>
      <c r="D76" s="1" t="s">
        <v>74</v>
      </c>
      <c r="E76" s="1" t="s">
        <v>74</v>
      </c>
      <c r="F76" s="1" t="s">
        <v>909</v>
      </c>
      <c r="G76" s="1" t="s">
        <v>74</v>
      </c>
      <c r="H76" s="1" t="s">
        <v>74</v>
      </c>
      <c r="I76" s="1" t="s">
        <v>910</v>
      </c>
      <c r="J76" s="1" t="s">
        <v>911</v>
      </c>
      <c r="K76" s="1" t="s">
        <v>74</v>
      </c>
      <c r="L76" s="1" t="s">
        <v>74</v>
      </c>
      <c r="M76" s="1" t="s">
        <v>74</v>
      </c>
      <c r="N76" s="1" t="s">
        <v>74</v>
      </c>
      <c r="O76" s="1" t="s">
        <v>74</v>
      </c>
      <c r="P76" s="1" t="s">
        <v>74</v>
      </c>
      <c r="Q76" s="1" t="s">
        <v>74</v>
      </c>
      <c r="R76" s="1" t="s">
        <v>74</v>
      </c>
      <c r="S76" s="1" t="s">
        <v>74</v>
      </c>
      <c r="T76" s="1" t="s">
        <v>74</v>
      </c>
      <c r="U76" s="1" t="s">
        <v>74</v>
      </c>
      <c r="V76" s="1" t="s">
        <v>912</v>
      </c>
      <c r="W76" s="1" t="s">
        <v>74</v>
      </c>
      <c r="X76" s="1" t="s">
        <v>74</v>
      </c>
      <c r="Y76" s="1" t="s">
        <v>74</v>
      </c>
      <c r="Z76" s="1" t="s">
        <v>74</v>
      </c>
      <c r="AA76" s="1" t="s">
        <v>74</v>
      </c>
      <c r="AB76" s="1" t="s">
        <v>74</v>
      </c>
      <c r="AC76" s="1" t="s">
        <v>74</v>
      </c>
      <c r="AD76" s="1" t="s">
        <v>74</v>
      </c>
      <c r="AE76" s="1" t="s">
        <v>74</v>
      </c>
      <c r="AF76" s="1" t="s">
        <v>74</v>
      </c>
      <c r="AG76" s="1" t="s">
        <v>74</v>
      </c>
      <c r="AH76" s="1" t="s">
        <v>74</v>
      </c>
      <c r="AI76" s="1" t="s">
        <v>74</v>
      </c>
      <c r="AJ76" s="1" t="s">
        <v>74</v>
      </c>
      <c r="AK76" s="1" t="s">
        <v>74</v>
      </c>
      <c r="AL76" s="1" t="s">
        <v>74</v>
      </c>
      <c r="AM76" s="1" t="s">
        <v>74</v>
      </c>
      <c r="AN76" s="1" t="s">
        <v>74</v>
      </c>
      <c r="AO76" s="1" t="s">
        <v>913</v>
      </c>
      <c r="AP76" s="1" t="s">
        <v>914</v>
      </c>
      <c r="AQ76" s="1" t="s">
        <v>74</v>
      </c>
      <c r="AR76" s="1" t="s">
        <v>74</v>
      </c>
      <c r="AS76" s="1" t="s">
        <v>74</v>
      </c>
      <c r="AT76" s="1" t="s">
        <v>271</v>
      </c>
      <c r="AU76" s="1">
        <v>2010.0</v>
      </c>
      <c r="AV76" s="1">
        <v>25.0</v>
      </c>
      <c r="AW76" s="1">
        <v>9.0</v>
      </c>
      <c r="AX76" s="1" t="s">
        <v>74</v>
      </c>
      <c r="AY76" s="1" t="s">
        <v>74</v>
      </c>
      <c r="AZ76" s="1" t="s">
        <v>74</v>
      </c>
      <c r="BA76" s="1" t="s">
        <v>74</v>
      </c>
      <c r="BB76" s="1">
        <v>2256.0</v>
      </c>
      <c r="BC76" s="1">
        <v>2263.0</v>
      </c>
      <c r="BD76" s="1" t="s">
        <v>74</v>
      </c>
      <c r="BE76" s="1" t="s">
        <v>915</v>
      </c>
      <c r="BF76" s="2" t="str">
        <f>HYPERLINK("http://dx.doi.org/10.1093/humrep/deq157","http://dx.doi.org/10.1093/humrep/deq157")</f>
        <v>http://dx.doi.org/10.1093/humrep/deq157</v>
      </c>
      <c r="BG76" s="1" t="s">
        <v>74</v>
      </c>
      <c r="BH76" s="1" t="s">
        <v>74</v>
      </c>
      <c r="BI76" s="1" t="s">
        <v>74</v>
      </c>
      <c r="BJ76" s="1" t="s">
        <v>74</v>
      </c>
      <c r="BK76" s="1" t="s">
        <v>74</v>
      </c>
      <c r="BL76" s="1" t="s">
        <v>74</v>
      </c>
      <c r="BM76" s="1" t="s">
        <v>74</v>
      </c>
      <c r="BN76" s="1">
        <v>2.0634186E7</v>
      </c>
      <c r="BO76" s="1" t="s">
        <v>74</v>
      </c>
      <c r="BP76" s="1" t="s">
        <v>74</v>
      </c>
      <c r="BQ76" s="1" t="s">
        <v>74</v>
      </c>
      <c r="BR76" s="1" t="s">
        <v>74</v>
      </c>
      <c r="BS76" s="1" t="s">
        <v>916</v>
      </c>
      <c r="BT76" s="1" t="str">
        <f>HYPERLINK("https%3A%2F%2Fwww.webofscience.com%2Fwos%2Fwoscc%2Ffull-record%2FWOS:000281343700013","View Full Record in Web of Science")</f>
        <v>View Full Record in Web of Science</v>
      </c>
    </row>
    <row r="77" ht="12.75" customHeight="1">
      <c r="A77" s="1" t="s">
        <v>72</v>
      </c>
      <c r="B77" s="1" t="s">
        <v>917</v>
      </c>
      <c r="C77" s="1" t="s">
        <v>74</v>
      </c>
      <c r="D77" s="1" t="s">
        <v>74</v>
      </c>
      <c r="E77" s="1" t="s">
        <v>74</v>
      </c>
      <c r="F77" s="1" t="s">
        <v>918</v>
      </c>
      <c r="G77" s="1" t="s">
        <v>74</v>
      </c>
      <c r="H77" s="1" t="s">
        <v>74</v>
      </c>
      <c r="I77" s="1" t="s">
        <v>919</v>
      </c>
      <c r="J77" s="1" t="s">
        <v>920</v>
      </c>
      <c r="K77" s="1" t="s">
        <v>74</v>
      </c>
      <c r="L77" s="1" t="s">
        <v>74</v>
      </c>
      <c r="M77" s="1" t="s">
        <v>74</v>
      </c>
      <c r="N77" s="1" t="s">
        <v>74</v>
      </c>
      <c r="O77" s="1" t="s">
        <v>74</v>
      </c>
      <c r="P77" s="1" t="s">
        <v>74</v>
      </c>
      <c r="Q77" s="1" t="s">
        <v>74</v>
      </c>
      <c r="R77" s="1" t="s">
        <v>74</v>
      </c>
      <c r="S77" s="1" t="s">
        <v>74</v>
      </c>
      <c r="T77" s="1" t="s">
        <v>74</v>
      </c>
      <c r="U77" s="1" t="s">
        <v>74</v>
      </c>
      <c r="V77" s="1" t="s">
        <v>921</v>
      </c>
      <c r="W77" s="1" t="s">
        <v>74</v>
      </c>
      <c r="X77" s="1" t="s">
        <v>74</v>
      </c>
      <c r="Y77" s="1" t="s">
        <v>74</v>
      </c>
      <c r="Z77" s="1" t="s">
        <v>74</v>
      </c>
      <c r="AA77" s="1" t="s">
        <v>74</v>
      </c>
      <c r="AB77" s="1" t="s">
        <v>922</v>
      </c>
      <c r="AC77" s="1" t="s">
        <v>74</v>
      </c>
      <c r="AD77" s="1" t="s">
        <v>74</v>
      </c>
      <c r="AE77" s="1" t="s">
        <v>74</v>
      </c>
      <c r="AF77" s="1" t="s">
        <v>74</v>
      </c>
      <c r="AG77" s="1" t="s">
        <v>74</v>
      </c>
      <c r="AH77" s="1" t="s">
        <v>74</v>
      </c>
      <c r="AI77" s="1" t="s">
        <v>74</v>
      </c>
      <c r="AJ77" s="1" t="s">
        <v>74</v>
      </c>
      <c r="AK77" s="1" t="s">
        <v>74</v>
      </c>
      <c r="AL77" s="1" t="s">
        <v>74</v>
      </c>
      <c r="AM77" s="1" t="s">
        <v>74</v>
      </c>
      <c r="AN77" s="1" t="s">
        <v>74</v>
      </c>
      <c r="AO77" s="1" t="s">
        <v>923</v>
      </c>
      <c r="AP77" s="1" t="s">
        <v>924</v>
      </c>
      <c r="AQ77" s="1" t="s">
        <v>74</v>
      </c>
      <c r="AR77" s="1" t="s">
        <v>74</v>
      </c>
      <c r="AS77" s="1" t="s">
        <v>74</v>
      </c>
      <c r="AT77" s="1" t="s">
        <v>271</v>
      </c>
      <c r="AU77" s="1">
        <v>2010.0</v>
      </c>
      <c r="AV77" s="1">
        <v>51.0</v>
      </c>
      <c r="AW77" s="1">
        <v>9.0</v>
      </c>
      <c r="AX77" s="1" t="s">
        <v>74</v>
      </c>
      <c r="AY77" s="1" t="s">
        <v>74</v>
      </c>
      <c r="AZ77" s="1" t="s">
        <v>74</v>
      </c>
      <c r="BA77" s="1" t="s">
        <v>74</v>
      </c>
      <c r="BB77" s="1" t="s">
        <v>74</v>
      </c>
      <c r="BC77" s="1" t="s">
        <v>74</v>
      </c>
      <c r="BD77" s="1">
        <v>92108.0</v>
      </c>
      <c r="BE77" s="1" t="s">
        <v>925</v>
      </c>
      <c r="BF77" s="2" t="str">
        <f>HYPERLINK("http://dx.doi.org/10.1063/1.3478558","http://dx.doi.org/10.1063/1.3478558")</f>
        <v>http://dx.doi.org/10.1063/1.3478558</v>
      </c>
      <c r="BG77" s="1" t="s">
        <v>74</v>
      </c>
      <c r="BH77" s="1" t="s">
        <v>74</v>
      </c>
      <c r="BI77" s="1" t="s">
        <v>74</v>
      </c>
      <c r="BJ77" s="1" t="s">
        <v>74</v>
      </c>
      <c r="BK77" s="1" t="s">
        <v>74</v>
      </c>
      <c r="BL77" s="1" t="s">
        <v>74</v>
      </c>
      <c r="BM77" s="1" t="s">
        <v>74</v>
      </c>
      <c r="BN77" s="1" t="s">
        <v>74</v>
      </c>
      <c r="BO77" s="1" t="s">
        <v>74</v>
      </c>
      <c r="BP77" s="1" t="s">
        <v>74</v>
      </c>
      <c r="BQ77" s="1" t="s">
        <v>74</v>
      </c>
      <c r="BR77" s="1" t="s">
        <v>74</v>
      </c>
      <c r="BS77" s="1" t="s">
        <v>926</v>
      </c>
      <c r="BT77" s="1" t="str">
        <f>HYPERLINK("https%3A%2F%2Fwww.webofscience.com%2Fwos%2Fwoscc%2Ffull-record%2FWOS:000282433200008","View Full Record in Web of Science")</f>
        <v>View Full Record in Web of Science</v>
      </c>
    </row>
    <row r="78" ht="12.75" customHeight="1">
      <c r="A78" s="1" t="s">
        <v>72</v>
      </c>
      <c r="B78" s="1" t="s">
        <v>927</v>
      </c>
      <c r="C78" s="1" t="s">
        <v>74</v>
      </c>
      <c r="D78" s="1" t="s">
        <v>74</v>
      </c>
      <c r="E78" s="1" t="s">
        <v>74</v>
      </c>
      <c r="F78" s="1" t="s">
        <v>928</v>
      </c>
      <c r="G78" s="1" t="s">
        <v>74</v>
      </c>
      <c r="H78" s="1" t="s">
        <v>74</v>
      </c>
      <c r="I78" s="1" t="s">
        <v>929</v>
      </c>
      <c r="J78" s="1" t="s">
        <v>930</v>
      </c>
      <c r="K78" s="1" t="s">
        <v>74</v>
      </c>
      <c r="L78" s="1" t="s">
        <v>74</v>
      </c>
      <c r="M78" s="1" t="s">
        <v>74</v>
      </c>
      <c r="N78" s="1" t="s">
        <v>74</v>
      </c>
      <c r="O78" s="1" t="s">
        <v>74</v>
      </c>
      <c r="P78" s="1" t="s">
        <v>74</v>
      </c>
      <c r="Q78" s="1" t="s">
        <v>74</v>
      </c>
      <c r="R78" s="1" t="s">
        <v>74</v>
      </c>
      <c r="S78" s="1" t="s">
        <v>74</v>
      </c>
      <c r="T78" s="1" t="s">
        <v>74</v>
      </c>
      <c r="U78" s="1" t="s">
        <v>74</v>
      </c>
      <c r="V78" s="1" t="s">
        <v>931</v>
      </c>
      <c r="W78" s="1" t="s">
        <v>74</v>
      </c>
      <c r="X78" s="1" t="s">
        <v>74</v>
      </c>
      <c r="Y78" s="1" t="s">
        <v>74</v>
      </c>
      <c r="Z78" s="1" t="s">
        <v>74</v>
      </c>
      <c r="AA78" s="1" t="s">
        <v>932</v>
      </c>
      <c r="AB78" s="1" t="s">
        <v>933</v>
      </c>
      <c r="AC78" s="1" t="s">
        <v>74</v>
      </c>
      <c r="AD78" s="1" t="s">
        <v>74</v>
      </c>
      <c r="AE78" s="1" t="s">
        <v>74</v>
      </c>
      <c r="AF78" s="1" t="s">
        <v>74</v>
      </c>
      <c r="AG78" s="1" t="s">
        <v>74</v>
      </c>
      <c r="AH78" s="1" t="s">
        <v>74</v>
      </c>
      <c r="AI78" s="1" t="s">
        <v>74</v>
      </c>
      <c r="AJ78" s="1" t="s">
        <v>74</v>
      </c>
      <c r="AK78" s="1" t="s">
        <v>74</v>
      </c>
      <c r="AL78" s="1" t="s">
        <v>74</v>
      </c>
      <c r="AM78" s="1" t="s">
        <v>74</v>
      </c>
      <c r="AN78" s="1" t="s">
        <v>74</v>
      </c>
      <c r="AO78" s="1" t="s">
        <v>934</v>
      </c>
      <c r="AP78" s="1" t="s">
        <v>74</v>
      </c>
      <c r="AQ78" s="1" t="s">
        <v>74</v>
      </c>
      <c r="AR78" s="1" t="s">
        <v>74</v>
      </c>
      <c r="AS78" s="1" t="s">
        <v>74</v>
      </c>
      <c r="AT78" s="1" t="s">
        <v>271</v>
      </c>
      <c r="AU78" s="1">
        <v>2009.0</v>
      </c>
      <c r="AV78" s="1">
        <v>9.0</v>
      </c>
      <c r="AW78" s="1">
        <v>5.0</v>
      </c>
      <c r="AX78" s="1" t="s">
        <v>74</v>
      </c>
      <c r="AY78" s="1" t="s">
        <v>74</v>
      </c>
      <c r="AZ78" s="1" t="s">
        <v>74</v>
      </c>
      <c r="BA78" s="1" t="s">
        <v>74</v>
      </c>
      <c r="BB78" s="1">
        <v>1409.0</v>
      </c>
      <c r="BC78" s="1">
        <v>1411.0</v>
      </c>
      <c r="BD78" s="1" t="s">
        <v>74</v>
      </c>
      <c r="BE78" s="1" t="s">
        <v>935</v>
      </c>
      <c r="BF78" s="2" t="str">
        <f>HYPERLINK("http://dx.doi.org/10.1111/j.1755-0998.2009.02682.x","http://dx.doi.org/10.1111/j.1755-0998.2009.02682.x")</f>
        <v>http://dx.doi.org/10.1111/j.1755-0998.2009.02682.x</v>
      </c>
      <c r="BG78" s="1" t="s">
        <v>74</v>
      </c>
      <c r="BH78" s="1" t="s">
        <v>74</v>
      </c>
      <c r="BI78" s="1" t="s">
        <v>74</v>
      </c>
      <c r="BJ78" s="1" t="s">
        <v>74</v>
      </c>
      <c r="BK78" s="1" t="s">
        <v>74</v>
      </c>
      <c r="BL78" s="1" t="s">
        <v>74</v>
      </c>
      <c r="BM78" s="1" t="s">
        <v>74</v>
      </c>
      <c r="BN78" s="1">
        <v>2.1564922E7</v>
      </c>
      <c r="BO78" s="1" t="s">
        <v>74</v>
      </c>
      <c r="BP78" s="1" t="s">
        <v>74</v>
      </c>
      <c r="BQ78" s="1" t="s">
        <v>74</v>
      </c>
      <c r="BR78" s="1" t="s">
        <v>74</v>
      </c>
      <c r="BS78" s="1" t="s">
        <v>936</v>
      </c>
      <c r="BT78" s="1" t="str">
        <f>HYPERLINK("https%3A%2F%2Fwww.webofscience.com%2Fwos%2Fwoscc%2Ffull-record%2FWOS:000268855000023","View Full Record in Web of Science")</f>
        <v>View Full Record in Web of Science</v>
      </c>
    </row>
    <row r="79" ht="12.75" customHeight="1">
      <c r="A79" s="1" t="s">
        <v>72</v>
      </c>
      <c r="B79" s="1" t="s">
        <v>937</v>
      </c>
      <c r="C79" s="1" t="s">
        <v>74</v>
      </c>
      <c r="D79" s="1" t="s">
        <v>74</v>
      </c>
      <c r="E79" s="1" t="s">
        <v>74</v>
      </c>
      <c r="F79" s="1" t="s">
        <v>938</v>
      </c>
      <c r="G79" s="1" t="s">
        <v>74</v>
      </c>
      <c r="H79" s="1" t="s">
        <v>74</v>
      </c>
      <c r="I79" s="1" t="s">
        <v>939</v>
      </c>
      <c r="J79" s="1" t="s">
        <v>940</v>
      </c>
      <c r="K79" s="1" t="s">
        <v>74</v>
      </c>
      <c r="L79" s="1" t="s">
        <v>74</v>
      </c>
      <c r="M79" s="1" t="s">
        <v>74</v>
      </c>
      <c r="N79" s="1" t="s">
        <v>74</v>
      </c>
      <c r="O79" s="1" t="s">
        <v>74</v>
      </c>
      <c r="P79" s="1" t="s">
        <v>74</v>
      </c>
      <c r="Q79" s="1" t="s">
        <v>74</v>
      </c>
      <c r="R79" s="1" t="s">
        <v>74</v>
      </c>
      <c r="S79" s="1" t="s">
        <v>74</v>
      </c>
      <c r="T79" s="1" t="s">
        <v>74</v>
      </c>
      <c r="U79" s="1" t="s">
        <v>74</v>
      </c>
      <c r="V79" s="1" t="s">
        <v>941</v>
      </c>
      <c r="W79" s="1" t="s">
        <v>74</v>
      </c>
      <c r="X79" s="1" t="s">
        <v>74</v>
      </c>
      <c r="Y79" s="1" t="s">
        <v>74</v>
      </c>
      <c r="Z79" s="1" t="s">
        <v>74</v>
      </c>
      <c r="AA79" s="1" t="s">
        <v>942</v>
      </c>
      <c r="AB79" s="1" t="s">
        <v>74</v>
      </c>
      <c r="AC79" s="1" t="s">
        <v>74</v>
      </c>
      <c r="AD79" s="1" t="s">
        <v>74</v>
      </c>
      <c r="AE79" s="1" t="s">
        <v>74</v>
      </c>
      <c r="AF79" s="1" t="s">
        <v>74</v>
      </c>
      <c r="AG79" s="1" t="s">
        <v>74</v>
      </c>
      <c r="AH79" s="1" t="s">
        <v>74</v>
      </c>
      <c r="AI79" s="1" t="s">
        <v>74</v>
      </c>
      <c r="AJ79" s="1" t="s">
        <v>74</v>
      </c>
      <c r="AK79" s="1" t="s">
        <v>74</v>
      </c>
      <c r="AL79" s="1" t="s">
        <v>74</v>
      </c>
      <c r="AM79" s="1" t="s">
        <v>74</v>
      </c>
      <c r="AN79" s="1" t="s">
        <v>74</v>
      </c>
      <c r="AO79" s="1" t="s">
        <v>943</v>
      </c>
      <c r="AP79" s="1" t="s">
        <v>944</v>
      </c>
      <c r="AQ79" s="1" t="s">
        <v>74</v>
      </c>
      <c r="AR79" s="1" t="s">
        <v>74</v>
      </c>
      <c r="AS79" s="1" t="s">
        <v>74</v>
      </c>
      <c r="AT79" s="1" t="s">
        <v>74</v>
      </c>
      <c r="AU79" s="1">
        <v>2009.0</v>
      </c>
      <c r="AV79" s="1">
        <v>86.0</v>
      </c>
      <c r="AW79" s="1">
        <v>4.0</v>
      </c>
      <c r="AX79" s="1" t="s">
        <v>74</v>
      </c>
      <c r="AY79" s="1" t="s">
        <v>74</v>
      </c>
      <c r="AZ79" s="1" t="s">
        <v>74</v>
      </c>
      <c r="BA79" s="1" t="s">
        <v>74</v>
      </c>
      <c r="BB79" s="1">
        <v>631.0</v>
      </c>
      <c r="BC79" s="1">
        <v>639.0</v>
      </c>
      <c r="BD79" s="1" t="s">
        <v>945</v>
      </c>
      <c r="BE79" s="1" t="s">
        <v>946</v>
      </c>
      <c r="BF79" s="2" t="str">
        <f>HYPERLINK("http://dx.doi.org/10.1080/00207160701671854","http://dx.doi.org/10.1080/00207160701671854")</f>
        <v>http://dx.doi.org/10.1080/00207160701671854</v>
      </c>
      <c r="BG79" s="1" t="s">
        <v>74</v>
      </c>
      <c r="BH79" s="1" t="s">
        <v>74</v>
      </c>
      <c r="BI79" s="1" t="s">
        <v>74</v>
      </c>
      <c r="BJ79" s="1" t="s">
        <v>74</v>
      </c>
      <c r="BK79" s="1" t="s">
        <v>74</v>
      </c>
      <c r="BL79" s="1" t="s">
        <v>74</v>
      </c>
      <c r="BM79" s="1" t="s">
        <v>74</v>
      </c>
      <c r="BN79" s="1" t="s">
        <v>74</v>
      </c>
      <c r="BO79" s="1" t="s">
        <v>74</v>
      </c>
      <c r="BP79" s="1" t="s">
        <v>74</v>
      </c>
      <c r="BQ79" s="1" t="s">
        <v>74</v>
      </c>
      <c r="BR79" s="1" t="s">
        <v>74</v>
      </c>
      <c r="BS79" s="1" t="s">
        <v>947</v>
      </c>
      <c r="BT79" s="1" t="str">
        <f>HYPERLINK("https%3A%2F%2Fwww.webofscience.com%2Fwos%2Fwoscc%2Ffull-record%2FWOS:000264528700008","View Full Record in Web of Science")</f>
        <v>View Full Record in Web of Science</v>
      </c>
    </row>
    <row r="80" ht="12.75" customHeight="1">
      <c r="A80" s="1" t="s">
        <v>207</v>
      </c>
      <c r="B80" s="1" t="s">
        <v>948</v>
      </c>
      <c r="C80" s="1" t="s">
        <v>74</v>
      </c>
      <c r="D80" s="1" t="s">
        <v>74</v>
      </c>
      <c r="E80" s="1" t="s">
        <v>224</v>
      </c>
      <c r="F80" s="1" t="s">
        <v>949</v>
      </c>
      <c r="G80" s="1" t="s">
        <v>74</v>
      </c>
      <c r="H80" s="1" t="s">
        <v>74</v>
      </c>
      <c r="I80" s="1" t="s">
        <v>950</v>
      </c>
      <c r="J80" s="1" t="s">
        <v>951</v>
      </c>
      <c r="K80" s="1" t="s">
        <v>952</v>
      </c>
      <c r="L80" s="1" t="s">
        <v>74</v>
      </c>
      <c r="M80" s="1" t="s">
        <v>74</v>
      </c>
      <c r="N80" s="1" t="s">
        <v>74</v>
      </c>
      <c r="O80" s="1" t="s">
        <v>953</v>
      </c>
      <c r="P80" s="1" t="s">
        <v>954</v>
      </c>
      <c r="Q80" s="1" t="s">
        <v>955</v>
      </c>
      <c r="R80" s="1" t="s">
        <v>74</v>
      </c>
      <c r="S80" s="1" t="s">
        <v>74</v>
      </c>
      <c r="T80" s="1" t="s">
        <v>74</v>
      </c>
      <c r="U80" s="1" t="s">
        <v>74</v>
      </c>
      <c r="V80" s="1" t="s">
        <v>956</v>
      </c>
      <c r="W80" s="1" t="s">
        <v>74</v>
      </c>
      <c r="X80" s="1" t="s">
        <v>74</v>
      </c>
      <c r="Y80" s="1" t="s">
        <v>74</v>
      </c>
      <c r="Z80" s="1" t="s">
        <v>74</v>
      </c>
      <c r="AA80" s="1" t="s">
        <v>74</v>
      </c>
      <c r="AB80" s="1" t="s">
        <v>957</v>
      </c>
      <c r="AC80" s="1" t="s">
        <v>74</v>
      </c>
      <c r="AD80" s="1" t="s">
        <v>74</v>
      </c>
      <c r="AE80" s="1" t="s">
        <v>74</v>
      </c>
      <c r="AF80" s="1" t="s">
        <v>74</v>
      </c>
      <c r="AG80" s="1" t="s">
        <v>74</v>
      </c>
      <c r="AH80" s="1" t="s">
        <v>74</v>
      </c>
      <c r="AI80" s="1" t="s">
        <v>74</v>
      </c>
      <c r="AJ80" s="1" t="s">
        <v>74</v>
      </c>
      <c r="AK80" s="1" t="s">
        <v>74</v>
      </c>
      <c r="AL80" s="1" t="s">
        <v>74</v>
      </c>
      <c r="AM80" s="1" t="s">
        <v>74</v>
      </c>
      <c r="AN80" s="1" t="s">
        <v>74</v>
      </c>
      <c r="AO80" s="1" t="s">
        <v>958</v>
      </c>
      <c r="AP80" s="1" t="s">
        <v>74</v>
      </c>
      <c r="AQ80" s="1" t="s">
        <v>959</v>
      </c>
      <c r="AR80" s="1" t="s">
        <v>74</v>
      </c>
      <c r="AS80" s="1" t="s">
        <v>74</v>
      </c>
      <c r="AT80" s="1" t="s">
        <v>74</v>
      </c>
      <c r="AU80" s="1">
        <v>2009.0</v>
      </c>
      <c r="AV80" s="1" t="s">
        <v>74</v>
      </c>
      <c r="AW80" s="1" t="s">
        <v>74</v>
      </c>
      <c r="AX80" s="1" t="s">
        <v>74</v>
      </c>
      <c r="AY80" s="1" t="s">
        <v>74</v>
      </c>
      <c r="AZ80" s="1" t="s">
        <v>74</v>
      </c>
      <c r="BA80" s="1" t="s">
        <v>74</v>
      </c>
      <c r="BB80" s="1">
        <v>3066.0</v>
      </c>
      <c r="BC80" s="1" t="s">
        <v>906</v>
      </c>
      <c r="BD80" s="1" t="s">
        <v>74</v>
      </c>
      <c r="BE80" s="1" t="s">
        <v>74</v>
      </c>
      <c r="BF80" s="1" t="s">
        <v>74</v>
      </c>
      <c r="BG80" s="1" t="s">
        <v>74</v>
      </c>
      <c r="BH80" s="1" t="s">
        <v>74</v>
      </c>
      <c r="BI80" s="1" t="s">
        <v>74</v>
      </c>
      <c r="BJ80" s="1" t="s">
        <v>74</v>
      </c>
      <c r="BK80" s="1" t="s">
        <v>74</v>
      </c>
      <c r="BL80" s="1" t="s">
        <v>74</v>
      </c>
      <c r="BM80" s="1" t="s">
        <v>74</v>
      </c>
      <c r="BN80" s="1" t="s">
        <v>74</v>
      </c>
      <c r="BO80" s="1" t="s">
        <v>74</v>
      </c>
      <c r="BP80" s="1" t="s">
        <v>74</v>
      </c>
      <c r="BQ80" s="1" t="s">
        <v>74</v>
      </c>
      <c r="BR80" s="1" t="s">
        <v>74</v>
      </c>
      <c r="BS80" s="1" t="s">
        <v>960</v>
      </c>
      <c r="BT80" s="1" t="str">
        <f>HYPERLINK("https%3A%2F%2Fwww.webofscience.com%2Fwos%2Fwoscc%2Ffull-record%2FWOS:000271964001052","View Full Record in Web of Science")</f>
        <v>View Full Record in Web of Science</v>
      </c>
    </row>
    <row r="81" ht="12.75" customHeight="1">
      <c r="A81" s="1" t="s">
        <v>72</v>
      </c>
      <c r="B81" s="1" t="s">
        <v>961</v>
      </c>
      <c r="C81" s="1" t="s">
        <v>74</v>
      </c>
      <c r="D81" s="1" t="s">
        <v>74</v>
      </c>
      <c r="E81" s="1" t="s">
        <v>74</v>
      </c>
      <c r="F81" s="1" t="s">
        <v>962</v>
      </c>
      <c r="G81" s="1" t="s">
        <v>74</v>
      </c>
      <c r="H81" s="1" t="s">
        <v>74</v>
      </c>
      <c r="I81" s="1" t="s">
        <v>963</v>
      </c>
      <c r="J81" s="1" t="s">
        <v>100</v>
      </c>
      <c r="K81" s="1" t="s">
        <v>74</v>
      </c>
      <c r="L81" s="1" t="s">
        <v>74</v>
      </c>
      <c r="M81" s="1" t="s">
        <v>74</v>
      </c>
      <c r="N81" s="1" t="s">
        <v>74</v>
      </c>
      <c r="O81" s="1" t="s">
        <v>74</v>
      </c>
      <c r="P81" s="1" t="s">
        <v>74</v>
      </c>
      <c r="Q81" s="1" t="s">
        <v>74</v>
      </c>
      <c r="R81" s="1" t="s">
        <v>74</v>
      </c>
      <c r="S81" s="1" t="s">
        <v>74</v>
      </c>
      <c r="T81" s="1" t="s">
        <v>74</v>
      </c>
      <c r="U81" s="1" t="s">
        <v>74</v>
      </c>
      <c r="V81" s="1" t="s">
        <v>964</v>
      </c>
      <c r="W81" s="1" t="s">
        <v>74</v>
      </c>
      <c r="X81" s="1" t="s">
        <v>74</v>
      </c>
      <c r="Y81" s="1" t="s">
        <v>74</v>
      </c>
      <c r="Z81" s="1" t="s">
        <v>74</v>
      </c>
      <c r="AA81" s="1" t="s">
        <v>965</v>
      </c>
      <c r="AB81" s="1" t="s">
        <v>966</v>
      </c>
      <c r="AC81" s="1" t="s">
        <v>74</v>
      </c>
      <c r="AD81" s="1" t="s">
        <v>74</v>
      </c>
      <c r="AE81" s="1" t="s">
        <v>74</v>
      </c>
      <c r="AF81" s="1" t="s">
        <v>74</v>
      </c>
      <c r="AG81" s="1" t="s">
        <v>74</v>
      </c>
      <c r="AH81" s="1" t="s">
        <v>74</v>
      </c>
      <c r="AI81" s="1" t="s">
        <v>74</v>
      </c>
      <c r="AJ81" s="1" t="s">
        <v>74</v>
      </c>
      <c r="AK81" s="1" t="s">
        <v>74</v>
      </c>
      <c r="AL81" s="1" t="s">
        <v>74</v>
      </c>
      <c r="AM81" s="1" t="s">
        <v>74</v>
      </c>
      <c r="AN81" s="1" t="s">
        <v>74</v>
      </c>
      <c r="AO81" s="1" t="s">
        <v>104</v>
      </c>
      <c r="AP81" s="1" t="s">
        <v>105</v>
      </c>
      <c r="AQ81" s="1" t="s">
        <v>74</v>
      </c>
      <c r="AR81" s="1" t="s">
        <v>74</v>
      </c>
      <c r="AS81" s="1" t="s">
        <v>74</v>
      </c>
      <c r="AT81" s="1" t="s">
        <v>374</v>
      </c>
      <c r="AU81" s="1">
        <v>2008.0</v>
      </c>
      <c r="AV81" s="1">
        <v>11.0</v>
      </c>
      <c r="AW81" s="1">
        <v>2.0</v>
      </c>
      <c r="AX81" s="1" t="s">
        <v>74</v>
      </c>
      <c r="AY81" s="1" t="s">
        <v>74</v>
      </c>
      <c r="AZ81" s="1" t="s">
        <v>74</v>
      </c>
      <c r="BA81" s="1" t="s">
        <v>74</v>
      </c>
      <c r="BB81" s="1">
        <v>564.0</v>
      </c>
      <c r="BC81" s="1">
        <v>572.0</v>
      </c>
      <c r="BD81" s="1" t="s">
        <v>74</v>
      </c>
      <c r="BE81" s="1" t="s">
        <v>74</v>
      </c>
      <c r="BF81" s="1" t="s">
        <v>74</v>
      </c>
      <c r="BG81" s="1" t="s">
        <v>74</v>
      </c>
      <c r="BH81" s="1" t="s">
        <v>74</v>
      </c>
      <c r="BI81" s="1" t="s">
        <v>74</v>
      </c>
      <c r="BJ81" s="1" t="s">
        <v>74</v>
      </c>
      <c r="BK81" s="1" t="s">
        <v>74</v>
      </c>
      <c r="BL81" s="1" t="s">
        <v>74</v>
      </c>
      <c r="BM81" s="1" t="s">
        <v>74</v>
      </c>
      <c r="BN81" s="1">
        <v>1.8988441E7</v>
      </c>
      <c r="BO81" s="1" t="s">
        <v>74</v>
      </c>
      <c r="BP81" s="1" t="s">
        <v>74</v>
      </c>
      <c r="BQ81" s="1" t="s">
        <v>74</v>
      </c>
      <c r="BR81" s="1" t="s">
        <v>74</v>
      </c>
      <c r="BS81" s="1" t="s">
        <v>967</v>
      </c>
      <c r="BT81" s="1" t="str">
        <f>HYPERLINK("https%3A%2F%2Fwww.webofscience.com%2Fwos%2Fwoscc%2Ffull-record%2FWOS:000260549200020","View Full Record in Web of Science")</f>
        <v>View Full Record in Web of Science</v>
      </c>
    </row>
    <row r="82" ht="12.75" customHeight="1">
      <c r="A82" s="1" t="s">
        <v>72</v>
      </c>
      <c r="B82" s="1" t="s">
        <v>968</v>
      </c>
      <c r="C82" s="1" t="s">
        <v>74</v>
      </c>
      <c r="D82" s="1" t="s">
        <v>74</v>
      </c>
      <c r="E82" s="1" t="s">
        <v>74</v>
      </c>
      <c r="F82" s="1" t="s">
        <v>969</v>
      </c>
      <c r="G82" s="1" t="s">
        <v>74</v>
      </c>
      <c r="H82" s="1" t="s">
        <v>74</v>
      </c>
      <c r="I82" s="1" t="s">
        <v>970</v>
      </c>
      <c r="J82" s="1" t="s">
        <v>971</v>
      </c>
      <c r="K82" s="1" t="s">
        <v>74</v>
      </c>
      <c r="L82" s="1" t="s">
        <v>74</v>
      </c>
      <c r="M82" s="1" t="s">
        <v>74</v>
      </c>
      <c r="N82" s="1" t="s">
        <v>74</v>
      </c>
      <c r="O82" s="1" t="s">
        <v>74</v>
      </c>
      <c r="P82" s="1" t="s">
        <v>74</v>
      </c>
      <c r="Q82" s="1" t="s">
        <v>74</v>
      </c>
      <c r="R82" s="1" t="s">
        <v>74</v>
      </c>
      <c r="S82" s="1" t="s">
        <v>74</v>
      </c>
      <c r="T82" s="1" t="s">
        <v>74</v>
      </c>
      <c r="U82" s="1" t="s">
        <v>74</v>
      </c>
      <c r="V82" s="1" t="s">
        <v>972</v>
      </c>
      <c r="W82" s="1" t="s">
        <v>74</v>
      </c>
      <c r="X82" s="1" t="s">
        <v>74</v>
      </c>
      <c r="Y82" s="1" t="s">
        <v>74</v>
      </c>
      <c r="Z82" s="1" t="s">
        <v>74</v>
      </c>
      <c r="AA82" s="1" t="s">
        <v>973</v>
      </c>
      <c r="AB82" s="1" t="s">
        <v>974</v>
      </c>
      <c r="AC82" s="1" t="s">
        <v>74</v>
      </c>
      <c r="AD82" s="1" t="s">
        <v>74</v>
      </c>
      <c r="AE82" s="1" t="s">
        <v>74</v>
      </c>
      <c r="AF82" s="1" t="s">
        <v>74</v>
      </c>
      <c r="AG82" s="1" t="s">
        <v>74</v>
      </c>
      <c r="AH82" s="1" t="s">
        <v>74</v>
      </c>
      <c r="AI82" s="1" t="s">
        <v>74</v>
      </c>
      <c r="AJ82" s="1" t="s">
        <v>74</v>
      </c>
      <c r="AK82" s="1" t="s">
        <v>74</v>
      </c>
      <c r="AL82" s="1" t="s">
        <v>74</v>
      </c>
      <c r="AM82" s="1" t="s">
        <v>74</v>
      </c>
      <c r="AN82" s="1" t="s">
        <v>74</v>
      </c>
      <c r="AO82" s="1" t="s">
        <v>975</v>
      </c>
      <c r="AP82" s="1" t="s">
        <v>976</v>
      </c>
      <c r="AQ82" s="1" t="s">
        <v>74</v>
      </c>
      <c r="AR82" s="1" t="s">
        <v>74</v>
      </c>
      <c r="AS82" s="1" t="s">
        <v>74</v>
      </c>
      <c r="AT82" s="1" t="s">
        <v>977</v>
      </c>
      <c r="AU82" s="1">
        <v>2008.0</v>
      </c>
      <c r="AV82" s="1">
        <v>69.0</v>
      </c>
      <c r="AW82" s="1" t="s">
        <v>978</v>
      </c>
      <c r="AX82" s="1" t="s">
        <v>74</v>
      </c>
      <c r="AY82" s="1" t="s">
        <v>74</v>
      </c>
      <c r="AZ82" s="1" t="s">
        <v>74</v>
      </c>
      <c r="BA82" s="1" t="s">
        <v>74</v>
      </c>
      <c r="BB82" s="1">
        <v>1485.0</v>
      </c>
      <c r="BC82" s="1">
        <v>1493.0</v>
      </c>
      <c r="BD82" s="1" t="s">
        <v>74</v>
      </c>
      <c r="BE82" s="1" t="s">
        <v>979</v>
      </c>
      <c r="BF82" s="2" t="str">
        <f>HYPERLINK("http://dx.doi.org/10.1016/j.na.2007.06.048","http://dx.doi.org/10.1016/j.na.2007.06.048")</f>
        <v>http://dx.doi.org/10.1016/j.na.2007.06.048</v>
      </c>
      <c r="BG82" s="1" t="s">
        <v>74</v>
      </c>
      <c r="BH82" s="1" t="s">
        <v>74</v>
      </c>
      <c r="BI82" s="1" t="s">
        <v>74</v>
      </c>
      <c r="BJ82" s="1" t="s">
        <v>74</v>
      </c>
      <c r="BK82" s="1" t="s">
        <v>74</v>
      </c>
      <c r="BL82" s="1" t="s">
        <v>74</v>
      </c>
      <c r="BM82" s="1" t="s">
        <v>74</v>
      </c>
      <c r="BN82" s="1" t="s">
        <v>74</v>
      </c>
      <c r="BO82" s="1" t="s">
        <v>74</v>
      </c>
      <c r="BP82" s="1" t="s">
        <v>74</v>
      </c>
      <c r="BQ82" s="1" t="s">
        <v>74</v>
      </c>
      <c r="BR82" s="1" t="s">
        <v>74</v>
      </c>
      <c r="BS82" s="1" t="s">
        <v>980</v>
      </c>
      <c r="BT82" s="1" t="str">
        <f>HYPERLINK("https%3A%2F%2Fwww.webofscience.com%2Fwos%2Fwoscc%2Ffull-record%2FWOS:000257595600001","View Full Record in Web of Science")</f>
        <v>View Full Record in Web of Science</v>
      </c>
    </row>
    <row r="83" ht="12.75" customHeight="1">
      <c r="A83" s="1" t="s">
        <v>72</v>
      </c>
      <c r="B83" s="1" t="s">
        <v>981</v>
      </c>
      <c r="C83" s="1" t="s">
        <v>74</v>
      </c>
      <c r="D83" s="1" t="s">
        <v>74</v>
      </c>
      <c r="E83" s="1" t="s">
        <v>74</v>
      </c>
      <c r="F83" s="1" t="s">
        <v>982</v>
      </c>
      <c r="G83" s="1" t="s">
        <v>74</v>
      </c>
      <c r="H83" s="1" t="s">
        <v>74</v>
      </c>
      <c r="I83" s="1" t="s">
        <v>983</v>
      </c>
      <c r="J83" s="1" t="s">
        <v>984</v>
      </c>
      <c r="K83" s="1" t="s">
        <v>74</v>
      </c>
      <c r="L83" s="1" t="s">
        <v>74</v>
      </c>
      <c r="M83" s="1" t="s">
        <v>74</v>
      </c>
      <c r="N83" s="1" t="s">
        <v>74</v>
      </c>
      <c r="O83" s="1" t="s">
        <v>74</v>
      </c>
      <c r="P83" s="1" t="s">
        <v>74</v>
      </c>
      <c r="Q83" s="1" t="s">
        <v>74</v>
      </c>
      <c r="R83" s="1" t="s">
        <v>74</v>
      </c>
      <c r="S83" s="1" t="s">
        <v>74</v>
      </c>
      <c r="T83" s="1" t="s">
        <v>74</v>
      </c>
      <c r="U83" s="1" t="s">
        <v>74</v>
      </c>
      <c r="V83" s="1" t="s">
        <v>985</v>
      </c>
      <c r="W83" s="1" t="s">
        <v>74</v>
      </c>
      <c r="X83" s="1" t="s">
        <v>74</v>
      </c>
      <c r="Y83" s="1" t="s">
        <v>74</v>
      </c>
      <c r="Z83" s="1" t="s">
        <v>74</v>
      </c>
      <c r="AA83" s="1" t="s">
        <v>986</v>
      </c>
      <c r="AB83" s="1" t="s">
        <v>74</v>
      </c>
      <c r="AC83" s="1" t="s">
        <v>74</v>
      </c>
      <c r="AD83" s="1" t="s">
        <v>74</v>
      </c>
      <c r="AE83" s="1" t="s">
        <v>74</v>
      </c>
      <c r="AF83" s="1" t="s">
        <v>74</v>
      </c>
      <c r="AG83" s="1" t="s">
        <v>74</v>
      </c>
      <c r="AH83" s="1" t="s">
        <v>74</v>
      </c>
      <c r="AI83" s="1" t="s">
        <v>74</v>
      </c>
      <c r="AJ83" s="1" t="s">
        <v>74</v>
      </c>
      <c r="AK83" s="1" t="s">
        <v>74</v>
      </c>
      <c r="AL83" s="1" t="s">
        <v>74</v>
      </c>
      <c r="AM83" s="1" t="s">
        <v>74</v>
      </c>
      <c r="AN83" s="1" t="s">
        <v>74</v>
      </c>
      <c r="AO83" s="1" t="s">
        <v>987</v>
      </c>
      <c r="AP83" s="1" t="s">
        <v>74</v>
      </c>
      <c r="AQ83" s="1" t="s">
        <v>74</v>
      </c>
      <c r="AR83" s="1" t="s">
        <v>74</v>
      </c>
      <c r="AS83" s="1" t="s">
        <v>74</v>
      </c>
      <c r="AT83" s="1" t="s">
        <v>74</v>
      </c>
      <c r="AU83" s="1">
        <v>2008.0</v>
      </c>
      <c r="AV83" s="1">
        <v>17.0</v>
      </c>
      <c r="AW83" s="1" t="s">
        <v>988</v>
      </c>
      <c r="AX83" s="1" t="s">
        <v>74</v>
      </c>
      <c r="AY83" s="1" t="s">
        <v>74</v>
      </c>
      <c r="AZ83" s="1" t="s">
        <v>74</v>
      </c>
      <c r="BA83" s="1" t="s">
        <v>74</v>
      </c>
      <c r="BB83" s="1">
        <v>8.0</v>
      </c>
      <c r="BC83" s="1">
        <v>12.0</v>
      </c>
      <c r="BD83" s="1" t="s">
        <v>74</v>
      </c>
      <c r="BE83" s="1" t="s">
        <v>74</v>
      </c>
      <c r="BF83" s="1" t="s">
        <v>74</v>
      </c>
      <c r="BG83" s="1" t="s">
        <v>74</v>
      </c>
      <c r="BH83" s="1" t="s">
        <v>74</v>
      </c>
      <c r="BI83" s="1" t="s">
        <v>74</v>
      </c>
      <c r="BJ83" s="1" t="s">
        <v>74</v>
      </c>
      <c r="BK83" s="1" t="s">
        <v>74</v>
      </c>
      <c r="BL83" s="1" t="s">
        <v>74</v>
      </c>
      <c r="BM83" s="1" t="s">
        <v>74</v>
      </c>
      <c r="BN83" s="1" t="s">
        <v>74</v>
      </c>
      <c r="BO83" s="1" t="s">
        <v>74</v>
      </c>
      <c r="BP83" s="1" t="s">
        <v>74</v>
      </c>
      <c r="BQ83" s="1" t="s">
        <v>74</v>
      </c>
      <c r="BR83" s="1" t="s">
        <v>74</v>
      </c>
      <c r="BS83" s="1" t="s">
        <v>989</v>
      </c>
      <c r="BT83" s="1" t="str">
        <f>HYPERLINK("https%3A%2F%2Fwww.webofscience.com%2Fwos%2Fwoscc%2Ffull-record%2FWOS:000263338900002","View Full Record in Web of Science")</f>
        <v>View Full Record in Web of Science</v>
      </c>
    </row>
    <row r="84" ht="12.75" customHeight="1">
      <c r="A84" s="1" t="s">
        <v>207</v>
      </c>
      <c r="B84" s="1" t="s">
        <v>990</v>
      </c>
      <c r="C84" s="1" t="s">
        <v>74</v>
      </c>
      <c r="D84" s="1" t="s">
        <v>74</v>
      </c>
      <c r="E84" s="1" t="s">
        <v>224</v>
      </c>
      <c r="F84" s="1" t="s">
        <v>991</v>
      </c>
      <c r="G84" s="1" t="s">
        <v>74</v>
      </c>
      <c r="H84" s="1" t="s">
        <v>74</v>
      </c>
      <c r="I84" s="1" t="s">
        <v>992</v>
      </c>
      <c r="J84" s="1" t="s">
        <v>993</v>
      </c>
      <c r="K84" s="1" t="s">
        <v>74</v>
      </c>
      <c r="L84" s="1" t="s">
        <v>74</v>
      </c>
      <c r="M84" s="1" t="s">
        <v>74</v>
      </c>
      <c r="N84" s="1" t="s">
        <v>74</v>
      </c>
      <c r="O84" s="1" t="s">
        <v>994</v>
      </c>
      <c r="P84" s="1" t="s">
        <v>995</v>
      </c>
      <c r="Q84" s="1" t="s">
        <v>996</v>
      </c>
      <c r="R84" s="1" t="s">
        <v>997</v>
      </c>
      <c r="S84" s="1" t="s">
        <v>74</v>
      </c>
      <c r="T84" s="1" t="s">
        <v>74</v>
      </c>
      <c r="U84" s="1" t="s">
        <v>74</v>
      </c>
      <c r="V84" s="1" t="s">
        <v>998</v>
      </c>
      <c r="W84" s="1" t="s">
        <v>74</v>
      </c>
      <c r="X84" s="1" t="s">
        <v>74</v>
      </c>
      <c r="Y84" s="1" t="s">
        <v>74</v>
      </c>
      <c r="Z84" s="1" t="s">
        <v>74</v>
      </c>
      <c r="AA84" s="1" t="s">
        <v>999</v>
      </c>
      <c r="AB84" s="1" t="s">
        <v>1000</v>
      </c>
      <c r="AC84" s="1" t="s">
        <v>74</v>
      </c>
      <c r="AD84" s="1" t="s">
        <v>74</v>
      </c>
      <c r="AE84" s="1" t="s">
        <v>74</v>
      </c>
      <c r="AF84" s="1" t="s">
        <v>74</v>
      </c>
      <c r="AG84" s="1" t="s">
        <v>74</v>
      </c>
      <c r="AH84" s="1" t="s">
        <v>74</v>
      </c>
      <c r="AI84" s="1" t="s">
        <v>74</v>
      </c>
      <c r="AJ84" s="1" t="s">
        <v>74</v>
      </c>
      <c r="AK84" s="1" t="s">
        <v>74</v>
      </c>
      <c r="AL84" s="1" t="s">
        <v>74</v>
      </c>
      <c r="AM84" s="1" t="s">
        <v>74</v>
      </c>
      <c r="AN84" s="1" t="s">
        <v>74</v>
      </c>
      <c r="AO84" s="1" t="s">
        <v>74</v>
      </c>
      <c r="AP84" s="1" t="s">
        <v>74</v>
      </c>
      <c r="AQ84" s="1" t="s">
        <v>1001</v>
      </c>
      <c r="AR84" s="1" t="s">
        <v>74</v>
      </c>
      <c r="AS84" s="1" t="s">
        <v>74</v>
      </c>
      <c r="AT84" s="1" t="s">
        <v>74</v>
      </c>
      <c r="AU84" s="1">
        <v>2007.0</v>
      </c>
      <c r="AV84" s="1" t="s">
        <v>74</v>
      </c>
      <c r="AW84" s="1" t="s">
        <v>74</v>
      </c>
      <c r="AX84" s="1" t="s">
        <v>74</v>
      </c>
      <c r="AY84" s="1" t="s">
        <v>74</v>
      </c>
      <c r="AZ84" s="1" t="s">
        <v>74</v>
      </c>
      <c r="BA84" s="1" t="s">
        <v>74</v>
      </c>
      <c r="BB84" s="1">
        <v>199.0</v>
      </c>
      <c r="BC84" s="1" t="s">
        <v>906</v>
      </c>
      <c r="BD84" s="1" t="s">
        <v>74</v>
      </c>
      <c r="BE84" s="1" t="s">
        <v>1002</v>
      </c>
      <c r="BF84" s="2" t="str">
        <f>HYPERLINK("http://dx.doi.org/10.1109/IMOC.2007.4404245","http://dx.doi.org/10.1109/IMOC.2007.4404245")</f>
        <v>http://dx.doi.org/10.1109/IMOC.2007.4404245</v>
      </c>
      <c r="BG84" s="1" t="s">
        <v>74</v>
      </c>
      <c r="BH84" s="1" t="s">
        <v>74</v>
      </c>
      <c r="BI84" s="1" t="s">
        <v>74</v>
      </c>
      <c r="BJ84" s="1" t="s">
        <v>74</v>
      </c>
      <c r="BK84" s="1" t="s">
        <v>74</v>
      </c>
      <c r="BL84" s="1" t="s">
        <v>74</v>
      </c>
      <c r="BM84" s="1" t="s">
        <v>74</v>
      </c>
      <c r="BN84" s="1" t="s">
        <v>74</v>
      </c>
      <c r="BO84" s="1" t="s">
        <v>74</v>
      </c>
      <c r="BP84" s="1" t="s">
        <v>74</v>
      </c>
      <c r="BQ84" s="1" t="s">
        <v>74</v>
      </c>
      <c r="BR84" s="1" t="s">
        <v>74</v>
      </c>
      <c r="BS84" s="1" t="s">
        <v>1003</v>
      </c>
      <c r="BT84" s="1" t="str">
        <f>HYPERLINK("https%3A%2F%2Fwww.webofscience.com%2Fwos%2Fwoscc%2Ffull-record%2FWOS:000256075300045","View Full Record in Web of Science")</f>
        <v>View Full Record in Web of Science</v>
      </c>
    </row>
    <row r="85" ht="12.75" customHeight="1">
      <c r="A85" s="1" t="s">
        <v>72</v>
      </c>
      <c r="B85" s="1" t="s">
        <v>1004</v>
      </c>
      <c r="C85" s="1" t="s">
        <v>74</v>
      </c>
      <c r="D85" s="1" t="s">
        <v>74</v>
      </c>
      <c r="E85" s="1" t="s">
        <v>74</v>
      </c>
      <c r="F85" s="1" t="s">
        <v>1005</v>
      </c>
      <c r="G85" s="1" t="s">
        <v>74</v>
      </c>
      <c r="H85" s="1" t="s">
        <v>74</v>
      </c>
      <c r="I85" s="1" t="s">
        <v>1006</v>
      </c>
      <c r="J85" s="1" t="s">
        <v>1007</v>
      </c>
      <c r="K85" s="1" t="s">
        <v>74</v>
      </c>
      <c r="L85" s="1" t="s">
        <v>74</v>
      </c>
      <c r="M85" s="1" t="s">
        <v>74</v>
      </c>
      <c r="N85" s="1" t="s">
        <v>74</v>
      </c>
      <c r="O85" s="1" t="s">
        <v>74</v>
      </c>
      <c r="P85" s="1" t="s">
        <v>74</v>
      </c>
      <c r="Q85" s="1" t="s">
        <v>74</v>
      </c>
      <c r="R85" s="1" t="s">
        <v>74</v>
      </c>
      <c r="S85" s="1" t="s">
        <v>74</v>
      </c>
      <c r="T85" s="1" t="s">
        <v>74</v>
      </c>
      <c r="U85" s="1" t="s">
        <v>74</v>
      </c>
      <c r="V85" s="1" t="s">
        <v>1008</v>
      </c>
      <c r="W85" s="1" t="s">
        <v>74</v>
      </c>
      <c r="X85" s="1" t="s">
        <v>74</v>
      </c>
      <c r="Y85" s="1" t="s">
        <v>74</v>
      </c>
      <c r="Z85" s="1" t="s">
        <v>74</v>
      </c>
      <c r="AA85" s="1" t="s">
        <v>1009</v>
      </c>
      <c r="AB85" s="1" t="s">
        <v>1010</v>
      </c>
      <c r="AC85" s="1" t="s">
        <v>74</v>
      </c>
      <c r="AD85" s="1" t="s">
        <v>74</v>
      </c>
      <c r="AE85" s="1" t="s">
        <v>74</v>
      </c>
      <c r="AF85" s="1" t="s">
        <v>74</v>
      </c>
      <c r="AG85" s="1" t="s">
        <v>74</v>
      </c>
      <c r="AH85" s="1" t="s">
        <v>74</v>
      </c>
      <c r="AI85" s="1" t="s">
        <v>74</v>
      </c>
      <c r="AJ85" s="1" t="s">
        <v>74</v>
      </c>
      <c r="AK85" s="1" t="s">
        <v>74</v>
      </c>
      <c r="AL85" s="1" t="s">
        <v>74</v>
      </c>
      <c r="AM85" s="1" t="s">
        <v>74</v>
      </c>
      <c r="AN85" s="1" t="s">
        <v>74</v>
      </c>
      <c r="AO85" s="1" t="s">
        <v>1011</v>
      </c>
      <c r="AP85" s="1" t="s">
        <v>1012</v>
      </c>
      <c r="AQ85" s="1" t="s">
        <v>74</v>
      </c>
      <c r="AR85" s="1" t="s">
        <v>74</v>
      </c>
      <c r="AS85" s="1" t="s">
        <v>74</v>
      </c>
      <c r="AT85" s="1" t="s">
        <v>282</v>
      </c>
      <c r="AU85" s="1">
        <v>2006.0</v>
      </c>
      <c r="AV85" s="1">
        <v>128.0</v>
      </c>
      <c r="AW85" s="1">
        <v>4.0</v>
      </c>
      <c r="AX85" s="1" t="s">
        <v>74</v>
      </c>
      <c r="AY85" s="1" t="s">
        <v>74</v>
      </c>
      <c r="AZ85" s="1" t="s">
        <v>74</v>
      </c>
      <c r="BA85" s="1" t="s">
        <v>74</v>
      </c>
      <c r="BB85" s="1">
        <v>516.0</v>
      </c>
      <c r="BC85" s="1">
        <v>526.0</v>
      </c>
      <c r="BD85" s="1" t="s">
        <v>74</v>
      </c>
      <c r="BE85" s="1" t="s">
        <v>1013</v>
      </c>
      <c r="BF85" s="2" t="str">
        <f>HYPERLINK("http://dx.doi.org/10.1115/1.2205377","http://dx.doi.org/10.1115/1.2205377")</f>
        <v>http://dx.doi.org/10.1115/1.2205377</v>
      </c>
      <c r="BG85" s="1" t="s">
        <v>74</v>
      </c>
      <c r="BH85" s="1" t="s">
        <v>74</v>
      </c>
      <c r="BI85" s="1" t="s">
        <v>74</v>
      </c>
      <c r="BJ85" s="1" t="s">
        <v>74</v>
      </c>
      <c r="BK85" s="1" t="s">
        <v>74</v>
      </c>
      <c r="BL85" s="1" t="s">
        <v>74</v>
      </c>
      <c r="BM85" s="1" t="s">
        <v>74</v>
      </c>
      <c r="BN85" s="1">
        <v>1.6813443E7</v>
      </c>
      <c r="BO85" s="1" t="s">
        <v>74</v>
      </c>
      <c r="BP85" s="1" t="s">
        <v>74</v>
      </c>
      <c r="BQ85" s="1" t="s">
        <v>74</v>
      </c>
      <c r="BR85" s="1" t="s">
        <v>74</v>
      </c>
      <c r="BS85" s="1" t="s">
        <v>1014</v>
      </c>
      <c r="BT85" s="1" t="str">
        <f>HYPERLINK("https%3A%2F%2Fwww.webofscience.com%2Fwos%2Fwoscc%2Ffull-record%2FWOS:000239233600006","View Full Record in Web of Science")</f>
        <v>View Full Record in Web of Science</v>
      </c>
    </row>
    <row r="86" ht="12.75" customHeight="1">
      <c r="A86" s="1" t="s">
        <v>72</v>
      </c>
      <c r="B86" s="1" t="s">
        <v>1015</v>
      </c>
      <c r="C86" s="1" t="s">
        <v>74</v>
      </c>
      <c r="D86" s="1" t="s">
        <v>74</v>
      </c>
      <c r="E86" s="1" t="s">
        <v>74</v>
      </c>
      <c r="F86" s="1" t="s">
        <v>1016</v>
      </c>
      <c r="G86" s="1" t="s">
        <v>74</v>
      </c>
      <c r="H86" s="1" t="s">
        <v>74</v>
      </c>
      <c r="I86" s="1" t="s">
        <v>1017</v>
      </c>
      <c r="J86" s="1" t="s">
        <v>1018</v>
      </c>
      <c r="K86" s="1" t="s">
        <v>74</v>
      </c>
      <c r="L86" s="1" t="s">
        <v>74</v>
      </c>
      <c r="M86" s="1" t="s">
        <v>74</v>
      </c>
      <c r="N86" s="1" t="s">
        <v>74</v>
      </c>
      <c r="O86" s="1" t="s">
        <v>74</v>
      </c>
      <c r="P86" s="1" t="s">
        <v>74</v>
      </c>
      <c r="Q86" s="1" t="s">
        <v>74</v>
      </c>
      <c r="R86" s="1" t="s">
        <v>74</v>
      </c>
      <c r="S86" s="1" t="s">
        <v>74</v>
      </c>
      <c r="T86" s="1" t="s">
        <v>74</v>
      </c>
      <c r="U86" s="1" t="s">
        <v>74</v>
      </c>
      <c r="V86" s="1" t="s">
        <v>1019</v>
      </c>
      <c r="W86" s="1" t="s">
        <v>74</v>
      </c>
      <c r="X86" s="1" t="s">
        <v>74</v>
      </c>
      <c r="Y86" s="1" t="s">
        <v>74</v>
      </c>
      <c r="Z86" s="1" t="s">
        <v>74</v>
      </c>
      <c r="AA86" s="1" t="s">
        <v>1020</v>
      </c>
      <c r="AB86" s="1" t="s">
        <v>1021</v>
      </c>
      <c r="AC86" s="1" t="s">
        <v>74</v>
      </c>
      <c r="AD86" s="1" t="s">
        <v>74</v>
      </c>
      <c r="AE86" s="1" t="s">
        <v>74</v>
      </c>
      <c r="AF86" s="1" t="s">
        <v>74</v>
      </c>
      <c r="AG86" s="1" t="s">
        <v>74</v>
      </c>
      <c r="AH86" s="1" t="s">
        <v>74</v>
      </c>
      <c r="AI86" s="1" t="s">
        <v>74</v>
      </c>
      <c r="AJ86" s="1" t="s">
        <v>74</v>
      </c>
      <c r="AK86" s="1" t="s">
        <v>74</v>
      </c>
      <c r="AL86" s="1" t="s">
        <v>74</v>
      </c>
      <c r="AM86" s="1" t="s">
        <v>74</v>
      </c>
      <c r="AN86" s="1" t="s">
        <v>74</v>
      </c>
      <c r="AO86" s="1" t="s">
        <v>1022</v>
      </c>
      <c r="AP86" s="1" t="s">
        <v>74</v>
      </c>
      <c r="AQ86" s="1" t="s">
        <v>74</v>
      </c>
      <c r="AR86" s="1" t="s">
        <v>74</v>
      </c>
      <c r="AS86" s="1" t="s">
        <v>74</v>
      </c>
      <c r="AT86" s="1" t="s">
        <v>177</v>
      </c>
      <c r="AU86" s="1">
        <v>2006.0</v>
      </c>
      <c r="AV86" s="1">
        <v>52.0</v>
      </c>
      <c r="AW86" s="1">
        <v>1.0</v>
      </c>
      <c r="AX86" s="1" t="s">
        <v>74</v>
      </c>
      <c r="AY86" s="1" t="s">
        <v>74</v>
      </c>
      <c r="AZ86" s="1" t="s">
        <v>74</v>
      </c>
      <c r="BA86" s="1" t="s">
        <v>74</v>
      </c>
      <c r="BB86" s="1">
        <v>10.0</v>
      </c>
      <c r="BC86" s="1">
        <v>18.0</v>
      </c>
      <c r="BD86" s="1" t="s">
        <v>74</v>
      </c>
      <c r="BE86" s="1" t="s">
        <v>1023</v>
      </c>
      <c r="BF86" s="2" t="str">
        <f>HYPERLINK("http://dx.doi.org/10.1007/s00248-006-9107-z","http://dx.doi.org/10.1007/s00248-006-9107-z")</f>
        <v>http://dx.doi.org/10.1007/s00248-006-9107-z</v>
      </c>
      <c r="BG86" s="1" t="s">
        <v>74</v>
      </c>
      <c r="BH86" s="1" t="s">
        <v>74</v>
      </c>
      <c r="BI86" s="1" t="s">
        <v>74</v>
      </c>
      <c r="BJ86" s="1" t="s">
        <v>74</v>
      </c>
      <c r="BK86" s="1" t="s">
        <v>74</v>
      </c>
      <c r="BL86" s="1" t="s">
        <v>74</v>
      </c>
      <c r="BM86" s="1" t="s">
        <v>74</v>
      </c>
      <c r="BN86" s="1">
        <v>1.6767518E7</v>
      </c>
      <c r="BO86" s="1" t="s">
        <v>74</v>
      </c>
      <c r="BP86" s="1" t="s">
        <v>74</v>
      </c>
      <c r="BQ86" s="1" t="s">
        <v>74</v>
      </c>
      <c r="BR86" s="1" t="s">
        <v>74</v>
      </c>
      <c r="BS86" s="1" t="s">
        <v>1024</v>
      </c>
      <c r="BT86" s="1" t="str">
        <f>HYPERLINK("https%3A%2F%2Fwww.webofscience.com%2Fwos%2Fwoscc%2Ffull-record%2FWOS:000239818700002","View Full Record in Web of Science")</f>
        <v>View Full Record in Web of Science</v>
      </c>
    </row>
    <row r="87" ht="12.75" customHeight="1">
      <c r="A87" s="1" t="s">
        <v>72</v>
      </c>
      <c r="B87" s="1" t="s">
        <v>1025</v>
      </c>
      <c r="C87" s="1" t="s">
        <v>74</v>
      </c>
      <c r="D87" s="1" t="s">
        <v>74</v>
      </c>
      <c r="E87" s="1" t="s">
        <v>74</v>
      </c>
      <c r="F87" s="1" t="s">
        <v>1025</v>
      </c>
      <c r="G87" s="1" t="s">
        <v>74</v>
      </c>
      <c r="H87" s="1" t="s">
        <v>74</v>
      </c>
      <c r="I87" s="1" t="s">
        <v>1026</v>
      </c>
      <c r="J87" s="1" t="s">
        <v>1027</v>
      </c>
      <c r="K87" s="1" t="s">
        <v>74</v>
      </c>
      <c r="L87" s="1" t="s">
        <v>74</v>
      </c>
      <c r="M87" s="1" t="s">
        <v>74</v>
      </c>
      <c r="N87" s="1" t="s">
        <v>74</v>
      </c>
      <c r="O87" s="1" t="s">
        <v>1028</v>
      </c>
      <c r="P87" s="1" t="s">
        <v>1029</v>
      </c>
      <c r="Q87" s="1" t="s">
        <v>1030</v>
      </c>
      <c r="R87" s="1" t="s">
        <v>74</v>
      </c>
      <c r="S87" s="1" t="s">
        <v>74</v>
      </c>
      <c r="T87" s="1" t="s">
        <v>74</v>
      </c>
      <c r="U87" s="1" t="s">
        <v>74</v>
      </c>
      <c r="V87" s="1" t="s">
        <v>1031</v>
      </c>
      <c r="W87" s="1" t="s">
        <v>74</v>
      </c>
      <c r="X87" s="1" t="s">
        <v>74</v>
      </c>
      <c r="Y87" s="1" t="s">
        <v>74</v>
      </c>
      <c r="Z87" s="1" t="s">
        <v>74</v>
      </c>
      <c r="AA87" s="1" t="s">
        <v>74</v>
      </c>
      <c r="AB87" s="1" t="s">
        <v>74</v>
      </c>
      <c r="AC87" s="1" t="s">
        <v>74</v>
      </c>
      <c r="AD87" s="1" t="s">
        <v>74</v>
      </c>
      <c r="AE87" s="1" t="s">
        <v>74</v>
      </c>
      <c r="AF87" s="1" t="s">
        <v>74</v>
      </c>
      <c r="AG87" s="1" t="s">
        <v>74</v>
      </c>
      <c r="AH87" s="1" t="s">
        <v>74</v>
      </c>
      <c r="AI87" s="1" t="s">
        <v>74</v>
      </c>
      <c r="AJ87" s="1" t="s">
        <v>74</v>
      </c>
      <c r="AK87" s="1" t="s">
        <v>74</v>
      </c>
      <c r="AL87" s="1" t="s">
        <v>74</v>
      </c>
      <c r="AM87" s="1" t="s">
        <v>74</v>
      </c>
      <c r="AN87" s="1" t="s">
        <v>74</v>
      </c>
      <c r="AO87" s="1" t="s">
        <v>1032</v>
      </c>
      <c r="AP87" s="1" t="s">
        <v>1033</v>
      </c>
      <c r="AQ87" s="1" t="s">
        <v>74</v>
      </c>
      <c r="AR87" s="1" t="s">
        <v>74</v>
      </c>
      <c r="AS87" s="1" t="s">
        <v>74</v>
      </c>
      <c r="AT87" s="1" t="s">
        <v>374</v>
      </c>
      <c r="AU87" s="1">
        <v>2005.0</v>
      </c>
      <c r="AV87" s="1">
        <v>76.0</v>
      </c>
      <c r="AW87" s="1">
        <v>11.0</v>
      </c>
      <c r="AX87" s="1" t="s">
        <v>74</v>
      </c>
      <c r="AY87" s="1" t="s">
        <v>311</v>
      </c>
      <c r="AZ87" s="1" t="s">
        <v>74</v>
      </c>
      <c r="BA87" s="1" t="s">
        <v>74</v>
      </c>
      <c r="BB87" s="1">
        <v>2144.0</v>
      </c>
      <c r="BC87" s="1">
        <v>2153.0</v>
      </c>
      <c r="BD87" s="1" t="s">
        <v>74</v>
      </c>
      <c r="BE87" s="1" t="s">
        <v>1034</v>
      </c>
      <c r="BF87" s="2" t="str">
        <f>HYPERLINK("http://dx.doi.org/10.1902/jop.2005.76.11-S.2144","http://dx.doi.org/10.1902/jop.2005.76.11-S.2144")</f>
        <v>http://dx.doi.org/10.1902/jop.2005.76.11-S.2144</v>
      </c>
      <c r="BG87" s="1" t="s">
        <v>74</v>
      </c>
      <c r="BH87" s="1" t="s">
        <v>74</v>
      </c>
      <c r="BI87" s="1" t="s">
        <v>74</v>
      </c>
      <c r="BJ87" s="1" t="s">
        <v>74</v>
      </c>
      <c r="BK87" s="1" t="s">
        <v>74</v>
      </c>
      <c r="BL87" s="1" t="s">
        <v>74</v>
      </c>
      <c r="BM87" s="1" t="s">
        <v>74</v>
      </c>
      <c r="BN87" s="1">
        <v>1.6277587E7</v>
      </c>
      <c r="BO87" s="1" t="s">
        <v>74</v>
      </c>
      <c r="BP87" s="1" t="s">
        <v>74</v>
      </c>
      <c r="BQ87" s="1" t="s">
        <v>74</v>
      </c>
      <c r="BR87" s="1" t="s">
        <v>74</v>
      </c>
      <c r="BS87" s="1" t="s">
        <v>1035</v>
      </c>
      <c r="BT87" s="1" t="str">
        <f>HYPERLINK("https%3A%2F%2Fwww.webofscience.com%2Fwos%2Fwoscc%2Ffull-record%2FWOS:000233439800017","View Full Record in Web of Science")</f>
        <v>View Full Record in Web of Science</v>
      </c>
    </row>
    <row r="88" ht="12.75" customHeight="1">
      <c r="A88" s="1" t="s">
        <v>72</v>
      </c>
      <c r="B88" s="1" t="s">
        <v>1036</v>
      </c>
      <c r="C88" s="1" t="s">
        <v>74</v>
      </c>
      <c r="D88" s="1" t="s">
        <v>74</v>
      </c>
      <c r="E88" s="1" t="s">
        <v>74</v>
      </c>
      <c r="F88" s="1" t="s">
        <v>1036</v>
      </c>
      <c r="G88" s="1" t="s">
        <v>74</v>
      </c>
      <c r="H88" s="1" t="s">
        <v>74</v>
      </c>
      <c r="I88" s="1" t="s">
        <v>1037</v>
      </c>
      <c r="J88" s="1" t="s">
        <v>1038</v>
      </c>
      <c r="K88" s="1" t="s">
        <v>74</v>
      </c>
      <c r="L88" s="1" t="s">
        <v>74</v>
      </c>
      <c r="M88" s="1" t="s">
        <v>74</v>
      </c>
      <c r="N88" s="1" t="s">
        <v>74</v>
      </c>
      <c r="O88" s="1" t="s">
        <v>74</v>
      </c>
      <c r="P88" s="1" t="s">
        <v>74</v>
      </c>
      <c r="Q88" s="1" t="s">
        <v>74</v>
      </c>
      <c r="R88" s="1" t="s">
        <v>74</v>
      </c>
      <c r="S88" s="1" t="s">
        <v>74</v>
      </c>
      <c r="T88" s="1" t="s">
        <v>74</v>
      </c>
      <c r="U88" s="1" t="s">
        <v>74</v>
      </c>
      <c r="V88" s="1" t="s">
        <v>1039</v>
      </c>
      <c r="W88" s="1" t="s">
        <v>74</v>
      </c>
      <c r="X88" s="1" t="s">
        <v>74</v>
      </c>
      <c r="Y88" s="1" t="s">
        <v>74</v>
      </c>
      <c r="Z88" s="1" t="s">
        <v>74</v>
      </c>
      <c r="AA88" s="1" t="s">
        <v>1040</v>
      </c>
      <c r="AB88" s="1" t="s">
        <v>1041</v>
      </c>
      <c r="AC88" s="1" t="s">
        <v>74</v>
      </c>
      <c r="AD88" s="1" t="s">
        <v>74</v>
      </c>
      <c r="AE88" s="1" t="s">
        <v>74</v>
      </c>
      <c r="AF88" s="1" t="s">
        <v>74</v>
      </c>
      <c r="AG88" s="1" t="s">
        <v>74</v>
      </c>
      <c r="AH88" s="1" t="s">
        <v>74</v>
      </c>
      <c r="AI88" s="1" t="s">
        <v>74</v>
      </c>
      <c r="AJ88" s="1" t="s">
        <v>74</v>
      </c>
      <c r="AK88" s="1" t="s">
        <v>74</v>
      </c>
      <c r="AL88" s="1" t="s">
        <v>74</v>
      </c>
      <c r="AM88" s="1" t="s">
        <v>74</v>
      </c>
      <c r="AN88" s="1" t="s">
        <v>74</v>
      </c>
      <c r="AO88" s="1" t="s">
        <v>1042</v>
      </c>
      <c r="AP88" s="1" t="s">
        <v>74</v>
      </c>
      <c r="AQ88" s="1" t="s">
        <v>74</v>
      </c>
      <c r="AR88" s="1" t="s">
        <v>74</v>
      </c>
      <c r="AS88" s="1" t="s">
        <v>74</v>
      </c>
      <c r="AT88" s="1" t="s">
        <v>408</v>
      </c>
      <c r="AU88" s="1">
        <v>2003.0</v>
      </c>
      <c r="AV88" s="1">
        <v>32.0</v>
      </c>
      <c r="AW88" s="1">
        <v>2.0</v>
      </c>
      <c r="AX88" s="1" t="s">
        <v>74</v>
      </c>
      <c r="AY88" s="1" t="s">
        <v>74</v>
      </c>
      <c r="AZ88" s="1" t="s">
        <v>74</v>
      </c>
      <c r="BA88" s="1" t="s">
        <v>74</v>
      </c>
      <c r="BB88" s="1">
        <v>237.0</v>
      </c>
      <c r="BC88" s="1">
        <v>242.0</v>
      </c>
      <c r="BD88" s="1" t="s">
        <v>74</v>
      </c>
      <c r="BE88" s="1" t="s">
        <v>1043</v>
      </c>
      <c r="BF88" s="2" t="str">
        <f>HYPERLINK("http://dx.doi.org/10.1140/epjb/e2003-00093-7","http://dx.doi.org/10.1140/epjb/e2003-00093-7")</f>
        <v>http://dx.doi.org/10.1140/epjb/e2003-00093-7</v>
      </c>
      <c r="BG88" s="1" t="s">
        <v>74</v>
      </c>
      <c r="BH88" s="1" t="s">
        <v>74</v>
      </c>
      <c r="BI88" s="1" t="s">
        <v>74</v>
      </c>
      <c r="BJ88" s="1" t="s">
        <v>74</v>
      </c>
      <c r="BK88" s="1" t="s">
        <v>74</v>
      </c>
      <c r="BL88" s="1" t="s">
        <v>74</v>
      </c>
      <c r="BM88" s="1" t="s">
        <v>74</v>
      </c>
      <c r="BN88" s="1" t="s">
        <v>74</v>
      </c>
      <c r="BO88" s="1" t="s">
        <v>74</v>
      </c>
      <c r="BP88" s="1" t="s">
        <v>74</v>
      </c>
      <c r="BQ88" s="1" t="s">
        <v>74</v>
      </c>
      <c r="BR88" s="1" t="s">
        <v>74</v>
      </c>
      <c r="BS88" s="1" t="s">
        <v>1044</v>
      </c>
      <c r="BT88" s="1" t="str">
        <f>HYPERLINK("https%3A%2F%2Fwww.webofscience.com%2Fwos%2Fwoscc%2Ffull-record%2FWOS:000182732100012","View Full Record in Web of Science")</f>
        <v>View Full Record in Web of Science</v>
      </c>
    </row>
    <row r="89" ht="12.75" customHeight="1">
      <c r="A89" s="1" t="s">
        <v>72</v>
      </c>
      <c r="B89" s="1" t="s">
        <v>1045</v>
      </c>
      <c r="C89" s="1" t="s">
        <v>74</v>
      </c>
      <c r="D89" s="1" t="s">
        <v>74</v>
      </c>
      <c r="E89" s="1" t="s">
        <v>74</v>
      </c>
      <c r="F89" s="1" t="s">
        <v>1045</v>
      </c>
      <c r="G89" s="1" t="s">
        <v>74</v>
      </c>
      <c r="H89" s="1" t="s">
        <v>74</v>
      </c>
      <c r="I89" s="1" t="s">
        <v>1046</v>
      </c>
      <c r="J89" s="1" t="s">
        <v>1047</v>
      </c>
      <c r="K89" s="1" t="s">
        <v>74</v>
      </c>
      <c r="L89" s="1" t="s">
        <v>74</v>
      </c>
      <c r="M89" s="1" t="s">
        <v>74</v>
      </c>
      <c r="N89" s="1" t="s">
        <v>74</v>
      </c>
      <c r="O89" s="1" t="s">
        <v>74</v>
      </c>
      <c r="P89" s="1" t="s">
        <v>74</v>
      </c>
      <c r="Q89" s="1" t="s">
        <v>74</v>
      </c>
      <c r="R89" s="1" t="s">
        <v>74</v>
      </c>
      <c r="S89" s="1" t="s">
        <v>74</v>
      </c>
      <c r="T89" s="1" t="s">
        <v>74</v>
      </c>
      <c r="U89" s="1" t="s">
        <v>74</v>
      </c>
      <c r="V89" s="1" t="s">
        <v>1048</v>
      </c>
      <c r="W89" s="1" t="s">
        <v>74</v>
      </c>
      <c r="X89" s="1" t="s">
        <v>74</v>
      </c>
      <c r="Y89" s="1" t="s">
        <v>74</v>
      </c>
      <c r="Z89" s="1" t="s">
        <v>74</v>
      </c>
      <c r="AA89" s="1" t="s">
        <v>1049</v>
      </c>
      <c r="AB89" s="1" t="s">
        <v>1050</v>
      </c>
      <c r="AC89" s="1" t="s">
        <v>74</v>
      </c>
      <c r="AD89" s="1" t="s">
        <v>74</v>
      </c>
      <c r="AE89" s="1" t="s">
        <v>74</v>
      </c>
      <c r="AF89" s="1" t="s">
        <v>74</v>
      </c>
      <c r="AG89" s="1" t="s">
        <v>74</v>
      </c>
      <c r="AH89" s="1" t="s">
        <v>74</v>
      </c>
      <c r="AI89" s="1" t="s">
        <v>74</v>
      </c>
      <c r="AJ89" s="1" t="s">
        <v>74</v>
      </c>
      <c r="AK89" s="1" t="s">
        <v>74</v>
      </c>
      <c r="AL89" s="1" t="s">
        <v>74</v>
      </c>
      <c r="AM89" s="1" t="s">
        <v>74</v>
      </c>
      <c r="AN89" s="1" t="s">
        <v>74</v>
      </c>
      <c r="AO89" s="1" t="s">
        <v>1051</v>
      </c>
      <c r="AP89" s="1" t="s">
        <v>1052</v>
      </c>
      <c r="AQ89" s="1" t="s">
        <v>74</v>
      </c>
      <c r="AR89" s="1" t="s">
        <v>74</v>
      </c>
      <c r="AS89" s="1" t="s">
        <v>74</v>
      </c>
      <c r="AT89" s="1" t="s">
        <v>408</v>
      </c>
      <c r="AU89" s="1">
        <v>2002.0</v>
      </c>
      <c r="AV89" s="1">
        <v>282.0</v>
      </c>
      <c r="AW89" s="1">
        <v>3.0</v>
      </c>
      <c r="AX89" s="1" t="s">
        <v>74</v>
      </c>
      <c r="AY89" s="1" t="s">
        <v>74</v>
      </c>
      <c r="AZ89" s="1" t="s">
        <v>74</v>
      </c>
      <c r="BA89" s="1" t="s">
        <v>74</v>
      </c>
      <c r="BB89" s="1" t="s">
        <v>1053</v>
      </c>
      <c r="BC89" s="1" t="s">
        <v>1054</v>
      </c>
      <c r="BD89" s="1" t="s">
        <v>74</v>
      </c>
      <c r="BE89" s="1" t="s">
        <v>1055</v>
      </c>
      <c r="BF89" s="2" t="str">
        <f>HYPERLINK("http://dx.doi.org/10.1152/ajpcell.00167.2001","http://dx.doi.org/10.1152/ajpcell.00167.2001")</f>
        <v>http://dx.doi.org/10.1152/ajpcell.00167.2001</v>
      </c>
      <c r="BG89" s="1" t="s">
        <v>74</v>
      </c>
      <c r="BH89" s="1" t="s">
        <v>74</v>
      </c>
      <c r="BI89" s="1" t="s">
        <v>74</v>
      </c>
      <c r="BJ89" s="1" t="s">
        <v>74</v>
      </c>
      <c r="BK89" s="1" t="s">
        <v>74</v>
      </c>
      <c r="BL89" s="1" t="s">
        <v>74</v>
      </c>
      <c r="BM89" s="1" t="s">
        <v>74</v>
      </c>
      <c r="BN89" s="1">
        <v>1.183233E7</v>
      </c>
      <c r="BO89" s="1" t="s">
        <v>74</v>
      </c>
      <c r="BP89" s="1" t="s">
        <v>74</v>
      </c>
      <c r="BQ89" s="1" t="s">
        <v>74</v>
      </c>
      <c r="BR89" s="1" t="s">
        <v>74</v>
      </c>
      <c r="BS89" s="1" t="s">
        <v>1056</v>
      </c>
      <c r="BT89" s="1" t="str">
        <f>HYPERLINK("https%3A%2F%2Fwww.webofscience.com%2Fwos%2Fwoscc%2Ffull-record%2FWOS:000173806200005","View Full Record in Web of Science")</f>
        <v>View Full Record in Web of Science</v>
      </c>
    </row>
    <row r="90" ht="12.75" customHeight="1">
      <c r="A90" s="1" t="s">
        <v>72</v>
      </c>
      <c r="B90" s="1" t="s">
        <v>1057</v>
      </c>
      <c r="C90" s="1" t="s">
        <v>74</v>
      </c>
      <c r="D90" s="1" t="s">
        <v>74</v>
      </c>
      <c r="E90" s="1" t="s">
        <v>74</v>
      </c>
      <c r="F90" s="1" t="s">
        <v>1057</v>
      </c>
      <c r="G90" s="1" t="s">
        <v>74</v>
      </c>
      <c r="H90" s="1" t="s">
        <v>74</v>
      </c>
      <c r="I90" s="1" t="s">
        <v>1058</v>
      </c>
      <c r="J90" s="1" t="s">
        <v>1059</v>
      </c>
      <c r="K90" s="1" t="s">
        <v>74</v>
      </c>
      <c r="L90" s="1" t="s">
        <v>74</v>
      </c>
      <c r="M90" s="1" t="s">
        <v>74</v>
      </c>
      <c r="N90" s="1" t="s">
        <v>74</v>
      </c>
      <c r="O90" s="1" t="s">
        <v>74</v>
      </c>
      <c r="P90" s="1" t="s">
        <v>74</v>
      </c>
      <c r="Q90" s="1" t="s">
        <v>74</v>
      </c>
      <c r="R90" s="1" t="s">
        <v>74</v>
      </c>
      <c r="S90" s="1" t="s">
        <v>74</v>
      </c>
      <c r="T90" s="1" t="s">
        <v>74</v>
      </c>
      <c r="U90" s="1" t="s">
        <v>74</v>
      </c>
      <c r="V90" s="1" t="s">
        <v>1060</v>
      </c>
      <c r="W90" s="1" t="s">
        <v>74</v>
      </c>
      <c r="X90" s="1" t="s">
        <v>74</v>
      </c>
      <c r="Y90" s="1" t="s">
        <v>74</v>
      </c>
      <c r="Z90" s="1" t="s">
        <v>74</v>
      </c>
      <c r="AA90" s="1" t="s">
        <v>74</v>
      </c>
      <c r="AB90" s="1" t="s">
        <v>74</v>
      </c>
      <c r="AC90" s="1" t="s">
        <v>74</v>
      </c>
      <c r="AD90" s="1" t="s">
        <v>74</v>
      </c>
      <c r="AE90" s="1" t="s">
        <v>74</v>
      </c>
      <c r="AF90" s="1" t="s">
        <v>74</v>
      </c>
      <c r="AG90" s="1" t="s">
        <v>74</v>
      </c>
      <c r="AH90" s="1" t="s">
        <v>74</v>
      </c>
      <c r="AI90" s="1" t="s">
        <v>74</v>
      </c>
      <c r="AJ90" s="1" t="s">
        <v>74</v>
      </c>
      <c r="AK90" s="1" t="s">
        <v>74</v>
      </c>
      <c r="AL90" s="1" t="s">
        <v>74</v>
      </c>
      <c r="AM90" s="1" t="s">
        <v>74</v>
      </c>
      <c r="AN90" s="1" t="s">
        <v>74</v>
      </c>
      <c r="AO90" s="1" t="s">
        <v>1061</v>
      </c>
      <c r="AP90" s="1" t="s">
        <v>74</v>
      </c>
      <c r="AQ90" s="1" t="s">
        <v>74</v>
      </c>
      <c r="AR90" s="1" t="s">
        <v>74</v>
      </c>
      <c r="AS90" s="1" t="s">
        <v>74</v>
      </c>
      <c r="AT90" s="1" t="s">
        <v>408</v>
      </c>
      <c r="AU90" s="1">
        <v>1999.0</v>
      </c>
      <c r="AV90" s="1">
        <v>115.0</v>
      </c>
      <c r="AW90" s="1">
        <v>2.0</v>
      </c>
      <c r="AX90" s="1" t="s">
        <v>74</v>
      </c>
      <c r="AY90" s="1" t="s">
        <v>74</v>
      </c>
      <c r="AZ90" s="1" t="s">
        <v>74</v>
      </c>
      <c r="BA90" s="1" t="s">
        <v>74</v>
      </c>
      <c r="BB90" s="1">
        <v>193.0</v>
      </c>
      <c r="BC90" s="1">
        <v>200.0</v>
      </c>
      <c r="BD90" s="1" t="s">
        <v>74</v>
      </c>
      <c r="BE90" s="1" t="s">
        <v>74</v>
      </c>
      <c r="BF90" s="1" t="s">
        <v>74</v>
      </c>
      <c r="BG90" s="1" t="s">
        <v>74</v>
      </c>
      <c r="BH90" s="1" t="s">
        <v>74</v>
      </c>
      <c r="BI90" s="1" t="s">
        <v>74</v>
      </c>
      <c r="BJ90" s="1" t="s">
        <v>74</v>
      </c>
      <c r="BK90" s="1" t="s">
        <v>74</v>
      </c>
      <c r="BL90" s="1" t="s">
        <v>74</v>
      </c>
      <c r="BM90" s="1" t="s">
        <v>74</v>
      </c>
      <c r="BN90" s="1">
        <v>1.0434924E7</v>
      </c>
      <c r="BO90" s="1" t="s">
        <v>74</v>
      </c>
      <c r="BP90" s="1" t="s">
        <v>74</v>
      </c>
      <c r="BQ90" s="1" t="s">
        <v>74</v>
      </c>
      <c r="BR90" s="1" t="s">
        <v>74</v>
      </c>
      <c r="BS90" s="1" t="s">
        <v>1062</v>
      </c>
      <c r="BT90" s="1" t="str">
        <f>HYPERLINK("https%3A%2F%2Fwww.webofscience.com%2Fwos%2Fwoscc%2Ffull-record%2FWOS:000079625000001","View Full Record in Web of Science")</f>
        <v>View Full Record in Web of Science</v>
      </c>
    </row>
    <row r="91" ht="12.75" customHeight="1">
      <c r="A91" s="1" t="s">
        <v>72</v>
      </c>
      <c r="B91" s="1" t="s">
        <v>1063</v>
      </c>
      <c r="C91" s="1" t="s">
        <v>74</v>
      </c>
      <c r="D91" s="1" t="s">
        <v>74</v>
      </c>
      <c r="E91" s="1" t="s">
        <v>74</v>
      </c>
      <c r="F91" s="1" t="s">
        <v>1063</v>
      </c>
      <c r="G91" s="1" t="s">
        <v>74</v>
      </c>
      <c r="H91" s="1" t="s">
        <v>74</v>
      </c>
      <c r="I91" s="1" t="s">
        <v>1064</v>
      </c>
      <c r="J91" s="1" t="s">
        <v>1065</v>
      </c>
      <c r="K91" s="1" t="s">
        <v>74</v>
      </c>
      <c r="L91" s="1" t="s">
        <v>74</v>
      </c>
      <c r="M91" s="1" t="s">
        <v>74</v>
      </c>
      <c r="N91" s="1" t="s">
        <v>74</v>
      </c>
      <c r="O91" s="1" t="s">
        <v>74</v>
      </c>
      <c r="P91" s="1" t="s">
        <v>74</v>
      </c>
      <c r="Q91" s="1" t="s">
        <v>74</v>
      </c>
      <c r="R91" s="1" t="s">
        <v>74</v>
      </c>
      <c r="S91" s="1" t="s">
        <v>74</v>
      </c>
      <c r="T91" s="1" t="s">
        <v>74</v>
      </c>
      <c r="U91" s="1" t="s">
        <v>74</v>
      </c>
      <c r="V91" s="1" t="s">
        <v>1066</v>
      </c>
      <c r="W91" s="1" t="s">
        <v>74</v>
      </c>
      <c r="X91" s="1" t="s">
        <v>74</v>
      </c>
      <c r="Y91" s="1" t="s">
        <v>74</v>
      </c>
      <c r="Z91" s="1" t="s">
        <v>74</v>
      </c>
      <c r="AA91" s="1" t="s">
        <v>1067</v>
      </c>
      <c r="AB91" s="1" t="s">
        <v>74</v>
      </c>
      <c r="AC91" s="1" t="s">
        <v>74</v>
      </c>
      <c r="AD91" s="1" t="s">
        <v>74</v>
      </c>
      <c r="AE91" s="1" t="s">
        <v>74</v>
      </c>
      <c r="AF91" s="1" t="s">
        <v>74</v>
      </c>
      <c r="AG91" s="1" t="s">
        <v>74</v>
      </c>
      <c r="AH91" s="1" t="s">
        <v>74</v>
      </c>
      <c r="AI91" s="1" t="s">
        <v>74</v>
      </c>
      <c r="AJ91" s="1" t="s">
        <v>74</v>
      </c>
      <c r="AK91" s="1" t="s">
        <v>74</v>
      </c>
      <c r="AL91" s="1" t="s">
        <v>74</v>
      </c>
      <c r="AM91" s="1" t="s">
        <v>74</v>
      </c>
      <c r="AN91" s="1" t="s">
        <v>74</v>
      </c>
      <c r="AO91" s="1" t="s">
        <v>1068</v>
      </c>
      <c r="AP91" s="1" t="s">
        <v>74</v>
      </c>
      <c r="AQ91" s="1" t="s">
        <v>74</v>
      </c>
      <c r="AR91" s="1" t="s">
        <v>74</v>
      </c>
      <c r="AS91" s="1" t="s">
        <v>74</v>
      </c>
      <c r="AT91" s="1" t="s">
        <v>74</v>
      </c>
      <c r="AU91" s="1">
        <v>1998.0</v>
      </c>
      <c r="AV91" s="1">
        <v>43.0</v>
      </c>
      <c r="AW91" s="1">
        <v>8.0</v>
      </c>
      <c r="AX91" s="1" t="s">
        <v>74</v>
      </c>
      <c r="AY91" s="1" t="s">
        <v>74</v>
      </c>
      <c r="AZ91" s="1" t="s">
        <v>74</v>
      </c>
      <c r="BA91" s="1" t="s">
        <v>74</v>
      </c>
      <c r="BB91" s="1">
        <v>893.0</v>
      </c>
      <c r="BC91" s="1">
        <v>898.0</v>
      </c>
      <c r="BD91" s="1" t="s">
        <v>74</v>
      </c>
      <c r="BE91" s="1" t="s">
        <v>1069</v>
      </c>
      <c r="BF91" s="2" t="str">
        <f>HYPERLINK("http://dx.doi.org/10.1016/S0013-4686(97)00219-3","http://dx.doi.org/10.1016/S0013-4686(97)00219-3")</f>
        <v>http://dx.doi.org/10.1016/S0013-4686(97)00219-3</v>
      </c>
      <c r="BG91" s="1" t="s">
        <v>74</v>
      </c>
      <c r="BH91" s="1" t="s">
        <v>74</v>
      </c>
      <c r="BI91" s="1" t="s">
        <v>74</v>
      </c>
      <c r="BJ91" s="1" t="s">
        <v>74</v>
      </c>
      <c r="BK91" s="1" t="s">
        <v>74</v>
      </c>
      <c r="BL91" s="1" t="s">
        <v>74</v>
      </c>
      <c r="BM91" s="1" t="s">
        <v>74</v>
      </c>
      <c r="BN91" s="1" t="s">
        <v>74</v>
      </c>
      <c r="BO91" s="1" t="s">
        <v>74</v>
      </c>
      <c r="BP91" s="1" t="s">
        <v>74</v>
      </c>
      <c r="BQ91" s="1" t="s">
        <v>74</v>
      </c>
      <c r="BR91" s="1" t="s">
        <v>74</v>
      </c>
      <c r="BS91" s="1" t="s">
        <v>1070</v>
      </c>
      <c r="BT91" s="1" t="str">
        <f>HYPERLINK("https%3A%2F%2Fwww.webofscience.com%2Fwos%2Fwoscc%2Ffull-record%2FWOS:000071927400008","View Full Record in Web of Science")</f>
        <v>View Full Record in Web of Science</v>
      </c>
    </row>
    <row r="92" ht="12.75" customHeight="1">
      <c r="A92" s="1" t="s">
        <v>72</v>
      </c>
      <c r="B92" s="1" t="s">
        <v>1071</v>
      </c>
      <c r="C92" s="1" t="s">
        <v>74</v>
      </c>
      <c r="D92" s="1" t="s">
        <v>74</v>
      </c>
      <c r="E92" s="1" t="s">
        <v>74</v>
      </c>
      <c r="F92" s="1" t="s">
        <v>1071</v>
      </c>
      <c r="G92" s="1" t="s">
        <v>74</v>
      </c>
      <c r="H92" s="1" t="s">
        <v>74</v>
      </c>
      <c r="I92" s="1" t="s">
        <v>1072</v>
      </c>
      <c r="J92" s="1" t="s">
        <v>1073</v>
      </c>
      <c r="K92" s="1" t="s">
        <v>74</v>
      </c>
      <c r="L92" s="1" t="s">
        <v>74</v>
      </c>
      <c r="M92" s="1" t="s">
        <v>74</v>
      </c>
      <c r="N92" s="1" t="s">
        <v>74</v>
      </c>
      <c r="O92" s="1" t="s">
        <v>74</v>
      </c>
      <c r="P92" s="1" t="s">
        <v>74</v>
      </c>
      <c r="Q92" s="1" t="s">
        <v>74</v>
      </c>
      <c r="R92" s="1" t="s">
        <v>74</v>
      </c>
      <c r="S92" s="1" t="s">
        <v>74</v>
      </c>
      <c r="T92" s="1" t="s">
        <v>74</v>
      </c>
      <c r="U92" s="1" t="s">
        <v>74</v>
      </c>
      <c r="V92" s="1" t="s">
        <v>1074</v>
      </c>
      <c r="W92" s="1" t="s">
        <v>74</v>
      </c>
      <c r="X92" s="1" t="s">
        <v>74</v>
      </c>
      <c r="Y92" s="1" t="s">
        <v>74</v>
      </c>
      <c r="Z92" s="1" t="s">
        <v>74</v>
      </c>
      <c r="AA92" s="1" t="s">
        <v>74</v>
      </c>
      <c r="AB92" s="1" t="s">
        <v>1075</v>
      </c>
      <c r="AC92" s="1" t="s">
        <v>74</v>
      </c>
      <c r="AD92" s="1" t="s">
        <v>74</v>
      </c>
      <c r="AE92" s="1" t="s">
        <v>74</v>
      </c>
      <c r="AF92" s="1" t="s">
        <v>74</v>
      </c>
      <c r="AG92" s="1" t="s">
        <v>74</v>
      </c>
      <c r="AH92" s="1" t="s">
        <v>74</v>
      </c>
      <c r="AI92" s="1" t="s">
        <v>74</v>
      </c>
      <c r="AJ92" s="1" t="s">
        <v>74</v>
      </c>
      <c r="AK92" s="1" t="s">
        <v>74</v>
      </c>
      <c r="AL92" s="1" t="s">
        <v>74</v>
      </c>
      <c r="AM92" s="1" t="s">
        <v>74</v>
      </c>
      <c r="AN92" s="1" t="s">
        <v>74</v>
      </c>
      <c r="AO92" s="1" t="s">
        <v>1076</v>
      </c>
      <c r="AP92" s="1" t="s">
        <v>74</v>
      </c>
      <c r="AQ92" s="1" t="s">
        <v>74</v>
      </c>
      <c r="AR92" s="1" t="s">
        <v>74</v>
      </c>
      <c r="AS92" s="1" t="s">
        <v>74</v>
      </c>
      <c r="AT92" s="1" t="s">
        <v>94</v>
      </c>
      <c r="AU92" s="1">
        <v>1996.0</v>
      </c>
      <c r="AV92" s="1">
        <v>15.0</v>
      </c>
      <c r="AW92" s="1">
        <v>11.0</v>
      </c>
      <c r="AX92" s="1" t="s">
        <v>74</v>
      </c>
      <c r="AY92" s="1" t="s">
        <v>74</v>
      </c>
      <c r="AZ92" s="1" t="s">
        <v>74</v>
      </c>
      <c r="BA92" s="1" t="s">
        <v>74</v>
      </c>
      <c r="BB92" s="1">
        <v>1823.0</v>
      </c>
      <c r="BC92" s="1">
        <v>1827.0</v>
      </c>
      <c r="BD92" s="1" t="s">
        <v>74</v>
      </c>
      <c r="BE92" s="1" t="s">
        <v>1077</v>
      </c>
      <c r="BF92" s="2" t="str">
        <f>HYPERLINK("http://dx.doi.org/10.1016/0277-5387(95)00428-9","http://dx.doi.org/10.1016/0277-5387(95)00428-9")</f>
        <v>http://dx.doi.org/10.1016/0277-5387(95)00428-9</v>
      </c>
      <c r="BG92" s="1" t="s">
        <v>74</v>
      </c>
      <c r="BH92" s="1" t="s">
        <v>74</v>
      </c>
      <c r="BI92" s="1" t="s">
        <v>74</v>
      </c>
      <c r="BJ92" s="1" t="s">
        <v>74</v>
      </c>
      <c r="BK92" s="1" t="s">
        <v>74</v>
      </c>
      <c r="BL92" s="1" t="s">
        <v>74</v>
      </c>
      <c r="BM92" s="1" t="s">
        <v>74</v>
      </c>
      <c r="BN92" s="1" t="s">
        <v>74</v>
      </c>
      <c r="BO92" s="1" t="s">
        <v>74</v>
      </c>
      <c r="BP92" s="1" t="s">
        <v>74</v>
      </c>
      <c r="BQ92" s="1" t="s">
        <v>74</v>
      </c>
      <c r="BR92" s="1" t="s">
        <v>74</v>
      </c>
      <c r="BS92" s="1" t="s">
        <v>1078</v>
      </c>
      <c r="BT92" s="1" t="str">
        <f>HYPERLINK("https%3A%2F%2Fwww.webofscience.com%2Fwos%2Fwoscc%2Ffull-record%2FWOS:A1996UA24400010","View Full Record in Web of Science")</f>
        <v>View Full Record in Web of Science</v>
      </c>
    </row>
    <row r="93" ht="12.75" customHeight="1">
      <c r="A93" s="1" t="s">
        <v>72</v>
      </c>
      <c r="B93" s="1" t="s">
        <v>1079</v>
      </c>
      <c r="C93" s="1" t="s">
        <v>74</v>
      </c>
      <c r="D93" s="1" t="s">
        <v>74</v>
      </c>
      <c r="E93" s="1" t="s">
        <v>74</v>
      </c>
      <c r="F93" s="1" t="s">
        <v>1079</v>
      </c>
      <c r="G93" s="1" t="s">
        <v>74</v>
      </c>
      <c r="H93" s="1" t="s">
        <v>74</v>
      </c>
      <c r="I93" s="1" t="s">
        <v>1080</v>
      </c>
      <c r="J93" s="1" t="s">
        <v>1081</v>
      </c>
      <c r="K93" s="1" t="s">
        <v>74</v>
      </c>
      <c r="L93" s="1" t="s">
        <v>74</v>
      </c>
      <c r="M93" s="1" t="s">
        <v>74</v>
      </c>
      <c r="N93" s="1" t="s">
        <v>74</v>
      </c>
      <c r="O93" s="1" t="s">
        <v>74</v>
      </c>
      <c r="P93" s="1" t="s">
        <v>74</v>
      </c>
      <c r="Q93" s="1" t="s">
        <v>74</v>
      </c>
      <c r="R93" s="1" t="s">
        <v>74</v>
      </c>
      <c r="S93" s="1" t="s">
        <v>74</v>
      </c>
      <c r="T93" s="1" t="s">
        <v>74</v>
      </c>
      <c r="U93" s="1" t="s">
        <v>74</v>
      </c>
      <c r="V93" s="1" t="s">
        <v>1082</v>
      </c>
      <c r="W93" s="1" t="s">
        <v>74</v>
      </c>
      <c r="X93" s="1" t="s">
        <v>74</v>
      </c>
      <c r="Y93" s="1" t="s">
        <v>74</v>
      </c>
      <c r="Z93" s="1" t="s">
        <v>74</v>
      </c>
      <c r="AA93" s="1" t="s">
        <v>1083</v>
      </c>
      <c r="AB93" s="1" t="s">
        <v>1084</v>
      </c>
      <c r="AC93" s="1" t="s">
        <v>74</v>
      </c>
      <c r="AD93" s="1" t="s">
        <v>74</v>
      </c>
      <c r="AE93" s="1" t="s">
        <v>74</v>
      </c>
      <c r="AF93" s="1" t="s">
        <v>74</v>
      </c>
      <c r="AG93" s="1" t="s">
        <v>74</v>
      </c>
      <c r="AH93" s="1" t="s">
        <v>74</v>
      </c>
      <c r="AI93" s="1" t="s">
        <v>74</v>
      </c>
      <c r="AJ93" s="1" t="s">
        <v>74</v>
      </c>
      <c r="AK93" s="1" t="s">
        <v>74</v>
      </c>
      <c r="AL93" s="1" t="s">
        <v>74</v>
      </c>
      <c r="AM93" s="1" t="s">
        <v>74</v>
      </c>
      <c r="AN93" s="1" t="s">
        <v>74</v>
      </c>
      <c r="AO93" s="1" t="s">
        <v>1085</v>
      </c>
      <c r="AP93" s="1" t="s">
        <v>74</v>
      </c>
      <c r="AQ93" s="1" t="s">
        <v>74</v>
      </c>
      <c r="AR93" s="1" t="s">
        <v>74</v>
      </c>
      <c r="AS93" s="1" t="s">
        <v>74</v>
      </c>
      <c r="AT93" s="1" t="s">
        <v>1086</v>
      </c>
      <c r="AU93" s="1">
        <v>1993.0</v>
      </c>
      <c r="AV93" s="1">
        <v>243.0</v>
      </c>
      <c r="AW93" s="1">
        <v>2.0</v>
      </c>
      <c r="AX93" s="1" t="s">
        <v>74</v>
      </c>
      <c r="AY93" s="1" t="s">
        <v>74</v>
      </c>
      <c r="AZ93" s="1" t="s">
        <v>74</v>
      </c>
      <c r="BA93" s="1" t="s">
        <v>74</v>
      </c>
      <c r="BB93" s="1">
        <v>217.0</v>
      </c>
      <c r="BC93" s="1">
        <v>224.0</v>
      </c>
      <c r="BD93" s="1" t="s">
        <v>74</v>
      </c>
      <c r="BE93" s="1" t="s">
        <v>1087</v>
      </c>
      <c r="BF93" s="2" t="str">
        <f>HYPERLINK("http://dx.doi.org/10.1016/0008-6215(93)87030-V","http://dx.doi.org/10.1016/0008-6215(93)87030-V")</f>
        <v>http://dx.doi.org/10.1016/0008-6215(93)87030-V</v>
      </c>
      <c r="BG93" s="1" t="s">
        <v>74</v>
      </c>
      <c r="BH93" s="1" t="s">
        <v>74</v>
      </c>
      <c r="BI93" s="1" t="s">
        <v>74</v>
      </c>
      <c r="BJ93" s="1" t="s">
        <v>74</v>
      </c>
      <c r="BK93" s="1" t="s">
        <v>74</v>
      </c>
      <c r="BL93" s="1" t="s">
        <v>74</v>
      </c>
      <c r="BM93" s="1" t="s">
        <v>74</v>
      </c>
      <c r="BN93" s="1" t="s">
        <v>74</v>
      </c>
      <c r="BO93" s="1" t="s">
        <v>74</v>
      </c>
      <c r="BP93" s="1" t="s">
        <v>74</v>
      </c>
      <c r="BQ93" s="1" t="s">
        <v>74</v>
      </c>
      <c r="BR93" s="1" t="s">
        <v>74</v>
      </c>
      <c r="BS93" s="1" t="s">
        <v>1088</v>
      </c>
      <c r="BT93" s="1" t="str">
        <f>HYPERLINK("https%3A%2F%2Fwww.webofscience.com%2Fwos%2Fwoscc%2Ffull-record%2FWOS:A1993LF71200001","View Full Record in Web of Science")</f>
        <v>View Full Record in Web of Science</v>
      </c>
    </row>
    <row r="94" ht="12.75" customHeight="1">
      <c r="A94" s="1" t="s">
        <v>72</v>
      </c>
      <c r="B94" s="1" t="s">
        <v>1089</v>
      </c>
      <c r="C94" s="1" t="s">
        <v>74</v>
      </c>
      <c r="D94" s="1" t="s">
        <v>74</v>
      </c>
      <c r="E94" s="1" t="s">
        <v>74</v>
      </c>
      <c r="F94" s="1" t="s">
        <v>1089</v>
      </c>
      <c r="G94" s="1" t="s">
        <v>74</v>
      </c>
      <c r="H94" s="1" t="s">
        <v>74</v>
      </c>
      <c r="I94" s="1" t="s">
        <v>1090</v>
      </c>
      <c r="J94" s="1" t="s">
        <v>1091</v>
      </c>
      <c r="K94" s="1" t="s">
        <v>74</v>
      </c>
      <c r="L94" s="1" t="s">
        <v>74</v>
      </c>
      <c r="M94" s="1" t="s">
        <v>74</v>
      </c>
      <c r="N94" s="1" t="s">
        <v>74</v>
      </c>
      <c r="O94" s="1" t="s">
        <v>74</v>
      </c>
      <c r="P94" s="1" t="s">
        <v>74</v>
      </c>
      <c r="Q94" s="1" t="s">
        <v>74</v>
      </c>
      <c r="R94" s="1" t="s">
        <v>74</v>
      </c>
      <c r="S94" s="1" t="s">
        <v>74</v>
      </c>
      <c r="T94" s="1" t="s">
        <v>74</v>
      </c>
      <c r="U94" s="1" t="s">
        <v>74</v>
      </c>
      <c r="V94" s="1" t="s">
        <v>1092</v>
      </c>
      <c r="W94" s="1" t="s">
        <v>74</v>
      </c>
      <c r="X94" s="1" t="s">
        <v>74</v>
      </c>
      <c r="Y94" s="1" t="s">
        <v>74</v>
      </c>
      <c r="Z94" s="1" t="s">
        <v>74</v>
      </c>
      <c r="AA94" s="1" t="s">
        <v>74</v>
      </c>
      <c r="AB94" s="1" t="s">
        <v>74</v>
      </c>
      <c r="AC94" s="1" t="s">
        <v>74</v>
      </c>
      <c r="AD94" s="1" t="s">
        <v>74</v>
      </c>
      <c r="AE94" s="1" t="s">
        <v>74</v>
      </c>
      <c r="AF94" s="1" t="s">
        <v>74</v>
      </c>
      <c r="AG94" s="1" t="s">
        <v>74</v>
      </c>
      <c r="AH94" s="1" t="s">
        <v>74</v>
      </c>
      <c r="AI94" s="1" t="s">
        <v>74</v>
      </c>
      <c r="AJ94" s="1" t="s">
        <v>74</v>
      </c>
      <c r="AK94" s="1" t="s">
        <v>74</v>
      </c>
      <c r="AL94" s="1" t="s">
        <v>74</v>
      </c>
      <c r="AM94" s="1" t="s">
        <v>74</v>
      </c>
      <c r="AN94" s="1" t="s">
        <v>74</v>
      </c>
      <c r="AO94" s="1" t="s">
        <v>1093</v>
      </c>
      <c r="AP94" s="1" t="s">
        <v>74</v>
      </c>
      <c r="AQ94" s="1" t="s">
        <v>74</v>
      </c>
      <c r="AR94" s="1" t="s">
        <v>74</v>
      </c>
      <c r="AS94" s="1" t="s">
        <v>74</v>
      </c>
      <c r="AT94" s="1" t="s">
        <v>1094</v>
      </c>
      <c r="AU94" s="1">
        <v>1991.0</v>
      </c>
      <c r="AV94" s="1">
        <v>199.0</v>
      </c>
      <c r="AW94" s="1">
        <v>1.0</v>
      </c>
      <c r="AX94" s="1" t="s">
        <v>74</v>
      </c>
      <c r="AY94" s="1" t="s">
        <v>74</v>
      </c>
      <c r="AZ94" s="1" t="s">
        <v>74</v>
      </c>
      <c r="BA94" s="1" t="s">
        <v>74</v>
      </c>
      <c r="BB94" s="1">
        <v>139.0</v>
      </c>
      <c r="BC94" s="1">
        <v>151.0</v>
      </c>
      <c r="BD94" s="1" t="s">
        <v>74</v>
      </c>
      <c r="BE94" s="1" t="s">
        <v>1095</v>
      </c>
      <c r="BF94" s="2" t="str">
        <f>HYPERLINK("http://dx.doi.org/10.1016/0040-6090(91)90060-B","http://dx.doi.org/10.1016/0040-6090(91)90060-B")</f>
        <v>http://dx.doi.org/10.1016/0040-6090(91)90060-B</v>
      </c>
      <c r="BG94" s="1" t="s">
        <v>74</v>
      </c>
      <c r="BH94" s="1" t="s">
        <v>74</v>
      </c>
      <c r="BI94" s="1" t="s">
        <v>74</v>
      </c>
      <c r="BJ94" s="1" t="s">
        <v>74</v>
      </c>
      <c r="BK94" s="1" t="s">
        <v>74</v>
      </c>
      <c r="BL94" s="1" t="s">
        <v>74</v>
      </c>
      <c r="BM94" s="1" t="s">
        <v>74</v>
      </c>
      <c r="BN94" s="1" t="s">
        <v>74</v>
      </c>
      <c r="BO94" s="1" t="s">
        <v>74</v>
      </c>
      <c r="BP94" s="1" t="s">
        <v>74</v>
      </c>
      <c r="BQ94" s="1" t="s">
        <v>74</v>
      </c>
      <c r="BR94" s="1" t="s">
        <v>74</v>
      </c>
      <c r="BS94" s="1" t="s">
        <v>1096</v>
      </c>
      <c r="BT94" s="1" t="str">
        <f>HYPERLINK("https%3A%2F%2Fwww.webofscience.com%2Fwos%2Fwoscc%2Ffull-record%2FWOS:A1991FG71500016","View Full Record in Web of Science")</f>
        <v>View Full Record in Web of Science</v>
      </c>
    </row>
    <row r="95" ht="12.75" customHeight="1">
      <c r="A95" s="1" t="s">
        <v>72</v>
      </c>
      <c r="B95" s="1" t="s">
        <v>1097</v>
      </c>
      <c r="C95" s="1" t="s">
        <v>74</v>
      </c>
      <c r="D95" s="1" t="s">
        <v>74</v>
      </c>
      <c r="E95" s="1" t="s">
        <v>74</v>
      </c>
      <c r="F95" s="1" t="s">
        <v>1098</v>
      </c>
      <c r="G95" s="1" t="s">
        <v>74</v>
      </c>
      <c r="H95" s="1" t="s">
        <v>74</v>
      </c>
      <c r="I95" s="1" t="s">
        <v>1099</v>
      </c>
      <c r="J95" s="1" t="s">
        <v>1100</v>
      </c>
      <c r="K95" s="1" t="s">
        <v>74</v>
      </c>
      <c r="L95" s="1" t="s">
        <v>74</v>
      </c>
      <c r="M95" s="1" t="s">
        <v>74</v>
      </c>
      <c r="N95" s="1" t="s">
        <v>74</v>
      </c>
      <c r="O95" s="1" t="s">
        <v>74</v>
      </c>
      <c r="P95" s="1" t="s">
        <v>74</v>
      </c>
      <c r="Q95" s="1" t="s">
        <v>74</v>
      </c>
      <c r="R95" s="1" t="s">
        <v>74</v>
      </c>
      <c r="S95" s="1" t="s">
        <v>74</v>
      </c>
      <c r="T95" s="1" t="s">
        <v>74</v>
      </c>
      <c r="U95" s="1" t="s">
        <v>74</v>
      </c>
      <c r="V95" s="1" t="s">
        <v>1101</v>
      </c>
      <c r="W95" s="1" t="s">
        <v>74</v>
      </c>
      <c r="X95" s="1" t="s">
        <v>74</v>
      </c>
      <c r="Y95" s="1" t="s">
        <v>74</v>
      </c>
      <c r="Z95" s="1" t="s">
        <v>74</v>
      </c>
      <c r="AA95" s="1" t="s">
        <v>1102</v>
      </c>
      <c r="AB95" s="1" t="s">
        <v>1103</v>
      </c>
      <c r="AC95" s="1" t="s">
        <v>74</v>
      </c>
      <c r="AD95" s="1" t="s">
        <v>74</v>
      </c>
      <c r="AE95" s="1" t="s">
        <v>74</v>
      </c>
      <c r="AF95" s="1" t="s">
        <v>74</v>
      </c>
      <c r="AG95" s="1" t="s">
        <v>74</v>
      </c>
      <c r="AH95" s="1" t="s">
        <v>74</v>
      </c>
      <c r="AI95" s="1" t="s">
        <v>74</v>
      </c>
      <c r="AJ95" s="1" t="s">
        <v>74</v>
      </c>
      <c r="AK95" s="1" t="s">
        <v>74</v>
      </c>
      <c r="AL95" s="1" t="s">
        <v>74</v>
      </c>
      <c r="AM95" s="1" t="s">
        <v>74</v>
      </c>
      <c r="AN95" s="1" t="s">
        <v>74</v>
      </c>
      <c r="AO95" s="1" t="s">
        <v>1104</v>
      </c>
      <c r="AP95" s="1" t="s">
        <v>1105</v>
      </c>
      <c r="AQ95" s="1" t="s">
        <v>74</v>
      </c>
      <c r="AR95" s="1" t="s">
        <v>74</v>
      </c>
      <c r="AS95" s="1" t="s">
        <v>74</v>
      </c>
      <c r="AT95" s="1" t="s">
        <v>1106</v>
      </c>
      <c r="AU95" s="1">
        <v>2025.0</v>
      </c>
      <c r="AV95" s="1">
        <v>63.0</v>
      </c>
      <c r="AW95" s="1" t="s">
        <v>74</v>
      </c>
      <c r="AX95" s="1" t="s">
        <v>74</v>
      </c>
      <c r="AY95" s="1" t="s">
        <v>74</v>
      </c>
      <c r="AZ95" s="1" t="s">
        <v>74</v>
      </c>
      <c r="BA95" s="1" t="s">
        <v>74</v>
      </c>
      <c r="BB95" s="1" t="s">
        <v>74</v>
      </c>
      <c r="BC95" s="1" t="s">
        <v>74</v>
      </c>
      <c r="BD95" s="1">
        <v>105681.0</v>
      </c>
      <c r="BE95" s="1" t="s">
        <v>1107</v>
      </c>
      <c r="BF95" s="2" t="str">
        <f>HYPERLINK("http://dx.doi.org/10.1016/j.fbio.2024.105681","http://dx.doi.org/10.1016/j.fbio.2024.105681")</f>
        <v>http://dx.doi.org/10.1016/j.fbio.2024.105681</v>
      </c>
      <c r="BG95" s="1" t="s">
        <v>74</v>
      </c>
      <c r="BH95" s="1" t="s">
        <v>1108</v>
      </c>
      <c r="BI95" s="1" t="s">
        <v>74</v>
      </c>
      <c r="BJ95" s="1" t="s">
        <v>74</v>
      </c>
      <c r="BK95" s="1" t="s">
        <v>74</v>
      </c>
      <c r="BL95" s="1" t="s">
        <v>74</v>
      </c>
      <c r="BM95" s="1" t="s">
        <v>74</v>
      </c>
      <c r="BN95" s="1" t="s">
        <v>74</v>
      </c>
      <c r="BO95" s="1" t="s">
        <v>74</v>
      </c>
      <c r="BP95" s="1" t="s">
        <v>74</v>
      </c>
      <c r="BQ95" s="1" t="s">
        <v>74</v>
      </c>
      <c r="BR95" s="1" t="s">
        <v>74</v>
      </c>
      <c r="BS95" s="1" t="s">
        <v>1109</v>
      </c>
      <c r="BT95" s="1" t="str">
        <f>HYPERLINK("https%3A%2F%2Fwww.webofscience.com%2Fwos%2Fwoscc%2Ffull-record%2FWOS:001388611100001","View Full Record in Web of Science")</f>
        <v>View Full Record in Web of Science</v>
      </c>
    </row>
    <row r="96" ht="12.75" customHeight="1">
      <c r="A96" s="1" t="s">
        <v>72</v>
      </c>
      <c r="B96" s="1" t="s">
        <v>1110</v>
      </c>
      <c r="C96" s="1" t="s">
        <v>74</v>
      </c>
      <c r="D96" s="1" t="s">
        <v>74</v>
      </c>
      <c r="E96" s="1" t="s">
        <v>74</v>
      </c>
      <c r="F96" s="1" t="s">
        <v>1111</v>
      </c>
      <c r="G96" s="1" t="s">
        <v>74</v>
      </c>
      <c r="H96" s="1" t="s">
        <v>74</v>
      </c>
      <c r="I96" s="1" t="s">
        <v>1112</v>
      </c>
      <c r="J96" s="1" t="s">
        <v>1113</v>
      </c>
      <c r="K96" s="1" t="s">
        <v>74</v>
      </c>
      <c r="L96" s="1" t="s">
        <v>74</v>
      </c>
      <c r="M96" s="1" t="s">
        <v>74</v>
      </c>
      <c r="N96" s="1" t="s">
        <v>74</v>
      </c>
      <c r="O96" s="1" t="s">
        <v>74</v>
      </c>
      <c r="P96" s="1" t="s">
        <v>74</v>
      </c>
      <c r="Q96" s="1" t="s">
        <v>74</v>
      </c>
      <c r="R96" s="1" t="s">
        <v>74</v>
      </c>
      <c r="S96" s="1" t="s">
        <v>74</v>
      </c>
      <c r="T96" s="1" t="s">
        <v>74</v>
      </c>
      <c r="U96" s="1" t="s">
        <v>74</v>
      </c>
      <c r="V96" s="1" t="s">
        <v>1114</v>
      </c>
      <c r="W96" s="1" t="s">
        <v>74</v>
      </c>
      <c r="X96" s="1" t="s">
        <v>74</v>
      </c>
      <c r="Y96" s="1" t="s">
        <v>74</v>
      </c>
      <c r="Z96" s="1" t="s">
        <v>74</v>
      </c>
      <c r="AA96" s="1" t="s">
        <v>1115</v>
      </c>
      <c r="AB96" s="1" t="s">
        <v>1116</v>
      </c>
      <c r="AC96" s="1" t="s">
        <v>74</v>
      </c>
      <c r="AD96" s="1" t="s">
        <v>74</v>
      </c>
      <c r="AE96" s="1" t="s">
        <v>74</v>
      </c>
      <c r="AF96" s="1" t="s">
        <v>74</v>
      </c>
      <c r="AG96" s="1" t="s">
        <v>74</v>
      </c>
      <c r="AH96" s="1" t="s">
        <v>74</v>
      </c>
      <c r="AI96" s="1" t="s">
        <v>74</v>
      </c>
      <c r="AJ96" s="1" t="s">
        <v>74</v>
      </c>
      <c r="AK96" s="1" t="s">
        <v>74</v>
      </c>
      <c r="AL96" s="1" t="s">
        <v>74</v>
      </c>
      <c r="AM96" s="1" t="s">
        <v>74</v>
      </c>
      <c r="AN96" s="1" t="s">
        <v>74</v>
      </c>
      <c r="AO96" s="1" t="s">
        <v>1117</v>
      </c>
      <c r="AP96" s="1" t="s">
        <v>74</v>
      </c>
      <c r="AQ96" s="1" t="s">
        <v>74</v>
      </c>
      <c r="AR96" s="1" t="s">
        <v>74</v>
      </c>
      <c r="AS96" s="1" t="s">
        <v>74</v>
      </c>
      <c r="AT96" s="1" t="s">
        <v>1118</v>
      </c>
      <c r="AU96" s="1">
        <v>2024.0</v>
      </c>
      <c r="AV96" s="1">
        <v>15.0</v>
      </c>
      <c r="AW96" s="1">
        <v>46.0</v>
      </c>
      <c r="AX96" s="1" t="s">
        <v>74</v>
      </c>
      <c r="AY96" s="1" t="s">
        <v>74</v>
      </c>
      <c r="AZ96" s="1" t="s">
        <v>74</v>
      </c>
      <c r="BA96" s="1" t="s">
        <v>74</v>
      </c>
      <c r="BB96" s="1">
        <v>11671.0</v>
      </c>
      <c r="BC96" s="1">
        <v>11677.0</v>
      </c>
      <c r="BD96" s="1" t="s">
        <v>74</v>
      </c>
      <c r="BE96" s="1" t="s">
        <v>1119</v>
      </c>
      <c r="BF96" s="2" t="str">
        <f>HYPERLINK("http://dx.doi.org/10.1021/acs.jpclett.4c02457","http://dx.doi.org/10.1021/acs.jpclett.4c02457")</f>
        <v>http://dx.doi.org/10.1021/acs.jpclett.4c02457</v>
      </c>
      <c r="BG96" s="1" t="s">
        <v>74</v>
      </c>
      <c r="BH96" s="1" t="s">
        <v>1120</v>
      </c>
      <c r="BI96" s="1" t="s">
        <v>74</v>
      </c>
      <c r="BJ96" s="1" t="s">
        <v>74</v>
      </c>
      <c r="BK96" s="1" t="s">
        <v>74</v>
      </c>
      <c r="BL96" s="1" t="s">
        <v>74</v>
      </c>
      <c r="BM96" s="1" t="s">
        <v>74</v>
      </c>
      <c r="BN96" s="1">
        <v>3.9540865E7</v>
      </c>
      <c r="BO96" s="1" t="s">
        <v>74</v>
      </c>
      <c r="BP96" s="1" t="s">
        <v>74</v>
      </c>
      <c r="BQ96" s="1" t="s">
        <v>74</v>
      </c>
      <c r="BR96" s="1" t="s">
        <v>74</v>
      </c>
      <c r="BS96" s="1" t="s">
        <v>1121</v>
      </c>
      <c r="BT96" s="1" t="str">
        <f>HYPERLINK("https%3A%2F%2Fwww.webofscience.com%2Fwos%2Fwoscc%2Ffull-record%2FWOS:001354971600001","View Full Record in Web of Science")</f>
        <v>View Full Record in Web of Science</v>
      </c>
    </row>
    <row r="97" ht="12.75" customHeight="1">
      <c r="A97" s="1" t="s">
        <v>72</v>
      </c>
      <c r="B97" s="1" t="s">
        <v>1122</v>
      </c>
      <c r="C97" s="1" t="s">
        <v>74</v>
      </c>
      <c r="D97" s="1" t="s">
        <v>74</v>
      </c>
      <c r="E97" s="1" t="s">
        <v>74</v>
      </c>
      <c r="F97" s="1" t="s">
        <v>1123</v>
      </c>
      <c r="G97" s="1" t="s">
        <v>74</v>
      </c>
      <c r="H97" s="1" t="s">
        <v>74</v>
      </c>
      <c r="I97" s="1" t="s">
        <v>1124</v>
      </c>
      <c r="J97" s="1" t="s">
        <v>1125</v>
      </c>
      <c r="K97" s="1" t="s">
        <v>74</v>
      </c>
      <c r="L97" s="1" t="s">
        <v>74</v>
      </c>
      <c r="M97" s="1" t="s">
        <v>74</v>
      </c>
      <c r="N97" s="1" t="s">
        <v>74</v>
      </c>
      <c r="O97" s="1" t="s">
        <v>74</v>
      </c>
      <c r="P97" s="1" t="s">
        <v>74</v>
      </c>
      <c r="Q97" s="1" t="s">
        <v>74</v>
      </c>
      <c r="R97" s="1" t="s">
        <v>74</v>
      </c>
      <c r="S97" s="1" t="s">
        <v>74</v>
      </c>
      <c r="T97" s="1" t="s">
        <v>74</v>
      </c>
      <c r="U97" s="1" t="s">
        <v>74</v>
      </c>
      <c r="V97" s="1" t="s">
        <v>1126</v>
      </c>
      <c r="W97" s="1" t="s">
        <v>74</v>
      </c>
      <c r="X97" s="1" t="s">
        <v>74</v>
      </c>
      <c r="Y97" s="1" t="s">
        <v>74</v>
      </c>
      <c r="Z97" s="1" t="s">
        <v>74</v>
      </c>
      <c r="AA97" s="1" t="s">
        <v>1127</v>
      </c>
      <c r="AB97" s="1" t="s">
        <v>1128</v>
      </c>
      <c r="AC97" s="1" t="s">
        <v>74</v>
      </c>
      <c r="AD97" s="1" t="s">
        <v>74</v>
      </c>
      <c r="AE97" s="1" t="s">
        <v>74</v>
      </c>
      <c r="AF97" s="1" t="s">
        <v>74</v>
      </c>
      <c r="AG97" s="1" t="s">
        <v>74</v>
      </c>
      <c r="AH97" s="1" t="s">
        <v>74</v>
      </c>
      <c r="AI97" s="1" t="s">
        <v>74</v>
      </c>
      <c r="AJ97" s="1" t="s">
        <v>74</v>
      </c>
      <c r="AK97" s="1" t="s">
        <v>74</v>
      </c>
      <c r="AL97" s="1" t="s">
        <v>74</v>
      </c>
      <c r="AM97" s="1" t="s">
        <v>74</v>
      </c>
      <c r="AN97" s="1" t="s">
        <v>74</v>
      </c>
      <c r="AO97" s="1" t="s">
        <v>1129</v>
      </c>
      <c r="AP97" s="1" t="s">
        <v>1130</v>
      </c>
      <c r="AQ97" s="1" t="s">
        <v>74</v>
      </c>
      <c r="AR97" s="1" t="s">
        <v>74</v>
      </c>
      <c r="AS97" s="1" t="s">
        <v>74</v>
      </c>
      <c r="AT97" s="1" t="s">
        <v>1131</v>
      </c>
      <c r="AU97" s="1">
        <v>2025.0</v>
      </c>
      <c r="AV97" s="1">
        <v>355.0</v>
      </c>
      <c r="AW97" s="1" t="s">
        <v>74</v>
      </c>
      <c r="AX97" s="1" t="s">
        <v>748</v>
      </c>
      <c r="AY97" s="1" t="s">
        <v>74</v>
      </c>
      <c r="AZ97" s="1" t="s">
        <v>74</v>
      </c>
      <c r="BA97" s="1" t="s">
        <v>74</v>
      </c>
      <c r="BB97" s="1" t="s">
        <v>74</v>
      </c>
      <c r="BC97" s="1" t="s">
        <v>74</v>
      </c>
      <c r="BD97" s="1">
        <v>129613.0</v>
      </c>
      <c r="BE97" s="1" t="s">
        <v>1132</v>
      </c>
      <c r="BF97" s="2" t="str">
        <f>HYPERLINK("http://dx.doi.org/10.1016/j.seppur.2024.129613","http://dx.doi.org/10.1016/j.seppur.2024.129613")</f>
        <v>http://dx.doi.org/10.1016/j.seppur.2024.129613</v>
      </c>
      <c r="BG97" s="1" t="s">
        <v>74</v>
      </c>
      <c r="BH97" s="1" t="s">
        <v>1133</v>
      </c>
      <c r="BI97" s="1" t="s">
        <v>74</v>
      </c>
      <c r="BJ97" s="1" t="s">
        <v>74</v>
      </c>
      <c r="BK97" s="1" t="s">
        <v>74</v>
      </c>
      <c r="BL97" s="1" t="s">
        <v>74</v>
      </c>
      <c r="BM97" s="1" t="s">
        <v>74</v>
      </c>
      <c r="BN97" s="1" t="s">
        <v>74</v>
      </c>
      <c r="BO97" s="1" t="s">
        <v>74</v>
      </c>
      <c r="BP97" s="1" t="s">
        <v>74</v>
      </c>
      <c r="BQ97" s="1" t="s">
        <v>74</v>
      </c>
      <c r="BR97" s="1" t="s">
        <v>74</v>
      </c>
      <c r="BS97" s="1" t="s">
        <v>1134</v>
      </c>
      <c r="BT97" s="1" t="str">
        <f>HYPERLINK("https%3A%2F%2Fwww.webofscience.com%2Fwos%2Fwoscc%2Ffull-record%2FWOS:001321115000001","View Full Record in Web of Science")</f>
        <v>View Full Record in Web of Science</v>
      </c>
    </row>
    <row r="98" ht="12.75" customHeight="1">
      <c r="A98" s="1" t="s">
        <v>72</v>
      </c>
      <c r="B98" s="1" t="s">
        <v>1135</v>
      </c>
      <c r="C98" s="1" t="s">
        <v>74</v>
      </c>
      <c r="D98" s="1" t="s">
        <v>74</v>
      </c>
      <c r="E98" s="1" t="s">
        <v>74</v>
      </c>
      <c r="F98" s="1" t="s">
        <v>1136</v>
      </c>
      <c r="G98" s="1" t="s">
        <v>74</v>
      </c>
      <c r="H98" s="1" t="s">
        <v>74</v>
      </c>
      <c r="I98" s="1" t="s">
        <v>1137</v>
      </c>
      <c r="J98" s="1" t="s">
        <v>1138</v>
      </c>
      <c r="K98" s="1" t="s">
        <v>74</v>
      </c>
      <c r="L98" s="1" t="s">
        <v>74</v>
      </c>
      <c r="M98" s="1" t="s">
        <v>74</v>
      </c>
      <c r="N98" s="1" t="s">
        <v>74</v>
      </c>
      <c r="O98" s="1" t="s">
        <v>74</v>
      </c>
      <c r="P98" s="1" t="s">
        <v>74</v>
      </c>
      <c r="Q98" s="1" t="s">
        <v>74</v>
      </c>
      <c r="R98" s="1" t="s">
        <v>74</v>
      </c>
      <c r="S98" s="1" t="s">
        <v>74</v>
      </c>
      <c r="T98" s="1" t="s">
        <v>74</v>
      </c>
      <c r="U98" s="1" t="s">
        <v>74</v>
      </c>
      <c r="V98" s="1" t="s">
        <v>1139</v>
      </c>
      <c r="W98" s="1" t="s">
        <v>74</v>
      </c>
      <c r="X98" s="1" t="s">
        <v>74</v>
      </c>
      <c r="Y98" s="1" t="s">
        <v>74</v>
      </c>
      <c r="Z98" s="1" t="s">
        <v>74</v>
      </c>
      <c r="AA98" s="1" t="s">
        <v>1140</v>
      </c>
      <c r="AB98" s="1" t="s">
        <v>1141</v>
      </c>
      <c r="AC98" s="1" t="s">
        <v>74</v>
      </c>
      <c r="AD98" s="1" t="s">
        <v>74</v>
      </c>
      <c r="AE98" s="1" t="s">
        <v>74</v>
      </c>
      <c r="AF98" s="1" t="s">
        <v>74</v>
      </c>
      <c r="AG98" s="1" t="s">
        <v>74</v>
      </c>
      <c r="AH98" s="1" t="s">
        <v>74</v>
      </c>
      <c r="AI98" s="1" t="s">
        <v>74</v>
      </c>
      <c r="AJ98" s="1" t="s">
        <v>74</v>
      </c>
      <c r="AK98" s="1" t="s">
        <v>74</v>
      </c>
      <c r="AL98" s="1" t="s">
        <v>74</v>
      </c>
      <c r="AM98" s="1" t="s">
        <v>74</v>
      </c>
      <c r="AN98" s="1" t="s">
        <v>74</v>
      </c>
      <c r="AO98" s="1" t="s">
        <v>1142</v>
      </c>
      <c r="AP98" s="1" t="s">
        <v>1143</v>
      </c>
      <c r="AQ98" s="1" t="s">
        <v>74</v>
      </c>
      <c r="AR98" s="1" t="s">
        <v>74</v>
      </c>
      <c r="AS98" s="1" t="s">
        <v>74</v>
      </c>
      <c r="AT98" s="1" t="s">
        <v>1144</v>
      </c>
      <c r="AU98" s="1">
        <v>2024.0</v>
      </c>
      <c r="AV98" s="1">
        <v>663.0</v>
      </c>
      <c r="AW98" s="1" t="s">
        <v>74</v>
      </c>
      <c r="AX98" s="1" t="s">
        <v>74</v>
      </c>
      <c r="AY98" s="1" t="s">
        <v>74</v>
      </c>
      <c r="AZ98" s="1" t="s">
        <v>74</v>
      </c>
      <c r="BA98" s="1" t="s">
        <v>74</v>
      </c>
      <c r="BB98" s="1" t="s">
        <v>74</v>
      </c>
      <c r="BC98" s="1" t="s">
        <v>74</v>
      </c>
      <c r="BD98" s="1">
        <v>124553.0</v>
      </c>
      <c r="BE98" s="1" t="s">
        <v>1145</v>
      </c>
      <c r="BF98" s="2" t="str">
        <f>HYPERLINK("http://dx.doi.org/10.1016/j.ijpharm.2024.124553","http://dx.doi.org/10.1016/j.ijpharm.2024.124553")</f>
        <v>http://dx.doi.org/10.1016/j.ijpharm.2024.124553</v>
      </c>
      <c r="BG98" s="1" t="s">
        <v>74</v>
      </c>
      <c r="BH98" s="1" t="s">
        <v>548</v>
      </c>
      <c r="BI98" s="1" t="s">
        <v>74</v>
      </c>
      <c r="BJ98" s="1" t="s">
        <v>74</v>
      </c>
      <c r="BK98" s="1" t="s">
        <v>74</v>
      </c>
      <c r="BL98" s="1" t="s">
        <v>74</v>
      </c>
      <c r="BM98" s="1" t="s">
        <v>74</v>
      </c>
      <c r="BN98" s="1">
        <v>3.9103063E7</v>
      </c>
      <c r="BO98" s="1" t="s">
        <v>74</v>
      </c>
      <c r="BP98" s="1" t="s">
        <v>74</v>
      </c>
      <c r="BQ98" s="1" t="s">
        <v>74</v>
      </c>
      <c r="BR98" s="1" t="s">
        <v>74</v>
      </c>
      <c r="BS98" s="1" t="s">
        <v>1146</v>
      </c>
      <c r="BT98" s="1" t="str">
        <f>HYPERLINK("https%3A%2F%2Fwww.webofscience.com%2Fwos%2Fwoscc%2Ffull-record%2FWOS:001292237600001","View Full Record in Web of Science")</f>
        <v>View Full Record in Web of Science</v>
      </c>
    </row>
    <row r="99" ht="12.75" customHeight="1">
      <c r="A99" s="1" t="s">
        <v>72</v>
      </c>
      <c r="B99" s="1" t="s">
        <v>1147</v>
      </c>
      <c r="C99" s="1" t="s">
        <v>74</v>
      </c>
      <c r="D99" s="1" t="s">
        <v>74</v>
      </c>
      <c r="E99" s="1" t="s">
        <v>74</v>
      </c>
      <c r="F99" s="1" t="s">
        <v>1148</v>
      </c>
      <c r="G99" s="1" t="s">
        <v>74</v>
      </c>
      <c r="H99" s="1" t="s">
        <v>74</v>
      </c>
      <c r="I99" s="1" t="s">
        <v>1149</v>
      </c>
      <c r="J99" s="1" t="s">
        <v>1150</v>
      </c>
      <c r="K99" s="1" t="s">
        <v>74</v>
      </c>
      <c r="L99" s="1" t="s">
        <v>74</v>
      </c>
      <c r="M99" s="1" t="s">
        <v>74</v>
      </c>
      <c r="N99" s="1" t="s">
        <v>74</v>
      </c>
      <c r="O99" s="1" t="s">
        <v>74</v>
      </c>
      <c r="P99" s="1" t="s">
        <v>74</v>
      </c>
      <c r="Q99" s="1" t="s">
        <v>74</v>
      </c>
      <c r="R99" s="1" t="s">
        <v>74</v>
      </c>
      <c r="S99" s="1" t="s">
        <v>74</v>
      </c>
      <c r="T99" s="1" t="s">
        <v>74</v>
      </c>
      <c r="U99" s="1" t="s">
        <v>74</v>
      </c>
      <c r="V99" s="1" t="s">
        <v>1151</v>
      </c>
      <c r="W99" s="1" t="s">
        <v>74</v>
      </c>
      <c r="X99" s="1" t="s">
        <v>74</v>
      </c>
      <c r="Y99" s="1" t="s">
        <v>74</v>
      </c>
      <c r="Z99" s="1" t="s">
        <v>74</v>
      </c>
      <c r="AA99" s="1" t="s">
        <v>1152</v>
      </c>
      <c r="AB99" s="1" t="s">
        <v>1153</v>
      </c>
      <c r="AC99" s="1" t="s">
        <v>74</v>
      </c>
      <c r="AD99" s="1" t="s">
        <v>74</v>
      </c>
      <c r="AE99" s="1" t="s">
        <v>74</v>
      </c>
      <c r="AF99" s="1" t="s">
        <v>74</v>
      </c>
      <c r="AG99" s="1" t="s">
        <v>74</v>
      </c>
      <c r="AH99" s="1" t="s">
        <v>74</v>
      </c>
      <c r="AI99" s="1" t="s">
        <v>74</v>
      </c>
      <c r="AJ99" s="1" t="s">
        <v>74</v>
      </c>
      <c r="AK99" s="1" t="s">
        <v>74</v>
      </c>
      <c r="AL99" s="1" t="s">
        <v>74</v>
      </c>
      <c r="AM99" s="1" t="s">
        <v>74</v>
      </c>
      <c r="AN99" s="1" t="s">
        <v>74</v>
      </c>
      <c r="AO99" s="1" t="s">
        <v>1154</v>
      </c>
      <c r="AP99" s="1" t="s">
        <v>1155</v>
      </c>
      <c r="AQ99" s="1" t="s">
        <v>74</v>
      </c>
      <c r="AR99" s="1" t="s">
        <v>74</v>
      </c>
      <c r="AS99" s="1" t="s">
        <v>74</v>
      </c>
      <c r="AT99" s="1" t="s">
        <v>1156</v>
      </c>
      <c r="AU99" s="1">
        <v>2024.0</v>
      </c>
      <c r="AV99" s="1">
        <v>26.0</v>
      </c>
      <c r="AW99" s="1">
        <v>6.0</v>
      </c>
      <c r="AX99" s="1" t="s">
        <v>74</v>
      </c>
      <c r="AY99" s="1" t="s">
        <v>74</v>
      </c>
      <c r="AZ99" s="1" t="s">
        <v>74</v>
      </c>
      <c r="BA99" s="1" t="s">
        <v>74</v>
      </c>
      <c r="BB99" s="1">
        <v>5621.0</v>
      </c>
      <c r="BC99" s="1">
        <v>5632.0</v>
      </c>
      <c r="BD99" s="1" t="s">
        <v>74</v>
      </c>
      <c r="BE99" s="1" t="s">
        <v>1157</v>
      </c>
      <c r="BF99" s="2" t="str">
        <f>HYPERLINK("http://dx.doi.org/10.1039/d3cp05432b","http://dx.doi.org/10.1039/d3cp05432b")</f>
        <v>http://dx.doi.org/10.1039/d3cp05432b</v>
      </c>
      <c r="BG99" s="1" t="s">
        <v>74</v>
      </c>
      <c r="BH99" s="1" t="s">
        <v>1158</v>
      </c>
      <c r="BI99" s="1" t="s">
        <v>74</v>
      </c>
      <c r="BJ99" s="1" t="s">
        <v>74</v>
      </c>
      <c r="BK99" s="1" t="s">
        <v>74</v>
      </c>
      <c r="BL99" s="1" t="s">
        <v>74</v>
      </c>
      <c r="BM99" s="1" t="s">
        <v>74</v>
      </c>
      <c r="BN99" s="1">
        <v>3.8288508E7</v>
      </c>
      <c r="BO99" s="1" t="s">
        <v>74</v>
      </c>
      <c r="BP99" s="1" t="s">
        <v>74</v>
      </c>
      <c r="BQ99" s="1" t="s">
        <v>74</v>
      </c>
      <c r="BR99" s="1" t="s">
        <v>74</v>
      </c>
      <c r="BS99" s="1" t="s">
        <v>1159</v>
      </c>
      <c r="BT99" s="1" t="str">
        <f>HYPERLINK("https%3A%2F%2Fwww.webofscience.com%2Fwos%2Fwoscc%2Ffull-record%2FWOS:001152235900001","View Full Record in Web of Science")</f>
        <v>View Full Record in Web of Science</v>
      </c>
    </row>
    <row r="100" ht="12.75" customHeight="1">
      <c r="A100" s="1" t="s">
        <v>72</v>
      </c>
      <c r="B100" s="1" t="s">
        <v>1160</v>
      </c>
      <c r="C100" s="1" t="s">
        <v>74</v>
      </c>
      <c r="D100" s="1" t="s">
        <v>74</v>
      </c>
      <c r="E100" s="1" t="s">
        <v>74</v>
      </c>
      <c r="F100" s="1" t="s">
        <v>1161</v>
      </c>
      <c r="G100" s="1" t="s">
        <v>74</v>
      </c>
      <c r="H100" s="1" t="s">
        <v>74</v>
      </c>
      <c r="I100" s="1" t="s">
        <v>1162</v>
      </c>
      <c r="J100" s="1" t="s">
        <v>1163</v>
      </c>
      <c r="K100" s="1" t="s">
        <v>74</v>
      </c>
      <c r="L100" s="1" t="s">
        <v>74</v>
      </c>
      <c r="M100" s="1" t="s">
        <v>74</v>
      </c>
      <c r="N100" s="1" t="s">
        <v>74</v>
      </c>
      <c r="O100" s="1" t="s">
        <v>74</v>
      </c>
      <c r="P100" s="1" t="s">
        <v>74</v>
      </c>
      <c r="Q100" s="1" t="s">
        <v>74</v>
      </c>
      <c r="R100" s="1" t="s">
        <v>74</v>
      </c>
      <c r="S100" s="1" t="s">
        <v>74</v>
      </c>
      <c r="T100" s="1" t="s">
        <v>74</v>
      </c>
      <c r="U100" s="1" t="s">
        <v>74</v>
      </c>
      <c r="V100" s="1" t="s">
        <v>1164</v>
      </c>
      <c r="W100" s="1" t="s">
        <v>74</v>
      </c>
      <c r="X100" s="1" t="s">
        <v>74</v>
      </c>
      <c r="Y100" s="1" t="s">
        <v>74</v>
      </c>
      <c r="Z100" s="1" t="s">
        <v>74</v>
      </c>
      <c r="AA100" s="1" t="s">
        <v>1165</v>
      </c>
      <c r="AB100" s="1" t="s">
        <v>74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1166</v>
      </c>
      <c r="AP100" s="1" t="s">
        <v>74</v>
      </c>
      <c r="AQ100" s="1" t="s">
        <v>74</v>
      </c>
      <c r="AR100" s="1" t="s">
        <v>74</v>
      </c>
      <c r="AS100" s="1" t="s">
        <v>74</v>
      </c>
      <c r="AT100" s="1" t="s">
        <v>1106</v>
      </c>
      <c r="AU100" s="1">
        <v>2024.0</v>
      </c>
      <c r="AV100" s="1">
        <v>10.0</v>
      </c>
      <c r="AW100" s="1">
        <v>1.0</v>
      </c>
      <c r="AX100" s="1" t="s">
        <v>74</v>
      </c>
      <c r="AY100" s="1" t="s">
        <v>74</v>
      </c>
      <c r="AZ100" s="1" t="s">
        <v>74</v>
      </c>
      <c r="BA100" s="1" t="s">
        <v>74</v>
      </c>
      <c r="BB100" s="1">
        <v>212.0</v>
      </c>
      <c r="BC100" s="1">
        <v>245.0</v>
      </c>
      <c r="BD100" s="1" t="s">
        <v>74</v>
      </c>
      <c r="BE100" s="1" t="s">
        <v>1167</v>
      </c>
      <c r="BF100" s="2" t="str">
        <f>HYPERLINK("http://dx.doi.org/10.17979/sportis.2024.10.1.9890","http://dx.doi.org/10.17979/sportis.2024.10.1.9890")</f>
        <v>http://dx.doi.org/10.17979/sportis.2024.10.1.9890</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1168</v>
      </c>
      <c r="BT100" s="1" t="str">
        <f>HYPERLINK("https%3A%2F%2Fwww.webofscience.com%2Fwos%2Fwoscc%2Ffull-record%2FWOS:001134666300006","View Full Record in Web of Science")</f>
        <v>View Full Record in Web of Science</v>
      </c>
    </row>
    <row r="101" ht="12.75" customHeight="1">
      <c r="A101" s="1" t="s">
        <v>72</v>
      </c>
      <c r="B101" s="1" t="s">
        <v>1169</v>
      </c>
      <c r="C101" s="1" t="s">
        <v>74</v>
      </c>
      <c r="D101" s="1" t="s">
        <v>74</v>
      </c>
      <c r="E101" s="1" t="s">
        <v>74</v>
      </c>
      <c r="F101" s="1" t="s">
        <v>1170</v>
      </c>
      <c r="G101" s="1" t="s">
        <v>74</v>
      </c>
      <c r="H101" s="1" t="s">
        <v>74</v>
      </c>
      <c r="I101" s="1" t="s">
        <v>1171</v>
      </c>
      <c r="J101" s="1" t="s">
        <v>617</v>
      </c>
      <c r="K101" s="1" t="s">
        <v>74</v>
      </c>
      <c r="L101" s="1" t="s">
        <v>74</v>
      </c>
      <c r="M101" s="1" t="s">
        <v>74</v>
      </c>
      <c r="N101" s="1" t="s">
        <v>74</v>
      </c>
      <c r="O101" s="1" t="s">
        <v>74</v>
      </c>
      <c r="P101" s="1" t="s">
        <v>74</v>
      </c>
      <c r="Q101" s="1" t="s">
        <v>74</v>
      </c>
      <c r="R101" s="1" t="s">
        <v>74</v>
      </c>
      <c r="S101" s="1" t="s">
        <v>74</v>
      </c>
      <c r="T101" s="1" t="s">
        <v>74</v>
      </c>
      <c r="U101" s="1" t="s">
        <v>74</v>
      </c>
      <c r="V101" s="1" t="s">
        <v>1172</v>
      </c>
      <c r="W101" s="1" t="s">
        <v>74</v>
      </c>
      <c r="X101" s="1" t="s">
        <v>74</v>
      </c>
      <c r="Y101" s="1" t="s">
        <v>74</v>
      </c>
      <c r="Z101" s="1" t="s">
        <v>74</v>
      </c>
      <c r="AA101" s="1" t="s">
        <v>1173</v>
      </c>
      <c r="AB101" s="1" t="s">
        <v>1174</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620</v>
      </c>
      <c r="AP101" s="1" t="s">
        <v>621</v>
      </c>
      <c r="AQ101" s="1" t="s">
        <v>74</v>
      </c>
      <c r="AR101" s="1" t="s">
        <v>74</v>
      </c>
      <c r="AS101" s="1" t="s">
        <v>74</v>
      </c>
      <c r="AT101" s="1" t="s">
        <v>1175</v>
      </c>
      <c r="AU101" s="1">
        <v>2023.0</v>
      </c>
      <c r="AV101" s="1">
        <v>903.0</v>
      </c>
      <c r="AW101" s="1" t="s">
        <v>74</v>
      </c>
      <c r="AX101" s="1" t="s">
        <v>74</v>
      </c>
      <c r="AY101" s="1" t="s">
        <v>74</v>
      </c>
      <c r="AZ101" s="1" t="s">
        <v>74</v>
      </c>
      <c r="BA101" s="1" t="s">
        <v>74</v>
      </c>
      <c r="BB101" s="1" t="s">
        <v>74</v>
      </c>
      <c r="BC101" s="1" t="s">
        <v>74</v>
      </c>
      <c r="BD101" s="1">
        <v>166130.0</v>
      </c>
      <c r="BE101" s="1" t="s">
        <v>1176</v>
      </c>
      <c r="BF101" s="2" t="str">
        <f>HYPERLINK("http://dx.doi.org/10.1016/j.scitotenv.2023.166130","http://dx.doi.org/10.1016/j.scitotenv.2023.166130")</f>
        <v>http://dx.doi.org/10.1016/j.scitotenv.2023.166130</v>
      </c>
      <c r="BG101" s="1" t="s">
        <v>74</v>
      </c>
      <c r="BH101" s="1" t="s">
        <v>1177</v>
      </c>
      <c r="BI101" s="1" t="s">
        <v>74</v>
      </c>
      <c r="BJ101" s="1" t="s">
        <v>74</v>
      </c>
      <c r="BK101" s="1" t="s">
        <v>74</v>
      </c>
      <c r="BL101" s="1" t="s">
        <v>74</v>
      </c>
      <c r="BM101" s="1" t="s">
        <v>74</v>
      </c>
      <c r="BN101" s="1">
        <v>3.7579796E7</v>
      </c>
      <c r="BO101" s="1" t="s">
        <v>74</v>
      </c>
      <c r="BP101" s="1" t="s">
        <v>74</v>
      </c>
      <c r="BQ101" s="1" t="s">
        <v>74</v>
      </c>
      <c r="BR101" s="1" t="s">
        <v>74</v>
      </c>
      <c r="BS101" s="1" t="s">
        <v>1178</v>
      </c>
      <c r="BT101" s="1" t="str">
        <f>HYPERLINK("https%3A%2F%2Fwww.webofscience.com%2Fwos%2Fwoscc%2Ffull-record%2FWOS:001063389100001","View Full Record in Web of Science")</f>
        <v>View Full Record in Web of Science</v>
      </c>
    </row>
    <row r="102" ht="12.75" customHeight="1">
      <c r="A102" s="1" t="s">
        <v>72</v>
      </c>
      <c r="B102" s="1" t="s">
        <v>1179</v>
      </c>
      <c r="C102" s="1" t="s">
        <v>74</v>
      </c>
      <c r="D102" s="1" t="s">
        <v>74</v>
      </c>
      <c r="E102" s="1" t="s">
        <v>74</v>
      </c>
      <c r="F102" s="1" t="s">
        <v>1180</v>
      </c>
      <c r="G102" s="1" t="s">
        <v>74</v>
      </c>
      <c r="H102" s="1" t="s">
        <v>74</v>
      </c>
      <c r="I102" s="1" t="s">
        <v>1181</v>
      </c>
      <c r="J102" s="1" t="s">
        <v>1182</v>
      </c>
      <c r="K102" s="1" t="s">
        <v>74</v>
      </c>
      <c r="L102" s="1" t="s">
        <v>74</v>
      </c>
      <c r="M102" s="1" t="s">
        <v>74</v>
      </c>
      <c r="N102" s="1" t="s">
        <v>74</v>
      </c>
      <c r="O102" s="1" t="s">
        <v>74</v>
      </c>
      <c r="P102" s="1" t="s">
        <v>74</v>
      </c>
      <c r="Q102" s="1" t="s">
        <v>74</v>
      </c>
      <c r="R102" s="1" t="s">
        <v>74</v>
      </c>
      <c r="S102" s="1" t="s">
        <v>74</v>
      </c>
      <c r="T102" s="1" t="s">
        <v>74</v>
      </c>
      <c r="U102" s="1" t="s">
        <v>74</v>
      </c>
      <c r="V102" s="1" t="s">
        <v>1183</v>
      </c>
      <c r="W102" s="1" t="s">
        <v>74</v>
      </c>
      <c r="X102" s="1" t="s">
        <v>74</v>
      </c>
      <c r="Y102" s="1" t="s">
        <v>74</v>
      </c>
      <c r="Z102" s="1" t="s">
        <v>74</v>
      </c>
      <c r="AA102" s="1" t="s">
        <v>1184</v>
      </c>
      <c r="AB102" s="1" t="s">
        <v>1185</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74</v>
      </c>
      <c r="AP102" s="1" t="s">
        <v>1186</v>
      </c>
      <c r="AQ102" s="1" t="s">
        <v>74</v>
      </c>
      <c r="AR102" s="1" t="s">
        <v>74</v>
      </c>
      <c r="AS102" s="1" t="s">
        <v>74</v>
      </c>
      <c r="AT102" s="1" t="s">
        <v>282</v>
      </c>
      <c r="AU102" s="1">
        <v>2023.0</v>
      </c>
      <c r="AV102" s="1">
        <v>5.0</v>
      </c>
      <c r="AW102" s="1" t="s">
        <v>74</v>
      </c>
      <c r="AX102" s="1" t="s">
        <v>74</v>
      </c>
      <c r="AY102" s="1" t="s">
        <v>74</v>
      </c>
      <c r="AZ102" s="1" t="s">
        <v>74</v>
      </c>
      <c r="BA102" s="1" t="s">
        <v>74</v>
      </c>
      <c r="BB102" s="1" t="s">
        <v>74</v>
      </c>
      <c r="BC102" s="1" t="s">
        <v>74</v>
      </c>
      <c r="BD102" s="1">
        <v>100100.0</v>
      </c>
      <c r="BE102" s="1" t="s">
        <v>1187</v>
      </c>
      <c r="BF102" s="2" t="str">
        <f>HYPERLINK("http://dx.doi.org/10.1016/j.clwas.2023.100100","http://dx.doi.org/10.1016/j.clwas.2023.100100")</f>
        <v>http://dx.doi.org/10.1016/j.clwas.2023.100100</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1188</v>
      </c>
      <c r="BT102" s="1" t="str">
        <f>HYPERLINK("https%3A%2F%2Fwww.webofscience.com%2Fwos%2Fwoscc%2Ffull-record%2FWOS:001350210600005","View Full Record in Web of Science")</f>
        <v>View Full Record in Web of Science</v>
      </c>
    </row>
    <row r="103" ht="12.75" customHeight="1">
      <c r="A103" s="1" t="s">
        <v>72</v>
      </c>
      <c r="B103" s="1" t="s">
        <v>1189</v>
      </c>
      <c r="C103" s="1" t="s">
        <v>74</v>
      </c>
      <c r="D103" s="1" t="s">
        <v>74</v>
      </c>
      <c r="E103" s="1" t="s">
        <v>74</v>
      </c>
      <c r="F103" s="1" t="s">
        <v>1190</v>
      </c>
      <c r="G103" s="1" t="s">
        <v>74</v>
      </c>
      <c r="H103" s="1" t="s">
        <v>74</v>
      </c>
      <c r="I103" s="1" t="s">
        <v>1191</v>
      </c>
      <c r="J103" s="1" t="s">
        <v>1192</v>
      </c>
      <c r="K103" s="1" t="s">
        <v>74</v>
      </c>
      <c r="L103" s="1" t="s">
        <v>74</v>
      </c>
      <c r="M103" s="1" t="s">
        <v>74</v>
      </c>
      <c r="N103" s="1" t="s">
        <v>74</v>
      </c>
      <c r="O103" s="1" t="s">
        <v>74</v>
      </c>
      <c r="P103" s="1" t="s">
        <v>74</v>
      </c>
      <c r="Q103" s="1" t="s">
        <v>74</v>
      </c>
      <c r="R103" s="1" t="s">
        <v>74</v>
      </c>
      <c r="S103" s="1" t="s">
        <v>74</v>
      </c>
      <c r="T103" s="1" t="s">
        <v>74</v>
      </c>
      <c r="U103" s="1" t="s">
        <v>74</v>
      </c>
      <c r="V103" s="1" t="s">
        <v>1193</v>
      </c>
      <c r="W103" s="1" t="s">
        <v>74</v>
      </c>
      <c r="X103" s="1" t="s">
        <v>74</v>
      </c>
      <c r="Y103" s="1" t="s">
        <v>74</v>
      </c>
      <c r="Z103" s="1" t="s">
        <v>74</v>
      </c>
      <c r="AA103" s="1" t="s">
        <v>1194</v>
      </c>
      <c r="AB103" s="1" t="s">
        <v>1195</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1196</v>
      </c>
      <c r="AP103" s="1" t="s">
        <v>74</v>
      </c>
      <c r="AQ103" s="1" t="s">
        <v>74</v>
      </c>
      <c r="AR103" s="1" t="s">
        <v>74</v>
      </c>
      <c r="AS103" s="1" t="s">
        <v>74</v>
      </c>
      <c r="AT103" s="1" t="s">
        <v>374</v>
      </c>
      <c r="AU103" s="1">
        <v>2022.0</v>
      </c>
      <c r="AV103" s="1">
        <v>22.0</v>
      </c>
      <c r="AW103" s="1">
        <v>10.0</v>
      </c>
      <c r="AX103" s="1" t="s">
        <v>74</v>
      </c>
      <c r="AY103" s="1" t="s">
        <v>74</v>
      </c>
      <c r="AZ103" s="1" t="s">
        <v>74</v>
      </c>
      <c r="BA103" s="1" t="s">
        <v>74</v>
      </c>
      <c r="BB103" s="1" t="s">
        <v>74</v>
      </c>
      <c r="BC103" s="1" t="s">
        <v>74</v>
      </c>
      <c r="BD103" s="1">
        <v>2654.0</v>
      </c>
      <c r="BE103" s="1" t="s">
        <v>1197</v>
      </c>
      <c r="BF103" s="2" t="str">
        <f>HYPERLINK("http://dx.doi.org/10.5867/medwave.2022.10.2654","http://dx.doi.org/10.5867/medwave.2022.10.2654")</f>
        <v>http://dx.doi.org/10.5867/medwave.2022.10.2654</v>
      </c>
      <c r="BG103" s="1" t="s">
        <v>74</v>
      </c>
      <c r="BH103" s="1" t="s">
        <v>74</v>
      </c>
      <c r="BI103" s="1" t="s">
        <v>74</v>
      </c>
      <c r="BJ103" s="1" t="s">
        <v>74</v>
      </c>
      <c r="BK103" s="1" t="s">
        <v>74</v>
      </c>
      <c r="BL103" s="1" t="s">
        <v>74</v>
      </c>
      <c r="BM103" s="1" t="s">
        <v>74</v>
      </c>
      <c r="BN103" s="1">
        <v>3.644602E7</v>
      </c>
      <c r="BO103" s="1" t="s">
        <v>74</v>
      </c>
      <c r="BP103" s="1" t="s">
        <v>74</v>
      </c>
      <c r="BQ103" s="1" t="s">
        <v>74</v>
      </c>
      <c r="BR103" s="1" t="s">
        <v>74</v>
      </c>
      <c r="BS103" s="1" t="s">
        <v>1198</v>
      </c>
      <c r="BT103" s="1" t="str">
        <f>HYPERLINK("https%3A%2F%2Fwww.webofscience.com%2Fwos%2Fwoscc%2Ffull-record%2FWOS:000916051200001","View Full Record in Web of Science")</f>
        <v>View Full Record in Web of Science</v>
      </c>
    </row>
    <row r="104" ht="12.75" customHeight="1">
      <c r="A104" s="1" t="s">
        <v>72</v>
      </c>
      <c r="B104" s="1" t="s">
        <v>1199</v>
      </c>
      <c r="C104" s="1" t="s">
        <v>74</v>
      </c>
      <c r="D104" s="1" t="s">
        <v>74</v>
      </c>
      <c r="E104" s="1" t="s">
        <v>74</v>
      </c>
      <c r="F104" s="1" t="s">
        <v>1200</v>
      </c>
      <c r="G104" s="1" t="s">
        <v>74</v>
      </c>
      <c r="H104" s="1" t="s">
        <v>74</v>
      </c>
      <c r="I104" s="1" t="s">
        <v>1201</v>
      </c>
      <c r="J104" s="1" t="s">
        <v>1202</v>
      </c>
      <c r="K104" s="1" t="s">
        <v>74</v>
      </c>
      <c r="L104" s="1" t="s">
        <v>74</v>
      </c>
      <c r="M104" s="1" t="s">
        <v>74</v>
      </c>
      <c r="N104" s="1" t="s">
        <v>74</v>
      </c>
      <c r="O104" s="1" t="s">
        <v>74</v>
      </c>
      <c r="P104" s="1" t="s">
        <v>74</v>
      </c>
      <c r="Q104" s="1" t="s">
        <v>74</v>
      </c>
      <c r="R104" s="1" t="s">
        <v>74</v>
      </c>
      <c r="S104" s="1" t="s">
        <v>74</v>
      </c>
      <c r="T104" s="1" t="s">
        <v>74</v>
      </c>
      <c r="U104" s="1" t="s">
        <v>74</v>
      </c>
      <c r="V104" s="1" t="s">
        <v>1203</v>
      </c>
      <c r="W104" s="1" t="s">
        <v>74</v>
      </c>
      <c r="X104" s="1" t="s">
        <v>74</v>
      </c>
      <c r="Y104" s="1" t="s">
        <v>74</v>
      </c>
      <c r="Z104" s="1" t="s">
        <v>74</v>
      </c>
      <c r="AA104" s="1" t="s">
        <v>1204</v>
      </c>
      <c r="AB104" s="1" t="s">
        <v>1205</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74</v>
      </c>
      <c r="AP104" s="1" t="s">
        <v>1206</v>
      </c>
      <c r="AQ104" s="1" t="s">
        <v>74</v>
      </c>
      <c r="AR104" s="1" t="s">
        <v>74</v>
      </c>
      <c r="AS104" s="1" t="s">
        <v>74</v>
      </c>
      <c r="AT104" s="1" t="s">
        <v>1207</v>
      </c>
      <c r="AU104" s="1">
        <v>2021.0</v>
      </c>
      <c r="AV104" s="1">
        <v>9.0</v>
      </c>
      <c r="AW104" s="1" t="s">
        <v>74</v>
      </c>
      <c r="AX104" s="1" t="s">
        <v>74</v>
      </c>
      <c r="AY104" s="1" t="s">
        <v>74</v>
      </c>
      <c r="AZ104" s="1" t="s">
        <v>74</v>
      </c>
      <c r="BA104" s="1" t="s">
        <v>74</v>
      </c>
      <c r="BB104" s="1" t="s">
        <v>74</v>
      </c>
      <c r="BC104" s="1" t="s">
        <v>74</v>
      </c>
      <c r="BD104" s="1">
        <v>751267.0</v>
      </c>
      <c r="BE104" s="1" t="s">
        <v>1208</v>
      </c>
      <c r="BF104" s="2" t="str">
        <f>HYPERLINK("http://dx.doi.org/10.3389/fenvs.2021.751267","http://dx.doi.org/10.3389/fenvs.2021.751267")</f>
        <v>http://dx.doi.org/10.3389/fenvs.2021.751267</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1209</v>
      </c>
      <c r="BT104" s="1" t="str">
        <f>HYPERLINK("https%3A%2F%2Fwww.webofscience.com%2Fwos%2Fwoscc%2Ffull-record%2FWOS:000726053500001","View Full Record in Web of Science")</f>
        <v>View Full Record in Web of Science</v>
      </c>
    </row>
    <row r="105" ht="12.75" customHeight="1">
      <c r="A105" s="1" t="s">
        <v>72</v>
      </c>
      <c r="B105" s="1" t="s">
        <v>1210</v>
      </c>
      <c r="C105" s="1" t="s">
        <v>74</v>
      </c>
      <c r="D105" s="1" t="s">
        <v>74</v>
      </c>
      <c r="E105" s="1" t="s">
        <v>74</v>
      </c>
      <c r="F105" s="1" t="s">
        <v>1211</v>
      </c>
      <c r="G105" s="1" t="s">
        <v>74</v>
      </c>
      <c r="H105" s="1" t="s">
        <v>74</v>
      </c>
      <c r="I105" s="1" t="s">
        <v>1212</v>
      </c>
      <c r="J105" s="1" t="s">
        <v>1213</v>
      </c>
      <c r="K105" s="1" t="s">
        <v>74</v>
      </c>
      <c r="L105" s="1" t="s">
        <v>74</v>
      </c>
      <c r="M105" s="1" t="s">
        <v>74</v>
      </c>
      <c r="N105" s="1" t="s">
        <v>74</v>
      </c>
      <c r="O105" s="1" t="s">
        <v>74</v>
      </c>
      <c r="P105" s="1" t="s">
        <v>74</v>
      </c>
      <c r="Q105" s="1" t="s">
        <v>74</v>
      </c>
      <c r="R105" s="1" t="s">
        <v>74</v>
      </c>
      <c r="S105" s="1" t="s">
        <v>74</v>
      </c>
      <c r="T105" s="1" t="s">
        <v>74</v>
      </c>
      <c r="U105" s="1" t="s">
        <v>74</v>
      </c>
      <c r="V105" s="1" t="s">
        <v>1214</v>
      </c>
      <c r="W105" s="1" t="s">
        <v>74</v>
      </c>
      <c r="X105" s="1" t="s">
        <v>74</v>
      </c>
      <c r="Y105" s="1" t="s">
        <v>74</v>
      </c>
      <c r="Z105" s="1" t="s">
        <v>74</v>
      </c>
      <c r="AA105" s="1" t="s">
        <v>74</v>
      </c>
      <c r="AB105" s="1" t="s">
        <v>1215</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1216</v>
      </c>
      <c r="AP105" s="1" t="s">
        <v>74</v>
      </c>
      <c r="AQ105" s="1" t="s">
        <v>74</v>
      </c>
      <c r="AR105" s="1" t="s">
        <v>74</v>
      </c>
      <c r="AS105" s="1" t="s">
        <v>74</v>
      </c>
      <c r="AT105" s="1" t="s">
        <v>282</v>
      </c>
      <c r="AU105" s="1">
        <v>2021.0</v>
      </c>
      <c r="AV105" s="1">
        <v>513.0</v>
      </c>
      <c r="AW105" s="1" t="s">
        <v>74</v>
      </c>
      <c r="AX105" s="1" t="s">
        <v>74</v>
      </c>
      <c r="AY105" s="1" t="s">
        <v>74</v>
      </c>
      <c r="AZ105" s="1" t="s">
        <v>74</v>
      </c>
      <c r="BA105" s="1" t="s">
        <v>74</v>
      </c>
      <c r="BB105" s="1" t="s">
        <v>74</v>
      </c>
      <c r="BC105" s="1" t="s">
        <v>74</v>
      </c>
      <c r="BD105" s="1">
        <v>111729.0</v>
      </c>
      <c r="BE105" s="1" t="s">
        <v>1217</v>
      </c>
      <c r="BF105" s="2" t="str">
        <f>HYPERLINK("http://dx.doi.org/10.1016/j.mcat.2021.111729","http://dx.doi.org/10.1016/j.mcat.2021.111729")</f>
        <v>http://dx.doi.org/10.1016/j.mcat.2021.111729</v>
      </c>
      <c r="BG105" s="1" t="s">
        <v>74</v>
      </c>
      <c r="BH105" s="1" t="s">
        <v>1218</v>
      </c>
      <c r="BI105" s="1" t="s">
        <v>74</v>
      </c>
      <c r="BJ105" s="1" t="s">
        <v>74</v>
      </c>
      <c r="BK105" s="1" t="s">
        <v>74</v>
      </c>
      <c r="BL105" s="1" t="s">
        <v>74</v>
      </c>
      <c r="BM105" s="1" t="s">
        <v>74</v>
      </c>
      <c r="BN105" s="1" t="s">
        <v>74</v>
      </c>
      <c r="BO105" s="1" t="s">
        <v>74</v>
      </c>
      <c r="BP105" s="1" t="s">
        <v>74</v>
      </c>
      <c r="BQ105" s="1" t="s">
        <v>74</v>
      </c>
      <c r="BR105" s="1" t="s">
        <v>74</v>
      </c>
      <c r="BS105" s="1" t="s">
        <v>1219</v>
      </c>
      <c r="BT105" s="1" t="str">
        <f>HYPERLINK("https%3A%2F%2Fwww.webofscience.com%2Fwos%2Fwoscc%2Ffull-record%2FWOS:000693563300010","View Full Record in Web of Science")</f>
        <v>View Full Record in Web of Science</v>
      </c>
    </row>
    <row r="106" ht="12.75" customHeight="1">
      <c r="A106" s="1" t="s">
        <v>72</v>
      </c>
      <c r="B106" s="1" t="s">
        <v>1220</v>
      </c>
      <c r="C106" s="1" t="s">
        <v>74</v>
      </c>
      <c r="D106" s="1" t="s">
        <v>74</v>
      </c>
      <c r="E106" s="1" t="s">
        <v>74</v>
      </c>
      <c r="F106" s="1" t="s">
        <v>1221</v>
      </c>
      <c r="G106" s="1" t="s">
        <v>74</v>
      </c>
      <c r="H106" s="1" t="s">
        <v>74</v>
      </c>
      <c r="I106" s="1" t="s">
        <v>1222</v>
      </c>
      <c r="J106" s="1" t="s">
        <v>1223</v>
      </c>
      <c r="K106" s="1" t="s">
        <v>74</v>
      </c>
      <c r="L106" s="1" t="s">
        <v>74</v>
      </c>
      <c r="M106" s="1" t="s">
        <v>74</v>
      </c>
      <c r="N106" s="1" t="s">
        <v>74</v>
      </c>
      <c r="O106" s="1" t="s">
        <v>74</v>
      </c>
      <c r="P106" s="1" t="s">
        <v>74</v>
      </c>
      <c r="Q106" s="1" t="s">
        <v>74</v>
      </c>
      <c r="R106" s="1" t="s">
        <v>74</v>
      </c>
      <c r="S106" s="1" t="s">
        <v>74</v>
      </c>
      <c r="T106" s="1" t="s">
        <v>74</v>
      </c>
      <c r="U106" s="1" t="s">
        <v>74</v>
      </c>
      <c r="V106" s="1" t="s">
        <v>1224</v>
      </c>
      <c r="W106" s="1" t="s">
        <v>74</v>
      </c>
      <c r="X106" s="1" t="s">
        <v>74</v>
      </c>
      <c r="Y106" s="1" t="s">
        <v>74</v>
      </c>
      <c r="Z106" s="1" t="s">
        <v>74</v>
      </c>
      <c r="AA106" s="1" t="s">
        <v>74</v>
      </c>
      <c r="AB106" s="1" t="s">
        <v>74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1225</v>
      </c>
      <c r="AP106" s="1" t="s">
        <v>1226</v>
      </c>
      <c r="AQ106" s="1" t="s">
        <v>74</v>
      </c>
      <c r="AR106" s="1" t="s">
        <v>74</v>
      </c>
      <c r="AS106" s="1" t="s">
        <v>74</v>
      </c>
      <c r="AT106" s="1" t="s">
        <v>1227</v>
      </c>
      <c r="AU106" s="1">
        <v>2021.0</v>
      </c>
      <c r="AV106" s="1">
        <v>42.0</v>
      </c>
      <c r="AW106" s="1">
        <v>6.0</v>
      </c>
      <c r="AX106" s="1" t="s">
        <v>74</v>
      </c>
      <c r="AY106" s="1" t="s">
        <v>74</v>
      </c>
      <c r="AZ106" s="1" t="s">
        <v>74</v>
      </c>
      <c r="BA106" s="1" t="s">
        <v>74</v>
      </c>
      <c r="BB106" s="1" t="s">
        <v>74</v>
      </c>
      <c r="BC106" s="1" t="s">
        <v>74</v>
      </c>
      <c r="BD106" s="1">
        <v>103090.0</v>
      </c>
      <c r="BE106" s="1" t="s">
        <v>1228</v>
      </c>
      <c r="BF106" s="2" t="str">
        <f>HYPERLINK("http://dx.doi.org/10.1016/j.amjoto.2021.103090","http://dx.doi.org/10.1016/j.amjoto.2021.103090")</f>
        <v>http://dx.doi.org/10.1016/j.amjoto.2021.103090</v>
      </c>
      <c r="BG106" s="1" t="s">
        <v>74</v>
      </c>
      <c r="BH106" s="1" t="s">
        <v>1229</v>
      </c>
      <c r="BI106" s="1" t="s">
        <v>74</v>
      </c>
      <c r="BJ106" s="1" t="s">
        <v>74</v>
      </c>
      <c r="BK106" s="1" t="s">
        <v>74</v>
      </c>
      <c r="BL106" s="1" t="s">
        <v>74</v>
      </c>
      <c r="BM106" s="1" t="s">
        <v>74</v>
      </c>
      <c r="BN106" s="1">
        <v>3.4098456E7</v>
      </c>
      <c r="BO106" s="1" t="s">
        <v>74</v>
      </c>
      <c r="BP106" s="1" t="s">
        <v>74</v>
      </c>
      <c r="BQ106" s="1" t="s">
        <v>74</v>
      </c>
      <c r="BR106" s="1" t="s">
        <v>74</v>
      </c>
      <c r="BS106" s="1" t="s">
        <v>1230</v>
      </c>
      <c r="BT106" s="1" t="str">
        <f>HYPERLINK("https%3A%2F%2Fwww.webofscience.com%2Fwos%2Fwoscc%2Ffull-record%2FWOS:000705830300037","View Full Record in Web of Science")</f>
        <v>View Full Record in Web of Science</v>
      </c>
    </row>
    <row r="107" ht="12.75" customHeight="1">
      <c r="A107" s="1" t="s">
        <v>72</v>
      </c>
      <c r="B107" s="1" t="s">
        <v>1231</v>
      </c>
      <c r="C107" s="1" t="s">
        <v>74</v>
      </c>
      <c r="D107" s="1" t="s">
        <v>74</v>
      </c>
      <c r="E107" s="1" t="s">
        <v>74</v>
      </c>
      <c r="F107" s="1" t="s">
        <v>1232</v>
      </c>
      <c r="G107" s="1" t="s">
        <v>74</v>
      </c>
      <c r="H107" s="1" t="s">
        <v>74</v>
      </c>
      <c r="I107" s="1" t="s">
        <v>1233</v>
      </c>
      <c r="J107" s="1" t="s">
        <v>1234</v>
      </c>
      <c r="K107" s="1" t="s">
        <v>74</v>
      </c>
      <c r="L107" s="1" t="s">
        <v>74</v>
      </c>
      <c r="M107" s="1" t="s">
        <v>74</v>
      </c>
      <c r="N107" s="1" t="s">
        <v>74</v>
      </c>
      <c r="O107" s="1" t="s">
        <v>74</v>
      </c>
      <c r="P107" s="1" t="s">
        <v>74</v>
      </c>
      <c r="Q107" s="1" t="s">
        <v>74</v>
      </c>
      <c r="R107" s="1" t="s">
        <v>74</v>
      </c>
      <c r="S107" s="1" t="s">
        <v>74</v>
      </c>
      <c r="T107" s="1" t="s">
        <v>74</v>
      </c>
      <c r="U107" s="1" t="s">
        <v>74</v>
      </c>
      <c r="V107" s="1" t="s">
        <v>74</v>
      </c>
      <c r="W107" s="1" t="s">
        <v>74</v>
      </c>
      <c r="X107" s="1" t="s">
        <v>74</v>
      </c>
      <c r="Y107" s="1" t="s">
        <v>74</v>
      </c>
      <c r="Z107" s="1" t="s">
        <v>74</v>
      </c>
      <c r="AA107" s="1" t="s">
        <v>1235</v>
      </c>
      <c r="AB107" s="1" t="s">
        <v>1236</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1237</v>
      </c>
      <c r="AP107" s="1" t="s">
        <v>74</v>
      </c>
      <c r="AQ107" s="1" t="s">
        <v>74</v>
      </c>
      <c r="AR107" s="1" t="s">
        <v>74</v>
      </c>
      <c r="AS107" s="1" t="s">
        <v>74</v>
      </c>
      <c r="AT107" s="1" t="s">
        <v>1238</v>
      </c>
      <c r="AU107" s="1">
        <v>2021.0</v>
      </c>
      <c r="AV107" s="1">
        <v>4.0</v>
      </c>
      <c r="AW107" s="1">
        <v>3.0</v>
      </c>
      <c r="AX107" s="1" t="s">
        <v>74</v>
      </c>
      <c r="AY107" s="1" t="s">
        <v>74</v>
      </c>
      <c r="AZ107" s="1" t="s">
        <v>74</v>
      </c>
      <c r="BA107" s="1" t="s">
        <v>74</v>
      </c>
      <c r="BB107" s="1" t="s">
        <v>74</v>
      </c>
      <c r="BC107" s="1" t="s">
        <v>74</v>
      </c>
      <c r="BD107" s="1" t="s">
        <v>1239</v>
      </c>
      <c r="BE107" s="1" t="s">
        <v>1240</v>
      </c>
      <c r="BF107" s="2" t="str">
        <f>HYPERLINK("http://dx.doi.org/10.1001/jamanetworkopen.2021.0799","http://dx.doi.org/10.1001/jamanetworkopen.2021.0799")</f>
        <v>http://dx.doi.org/10.1001/jamanetworkopen.2021.0799</v>
      </c>
      <c r="BG107" s="1" t="s">
        <v>74</v>
      </c>
      <c r="BH107" s="1" t="s">
        <v>74</v>
      </c>
      <c r="BI107" s="1" t="s">
        <v>74</v>
      </c>
      <c r="BJ107" s="1" t="s">
        <v>74</v>
      </c>
      <c r="BK107" s="1" t="s">
        <v>74</v>
      </c>
      <c r="BL107" s="1" t="s">
        <v>74</v>
      </c>
      <c r="BM107" s="1" t="s">
        <v>74</v>
      </c>
      <c r="BN107" s="1">
        <v>3.368333E7</v>
      </c>
      <c r="BO107" s="1" t="s">
        <v>74</v>
      </c>
      <c r="BP107" s="1" t="s">
        <v>74</v>
      </c>
      <c r="BQ107" s="1" t="s">
        <v>74</v>
      </c>
      <c r="BR107" s="1" t="s">
        <v>74</v>
      </c>
      <c r="BS107" s="1" t="s">
        <v>1241</v>
      </c>
      <c r="BT107" s="1" t="str">
        <f>HYPERLINK("https%3A%2F%2Fwww.webofscience.com%2Fwos%2Fwoscc%2Ffull-record%2FWOS:000627897000001","View Full Record in Web of Science")</f>
        <v>View Full Record in Web of Science</v>
      </c>
    </row>
    <row r="108" ht="12.75" customHeight="1">
      <c r="A108" s="1" t="s">
        <v>72</v>
      </c>
      <c r="B108" s="1" t="s">
        <v>1242</v>
      </c>
      <c r="C108" s="1" t="s">
        <v>74</v>
      </c>
      <c r="D108" s="1" t="s">
        <v>74</v>
      </c>
      <c r="E108" s="1" t="s">
        <v>74</v>
      </c>
      <c r="F108" s="1" t="s">
        <v>1243</v>
      </c>
      <c r="G108" s="1" t="s">
        <v>74</v>
      </c>
      <c r="H108" s="1" t="s">
        <v>74</v>
      </c>
      <c r="I108" s="1" t="s">
        <v>1244</v>
      </c>
      <c r="J108" s="1" t="s">
        <v>1245</v>
      </c>
      <c r="K108" s="1" t="s">
        <v>74</v>
      </c>
      <c r="L108" s="1" t="s">
        <v>74</v>
      </c>
      <c r="M108" s="1" t="s">
        <v>74</v>
      </c>
      <c r="N108" s="1" t="s">
        <v>74</v>
      </c>
      <c r="O108" s="1" t="s">
        <v>74</v>
      </c>
      <c r="P108" s="1" t="s">
        <v>74</v>
      </c>
      <c r="Q108" s="1" t="s">
        <v>74</v>
      </c>
      <c r="R108" s="1" t="s">
        <v>74</v>
      </c>
      <c r="S108" s="1" t="s">
        <v>74</v>
      </c>
      <c r="T108" s="1" t="s">
        <v>74</v>
      </c>
      <c r="U108" s="1" t="s">
        <v>74</v>
      </c>
      <c r="V108" s="1" t="s">
        <v>1246</v>
      </c>
      <c r="W108" s="1" t="s">
        <v>74</v>
      </c>
      <c r="X108" s="1" t="s">
        <v>74</v>
      </c>
      <c r="Y108" s="1" t="s">
        <v>74</v>
      </c>
      <c r="Z108" s="1" t="s">
        <v>74</v>
      </c>
      <c r="AA108" s="1" t="s">
        <v>1247</v>
      </c>
      <c r="AB108" s="1" t="s">
        <v>74</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1248</v>
      </c>
      <c r="AP108" s="1" t="s">
        <v>1249</v>
      </c>
      <c r="AQ108" s="1" t="s">
        <v>74</v>
      </c>
      <c r="AR108" s="1" t="s">
        <v>74</v>
      </c>
      <c r="AS108" s="1" t="s">
        <v>74</v>
      </c>
      <c r="AT108" s="1" t="s">
        <v>74</v>
      </c>
      <c r="AU108" s="1">
        <v>2021.0</v>
      </c>
      <c r="AV108" s="1">
        <v>23.0</v>
      </c>
      <c r="AW108" s="1" t="s">
        <v>74</v>
      </c>
      <c r="AX108" s="1" t="s">
        <v>74</v>
      </c>
      <c r="AY108" s="1" t="s">
        <v>74</v>
      </c>
      <c r="AZ108" s="1" t="s">
        <v>74</v>
      </c>
      <c r="BA108" s="1" t="s">
        <v>74</v>
      </c>
      <c r="BB108" s="1">
        <v>199.0</v>
      </c>
      <c r="BC108" s="1">
        <v>217.0</v>
      </c>
      <c r="BD108" s="1" t="s">
        <v>74</v>
      </c>
      <c r="BE108" s="1" t="s">
        <v>1250</v>
      </c>
      <c r="BF108" s="2" t="str">
        <f>HYPERLINK("http://dx.doi.org/10.24197/aefd.0.2021.199-217","http://dx.doi.org/10.24197/aefd.0.2021.199-217")</f>
        <v>http://dx.doi.org/10.24197/aefd.0.2021.199-217</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1251</v>
      </c>
      <c r="BT108" s="1" t="str">
        <f>HYPERLINK("https%3A%2F%2Fwww.webofscience.com%2Fwos%2Fwoscc%2Ffull-record%2FWOS:000733242800011","View Full Record in Web of Science")</f>
        <v>View Full Record in Web of Science</v>
      </c>
    </row>
    <row r="109" ht="12.75" customHeight="1">
      <c r="A109" s="1" t="s">
        <v>72</v>
      </c>
      <c r="B109" s="1" t="s">
        <v>1252</v>
      </c>
      <c r="C109" s="1" t="s">
        <v>74</v>
      </c>
      <c r="D109" s="1" t="s">
        <v>74</v>
      </c>
      <c r="E109" s="1" t="s">
        <v>74</v>
      </c>
      <c r="F109" s="1" t="s">
        <v>1253</v>
      </c>
      <c r="G109" s="1" t="s">
        <v>74</v>
      </c>
      <c r="H109" s="1" t="s">
        <v>74</v>
      </c>
      <c r="I109" s="1" t="s">
        <v>1254</v>
      </c>
      <c r="J109" s="1" t="s">
        <v>541</v>
      </c>
      <c r="K109" s="1" t="s">
        <v>74</v>
      </c>
      <c r="L109" s="1" t="s">
        <v>74</v>
      </c>
      <c r="M109" s="1" t="s">
        <v>74</v>
      </c>
      <c r="N109" s="1" t="s">
        <v>74</v>
      </c>
      <c r="O109" s="1" t="s">
        <v>74</v>
      </c>
      <c r="P109" s="1" t="s">
        <v>74</v>
      </c>
      <c r="Q109" s="1" t="s">
        <v>74</v>
      </c>
      <c r="R109" s="1" t="s">
        <v>74</v>
      </c>
      <c r="S109" s="1" t="s">
        <v>74</v>
      </c>
      <c r="T109" s="1" t="s">
        <v>74</v>
      </c>
      <c r="U109" s="1" t="s">
        <v>74</v>
      </c>
      <c r="V109" s="1" t="s">
        <v>1255</v>
      </c>
      <c r="W109" s="1" t="s">
        <v>74</v>
      </c>
      <c r="X109" s="1" t="s">
        <v>74</v>
      </c>
      <c r="Y109" s="1" t="s">
        <v>74</v>
      </c>
      <c r="Z109" s="1" t="s">
        <v>74</v>
      </c>
      <c r="AA109" s="1" t="s">
        <v>1256</v>
      </c>
      <c r="AB109" s="1" t="s">
        <v>1257</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545</v>
      </c>
      <c r="AP109" s="1" t="s">
        <v>546</v>
      </c>
      <c r="AQ109" s="1" t="s">
        <v>74</v>
      </c>
      <c r="AR109" s="1" t="s">
        <v>74</v>
      </c>
      <c r="AS109" s="1" t="s">
        <v>74</v>
      </c>
      <c r="AT109" s="1" t="s">
        <v>1258</v>
      </c>
      <c r="AU109" s="1">
        <v>2020.0</v>
      </c>
      <c r="AV109" s="1">
        <v>164.0</v>
      </c>
      <c r="AW109" s="1" t="s">
        <v>74</v>
      </c>
      <c r="AX109" s="1" t="s">
        <v>74</v>
      </c>
      <c r="AY109" s="1" t="s">
        <v>74</v>
      </c>
      <c r="AZ109" s="1" t="s">
        <v>74</v>
      </c>
      <c r="BA109" s="1" t="s">
        <v>74</v>
      </c>
      <c r="BB109" s="1">
        <v>2813.0</v>
      </c>
      <c r="BC109" s="1">
        <v>2817.0</v>
      </c>
      <c r="BD109" s="1" t="s">
        <v>74</v>
      </c>
      <c r="BE109" s="1" t="s">
        <v>1259</v>
      </c>
      <c r="BF109" s="2" t="str">
        <f>HYPERLINK("http://dx.doi.org/10.1016/j.ijbiomac.2020.08.184","http://dx.doi.org/10.1016/j.ijbiomac.2020.08.184")</f>
        <v>http://dx.doi.org/10.1016/j.ijbiomac.2020.08.184</v>
      </c>
      <c r="BG109" s="1" t="s">
        <v>74</v>
      </c>
      <c r="BH109" s="1" t="s">
        <v>74</v>
      </c>
      <c r="BI109" s="1" t="s">
        <v>74</v>
      </c>
      <c r="BJ109" s="1" t="s">
        <v>74</v>
      </c>
      <c r="BK109" s="1" t="s">
        <v>74</v>
      </c>
      <c r="BL109" s="1" t="s">
        <v>74</v>
      </c>
      <c r="BM109" s="1" t="s">
        <v>74</v>
      </c>
      <c r="BN109" s="1">
        <v>3.2853612E7</v>
      </c>
      <c r="BO109" s="1" t="s">
        <v>74</v>
      </c>
      <c r="BP109" s="1" t="s">
        <v>74</v>
      </c>
      <c r="BQ109" s="1" t="s">
        <v>74</v>
      </c>
      <c r="BR109" s="1" t="s">
        <v>74</v>
      </c>
      <c r="BS109" s="1" t="s">
        <v>1260</v>
      </c>
      <c r="BT109" s="1" t="str">
        <f>HYPERLINK("https%3A%2F%2Fwww.webofscience.com%2Fwos%2Fwoscc%2Ffull-record%2FWOS:000588093700264","View Full Record in Web of Science")</f>
        <v>View Full Record in Web of Science</v>
      </c>
    </row>
    <row r="110" ht="12.75" customHeight="1">
      <c r="A110" s="1" t="s">
        <v>72</v>
      </c>
      <c r="B110" s="1" t="s">
        <v>1261</v>
      </c>
      <c r="C110" s="1" t="s">
        <v>74</v>
      </c>
      <c r="D110" s="1" t="s">
        <v>74</v>
      </c>
      <c r="E110" s="1" t="s">
        <v>74</v>
      </c>
      <c r="F110" s="1" t="s">
        <v>1262</v>
      </c>
      <c r="G110" s="1" t="s">
        <v>74</v>
      </c>
      <c r="H110" s="1" t="s">
        <v>74</v>
      </c>
      <c r="I110" s="1" t="s">
        <v>1263</v>
      </c>
      <c r="J110" s="1" t="s">
        <v>1264</v>
      </c>
      <c r="K110" s="1" t="s">
        <v>74</v>
      </c>
      <c r="L110" s="1" t="s">
        <v>74</v>
      </c>
      <c r="M110" s="1" t="s">
        <v>74</v>
      </c>
      <c r="N110" s="1" t="s">
        <v>74</v>
      </c>
      <c r="O110" s="1" t="s">
        <v>74</v>
      </c>
      <c r="P110" s="1" t="s">
        <v>74</v>
      </c>
      <c r="Q110" s="1" t="s">
        <v>74</v>
      </c>
      <c r="R110" s="1" t="s">
        <v>74</v>
      </c>
      <c r="S110" s="1" t="s">
        <v>74</v>
      </c>
      <c r="T110" s="1" t="s">
        <v>74</v>
      </c>
      <c r="U110" s="1" t="s">
        <v>74</v>
      </c>
      <c r="V110" s="1" t="s">
        <v>1265</v>
      </c>
      <c r="W110" s="1" t="s">
        <v>74</v>
      </c>
      <c r="X110" s="1" t="s">
        <v>74</v>
      </c>
      <c r="Y110" s="1" t="s">
        <v>74</v>
      </c>
      <c r="Z110" s="1" t="s">
        <v>74</v>
      </c>
      <c r="AA110" s="1" t="s">
        <v>1266</v>
      </c>
      <c r="AB110" s="1" t="s">
        <v>1267</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74</v>
      </c>
      <c r="AP110" s="1" t="s">
        <v>1268</v>
      </c>
      <c r="AQ110" s="1" t="s">
        <v>74</v>
      </c>
      <c r="AR110" s="1" t="s">
        <v>74</v>
      </c>
      <c r="AS110" s="1" t="s">
        <v>74</v>
      </c>
      <c r="AT110" s="1" t="s">
        <v>94</v>
      </c>
      <c r="AU110" s="1">
        <v>2020.0</v>
      </c>
      <c r="AV110" s="1">
        <v>10.0</v>
      </c>
      <c r="AW110" s="1">
        <v>6.0</v>
      </c>
      <c r="AX110" s="1" t="s">
        <v>74</v>
      </c>
      <c r="AY110" s="1" t="s">
        <v>74</v>
      </c>
      <c r="AZ110" s="1" t="s">
        <v>74</v>
      </c>
      <c r="BA110" s="1" t="s">
        <v>74</v>
      </c>
      <c r="BB110" s="1" t="s">
        <v>74</v>
      </c>
      <c r="BC110" s="1" t="s">
        <v>74</v>
      </c>
      <c r="BD110" s="1">
        <v>1194.0</v>
      </c>
      <c r="BE110" s="1" t="s">
        <v>1269</v>
      </c>
      <c r="BF110" s="2" t="str">
        <f>HYPERLINK("http://dx.doi.org/10.3390/nano10061194","http://dx.doi.org/10.3390/nano10061194")</f>
        <v>http://dx.doi.org/10.3390/nano10061194</v>
      </c>
      <c r="BG110" s="1" t="s">
        <v>74</v>
      </c>
      <c r="BH110" s="1" t="s">
        <v>74</v>
      </c>
      <c r="BI110" s="1" t="s">
        <v>74</v>
      </c>
      <c r="BJ110" s="1" t="s">
        <v>74</v>
      </c>
      <c r="BK110" s="1" t="s">
        <v>74</v>
      </c>
      <c r="BL110" s="1" t="s">
        <v>74</v>
      </c>
      <c r="BM110" s="1" t="s">
        <v>74</v>
      </c>
      <c r="BN110" s="1">
        <v>3.2575349E7</v>
      </c>
      <c r="BO110" s="1" t="s">
        <v>74</v>
      </c>
      <c r="BP110" s="1" t="s">
        <v>74</v>
      </c>
      <c r="BQ110" s="1" t="s">
        <v>74</v>
      </c>
      <c r="BR110" s="1" t="s">
        <v>74</v>
      </c>
      <c r="BS110" s="1" t="s">
        <v>1270</v>
      </c>
      <c r="BT110" s="1" t="str">
        <f>HYPERLINK("https%3A%2F%2Fwww.webofscience.com%2Fwos%2Fwoscc%2Ffull-record%2FWOS:000551676400001","View Full Record in Web of Science")</f>
        <v>View Full Record in Web of Science</v>
      </c>
    </row>
    <row r="111" ht="12.75" customHeight="1">
      <c r="A111" s="1" t="s">
        <v>72</v>
      </c>
      <c r="B111" s="1" t="s">
        <v>1271</v>
      </c>
      <c r="C111" s="1" t="s">
        <v>74</v>
      </c>
      <c r="D111" s="1" t="s">
        <v>74</v>
      </c>
      <c r="E111" s="1" t="s">
        <v>74</v>
      </c>
      <c r="F111" s="1" t="s">
        <v>1272</v>
      </c>
      <c r="G111" s="1" t="s">
        <v>74</v>
      </c>
      <c r="H111" s="1" t="s">
        <v>74</v>
      </c>
      <c r="I111" s="1" t="s">
        <v>1273</v>
      </c>
      <c r="J111" s="1" t="s">
        <v>1274</v>
      </c>
      <c r="K111" s="1" t="s">
        <v>74</v>
      </c>
      <c r="L111" s="1" t="s">
        <v>74</v>
      </c>
      <c r="M111" s="1" t="s">
        <v>74</v>
      </c>
      <c r="N111" s="1" t="s">
        <v>74</v>
      </c>
      <c r="O111" s="1" t="s">
        <v>74</v>
      </c>
      <c r="P111" s="1" t="s">
        <v>74</v>
      </c>
      <c r="Q111" s="1" t="s">
        <v>74</v>
      </c>
      <c r="R111" s="1" t="s">
        <v>74</v>
      </c>
      <c r="S111" s="1" t="s">
        <v>74</v>
      </c>
      <c r="T111" s="1" t="s">
        <v>74</v>
      </c>
      <c r="U111" s="1" t="s">
        <v>74</v>
      </c>
      <c r="V111" s="1" t="s">
        <v>1275</v>
      </c>
      <c r="W111" s="1" t="s">
        <v>74</v>
      </c>
      <c r="X111" s="1" t="s">
        <v>74</v>
      </c>
      <c r="Y111" s="1" t="s">
        <v>74</v>
      </c>
      <c r="Z111" s="1" t="s">
        <v>74</v>
      </c>
      <c r="AA111" s="1" t="s">
        <v>1276</v>
      </c>
      <c r="AB111" s="1" t="s">
        <v>1277</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74</v>
      </c>
      <c r="AP111" s="1" t="s">
        <v>1278</v>
      </c>
      <c r="AQ111" s="1" t="s">
        <v>74</v>
      </c>
      <c r="AR111" s="1" t="s">
        <v>74</v>
      </c>
      <c r="AS111" s="1" t="s">
        <v>74</v>
      </c>
      <c r="AT111" s="1" t="s">
        <v>1279</v>
      </c>
      <c r="AU111" s="1">
        <v>2020.0</v>
      </c>
      <c r="AV111" s="1">
        <v>8.0</v>
      </c>
      <c r="AW111" s="1">
        <v>2.0</v>
      </c>
      <c r="AX111" s="1" t="s">
        <v>74</v>
      </c>
      <c r="AY111" s="1" t="s">
        <v>74</v>
      </c>
      <c r="AZ111" s="1" t="s">
        <v>74</v>
      </c>
      <c r="BA111" s="1" t="s">
        <v>74</v>
      </c>
      <c r="BB111" s="1" t="s">
        <v>74</v>
      </c>
      <c r="BC111" s="1" t="s">
        <v>74</v>
      </c>
      <c r="BD111" s="1">
        <v>103540.0</v>
      </c>
      <c r="BE111" s="1" t="s">
        <v>1280</v>
      </c>
      <c r="BF111" s="2" t="str">
        <f>HYPERLINK("http://dx.doi.org/10.1016/j.jece.2019.103540","http://dx.doi.org/10.1016/j.jece.2019.103540")</f>
        <v>http://dx.doi.org/10.1016/j.jece.2019.103540</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1281</v>
      </c>
      <c r="BT111" s="1" t="str">
        <f>HYPERLINK("https%3A%2F%2Fwww.webofscience.com%2Fwos%2Fwoscc%2Ffull-record%2FWOS:000524743700029","View Full Record in Web of Science")</f>
        <v>View Full Record in Web of Science</v>
      </c>
    </row>
    <row r="112" ht="12.75" customHeight="1">
      <c r="A112" s="1" t="s">
        <v>72</v>
      </c>
      <c r="B112" s="1" t="s">
        <v>1282</v>
      </c>
      <c r="C112" s="1" t="s">
        <v>74</v>
      </c>
      <c r="D112" s="1" t="s">
        <v>74</v>
      </c>
      <c r="E112" s="1" t="s">
        <v>74</v>
      </c>
      <c r="F112" s="1" t="s">
        <v>1283</v>
      </c>
      <c r="G112" s="1" t="s">
        <v>74</v>
      </c>
      <c r="H112" s="1" t="s">
        <v>74</v>
      </c>
      <c r="I112" s="1" t="s">
        <v>1284</v>
      </c>
      <c r="J112" s="1" t="s">
        <v>1285</v>
      </c>
      <c r="K112" s="1" t="s">
        <v>74</v>
      </c>
      <c r="L112" s="1" t="s">
        <v>74</v>
      </c>
      <c r="M112" s="1" t="s">
        <v>74</v>
      </c>
      <c r="N112" s="1" t="s">
        <v>74</v>
      </c>
      <c r="O112" s="1" t="s">
        <v>74</v>
      </c>
      <c r="P112" s="1" t="s">
        <v>74</v>
      </c>
      <c r="Q112" s="1" t="s">
        <v>74</v>
      </c>
      <c r="R112" s="1" t="s">
        <v>74</v>
      </c>
      <c r="S112" s="1" t="s">
        <v>74</v>
      </c>
      <c r="T112" s="1" t="s">
        <v>74</v>
      </c>
      <c r="U112" s="1" t="s">
        <v>74</v>
      </c>
      <c r="V112" s="1" t="s">
        <v>1286</v>
      </c>
      <c r="W112" s="1" t="s">
        <v>74</v>
      </c>
      <c r="X112" s="1" t="s">
        <v>74</v>
      </c>
      <c r="Y112" s="1" t="s">
        <v>74</v>
      </c>
      <c r="Z112" s="1" t="s">
        <v>74</v>
      </c>
      <c r="AA112" s="1" t="s">
        <v>1287</v>
      </c>
      <c r="AB112" s="1" t="s">
        <v>1288</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1289</v>
      </c>
      <c r="AP112" s="1" t="s">
        <v>1290</v>
      </c>
      <c r="AQ112" s="1" t="s">
        <v>74</v>
      </c>
      <c r="AR112" s="1" t="s">
        <v>74</v>
      </c>
      <c r="AS112" s="1" t="s">
        <v>74</v>
      </c>
      <c r="AT112" s="1" t="s">
        <v>1291</v>
      </c>
      <c r="AU112" s="1">
        <v>2020.0</v>
      </c>
      <c r="AV112" s="1">
        <v>32.0</v>
      </c>
      <c r="AW112" s="1">
        <v>1.0</v>
      </c>
      <c r="AX112" s="1" t="s">
        <v>74</v>
      </c>
      <c r="AY112" s="1" t="s">
        <v>74</v>
      </c>
      <c r="AZ112" s="1" t="s">
        <v>74</v>
      </c>
      <c r="BA112" s="1" t="s">
        <v>74</v>
      </c>
      <c r="BB112" s="1">
        <v>83.0</v>
      </c>
      <c r="BC112" s="1">
        <v>99.0</v>
      </c>
      <c r="BD112" s="1" t="s">
        <v>74</v>
      </c>
      <c r="BE112" s="1" t="s">
        <v>1292</v>
      </c>
      <c r="BF112" s="2" t="str">
        <f>HYPERLINK("http://dx.doi.org/10.1080/08959420.2019.1685356","http://dx.doi.org/10.1080/08959420.2019.1685356")</f>
        <v>http://dx.doi.org/10.1080/08959420.2019.1685356</v>
      </c>
      <c r="BG112" s="1" t="s">
        <v>74</v>
      </c>
      <c r="BH112" s="1" t="s">
        <v>74</v>
      </c>
      <c r="BI112" s="1" t="s">
        <v>74</v>
      </c>
      <c r="BJ112" s="1" t="s">
        <v>74</v>
      </c>
      <c r="BK112" s="1" t="s">
        <v>74</v>
      </c>
      <c r="BL112" s="1" t="s">
        <v>74</v>
      </c>
      <c r="BM112" s="1" t="s">
        <v>74</v>
      </c>
      <c r="BN112" s="1">
        <v>3.1665976E7</v>
      </c>
      <c r="BO112" s="1" t="s">
        <v>74</v>
      </c>
      <c r="BP112" s="1" t="s">
        <v>74</v>
      </c>
      <c r="BQ112" s="1" t="s">
        <v>74</v>
      </c>
      <c r="BR112" s="1" t="s">
        <v>74</v>
      </c>
      <c r="BS112" s="1" t="s">
        <v>1293</v>
      </c>
      <c r="BT112" s="1" t="str">
        <f>HYPERLINK("https%3A%2F%2Fwww.webofscience.com%2Fwos%2Fwoscc%2Ffull-record%2FWOS:000505218300005","View Full Record in Web of Science")</f>
        <v>View Full Record in Web of Science</v>
      </c>
    </row>
    <row r="113" ht="12.75" customHeight="1">
      <c r="A113" s="1" t="s">
        <v>72</v>
      </c>
      <c r="B113" s="1" t="s">
        <v>1294</v>
      </c>
      <c r="C113" s="1" t="s">
        <v>74</v>
      </c>
      <c r="D113" s="1" t="s">
        <v>74</v>
      </c>
      <c r="E113" s="1" t="s">
        <v>74</v>
      </c>
      <c r="F113" s="1" t="s">
        <v>1295</v>
      </c>
      <c r="G113" s="1" t="s">
        <v>74</v>
      </c>
      <c r="H113" s="1" t="s">
        <v>74</v>
      </c>
      <c r="I113" s="1" t="s">
        <v>1296</v>
      </c>
      <c r="J113" s="1" t="s">
        <v>1297</v>
      </c>
      <c r="K113" s="1" t="s">
        <v>74</v>
      </c>
      <c r="L113" s="1" t="s">
        <v>74</v>
      </c>
      <c r="M113" s="1" t="s">
        <v>74</v>
      </c>
      <c r="N113" s="1" t="s">
        <v>74</v>
      </c>
      <c r="O113" s="1" t="s">
        <v>74</v>
      </c>
      <c r="P113" s="1" t="s">
        <v>74</v>
      </c>
      <c r="Q113" s="1" t="s">
        <v>74</v>
      </c>
      <c r="R113" s="1" t="s">
        <v>74</v>
      </c>
      <c r="S113" s="1" t="s">
        <v>74</v>
      </c>
      <c r="T113" s="1" t="s">
        <v>74</v>
      </c>
      <c r="U113" s="1" t="s">
        <v>74</v>
      </c>
      <c r="V113" s="1" t="s">
        <v>1298</v>
      </c>
      <c r="W113" s="1" t="s">
        <v>74</v>
      </c>
      <c r="X113" s="1" t="s">
        <v>74</v>
      </c>
      <c r="Y113" s="1" t="s">
        <v>74</v>
      </c>
      <c r="Z113" s="1" t="s">
        <v>74</v>
      </c>
      <c r="AA113" s="1" t="s">
        <v>1299</v>
      </c>
      <c r="AB113" s="1" t="s">
        <v>1300</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1301</v>
      </c>
      <c r="AP113" s="1" t="s">
        <v>1302</v>
      </c>
      <c r="AQ113" s="1" t="s">
        <v>74</v>
      </c>
      <c r="AR113" s="1" t="s">
        <v>74</v>
      </c>
      <c r="AS113" s="1" t="s">
        <v>74</v>
      </c>
      <c r="AT113" s="1" t="s">
        <v>1303</v>
      </c>
      <c r="AU113" s="1">
        <v>2019.0</v>
      </c>
      <c r="AV113" s="1">
        <v>123.0</v>
      </c>
      <c r="AW113" s="1">
        <v>50.0</v>
      </c>
      <c r="AX113" s="1" t="s">
        <v>74</v>
      </c>
      <c r="AY113" s="1" t="s">
        <v>74</v>
      </c>
      <c r="AZ113" s="1" t="s">
        <v>74</v>
      </c>
      <c r="BA113" s="1" t="s">
        <v>74</v>
      </c>
      <c r="BB113" s="1">
        <v>30088.0</v>
      </c>
      <c r="BC113" s="1">
        <v>30098.0</v>
      </c>
      <c r="BD113" s="1" t="s">
        <v>74</v>
      </c>
      <c r="BE113" s="1" t="s">
        <v>1304</v>
      </c>
      <c r="BF113" s="2" t="str">
        <f>HYPERLINK("http://dx.doi.org/10.1021/acs.jpcc.9b08517","http://dx.doi.org/10.1021/acs.jpcc.9b08517")</f>
        <v>http://dx.doi.org/10.1021/acs.jpcc.9b08517</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1305</v>
      </c>
      <c r="BT113" s="1" t="str">
        <f>HYPERLINK("https%3A%2F%2Fwww.webofscience.com%2Fwos%2Fwoscc%2Ffull-record%2FWOS:000503919500007","View Full Record in Web of Science")</f>
        <v>View Full Record in Web of Science</v>
      </c>
    </row>
    <row r="114" ht="12.75" customHeight="1">
      <c r="A114" s="1" t="s">
        <v>72</v>
      </c>
      <c r="B114" s="1" t="s">
        <v>1306</v>
      </c>
      <c r="C114" s="1" t="s">
        <v>74</v>
      </c>
      <c r="D114" s="1" t="s">
        <v>74</v>
      </c>
      <c r="E114" s="1" t="s">
        <v>74</v>
      </c>
      <c r="F114" s="1" t="s">
        <v>1307</v>
      </c>
      <c r="G114" s="1" t="s">
        <v>74</v>
      </c>
      <c r="H114" s="1" t="s">
        <v>74</v>
      </c>
      <c r="I114" s="1" t="s">
        <v>1308</v>
      </c>
      <c r="J114" s="1" t="s">
        <v>1309</v>
      </c>
      <c r="K114" s="1" t="s">
        <v>74</v>
      </c>
      <c r="L114" s="1" t="s">
        <v>74</v>
      </c>
      <c r="M114" s="1" t="s">
        <v>74</v>
      </c>
      <c r="N114" s="1" t="s">
        <v>74</v>
      </c>
      <c r="O114" s="1" t="s">
        <v>74</v>
      </c>
      <c r="P114" s="1" t="s">
        <v>74</v>
      </c>
      <c r="Q114" s="1" t="s">
        <v>74</v>
      </c>
      <c r="R114" s="1" t="s">
        <v>74</v>
      </c>
      <c r="S114" s="1" t="s">
        <v>74</v>
      </c>
      <c r="T114" s="1" t="s">
        <v>74</v>
      </c>
      <c r="U114" s="1" t="s">
        <v>74</v>
      </c>
      <c r="V114" s="1" t="s">
        <v>1310</v>
      </c>
      <c r="W114" s="1" t="s">
        <v>74</v>
      </c>
      <c r="X114" s="1" t="s">
        <v>74</v>
      </c>
      <c r="Y114" s="1" t="s">
        <v>74</v>
      </c>
      <c r="Z114" s="1" t="s">
        <v>74</v>
      </c>
      <c r="AA114" s="1" t="s">
        <v>1311</v>
      </c>
      <c r="AB114" s="1" t="s">
        <v>1312</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1313</v>
      </c>
      <c r="AP114" s="1" t="s">
        <v>74</v>
      </c>
      <c r="AQ114" s="1" t="s">
        <v>74</v>
      </c>
      <c r="AR114" s="1" t="s">
        <v>74</v>
      </c>
      <c r="AS114" s="1" t="s">
        <v>74</v>
      </c>
      <c r="AT114" s="1" t="s">
        <v>408</v>
      </c>
      <c r="AU114" s="1">
        <v>2019.0</v>
      </c>
      <c r="AV114" s="1">
        <v>8.0</v>
      </c>
      <c r="AW114" s="1">
        <v>3.0</v>
      </c>
      <c r="AX114" s="1" t="s">
        <v>74</v>
      </c>
      <c r="AY114" s="1" t="s">
        <v>74</v>
      </c>
      <c r="AZ114" s="1" t="s">
        <v>74</v>
      </c>
      <c r="BA114" s="1" t="s">
        <v>74</v>
      </c>
      <c r="BB114" s="1">
        <v>321.0</v>
      </c>
      <c r="BC114" s="1">
        <v>326.0</v>
      </c>
      <c r="BD114" s="1" t="s">
        <v>74</v>
      </c>
      <c r="BE114" s="1" t="s">
        <v>1314</v>
      </c>
      <c r="BF114" s="2" t="str">
        <f>HYPERLINK("http://dx.doi.org/10.1002/open.201800238","http://dx.doi.org/10.1002/open.201800238")</f>
        <v>http://dx.doi.org/10.1002/open.201800238</v>
      </c>
      <c r="BG114" s="1" t="s">
        <v>74</v>
      </c>
      <c r="BH114" s="1" t="s">
        <v>74</v>
      </c>
      <c r="BI114" s="1" t="s">
        <v>74</v>
      </c>
      <c r="BJ114" s="1" t="s">
        <v>74</v>
      </c>
      <c r="BK114" s="1" t="s">
        <v>74</v>
      </c>
      <c r="BL114" s="1" t="s">
        <v>74</v>
      </c>
      <c r="BM114" s="1" t="s">
        <v>74</v>
      </c>
      <c r="BN114" s="1">
        <v>3.0906684E7</v>
      </c>
      <c r="BO114" s="1" t="s">
        <v>74</v>
      </c>
      <c r="BP114" s="1" t="s">
        <v>74</v>
      </c>
      <c r="BQ114" s="1" t="s">
        <v>74</v>
      </c>
      <c r="BR114" s="1" t="s">
        <v>74</v>
      </c>
      <c r="BS114" s="1" t="s">
        <v>1315</v>
      </c>
      <c r="BT114" s="1" t="str">
        <f>HYPERLINK("https%3A%2F%2Fwww.webofscience.com%2Fwos%2Fwoscc%2Ffull-record%2FWOS:000462770300009","View Full Record in Web of Science")</f>
        <v>View Full Record in Web of Science</v>
      </c>
    </row>
    <row r="115" ht="12.75" customHeight="1">
      <c r="A115" s="1" t="s">
        <v>207</v>
      </c>
      <c r="B115" s="1" t="s">
        <v>1316</v>
      </c>
      <c r="C115" s="1" t="s">
        <v>74</v>
      </c>
      <c r="D115" s="1" t="s">
        <v>74</v>
      </c>
      <c r="E115" s="1" t="s">
        <v>224</v>
      </c>
      <c r="F115" s="1" t="s">
        <v>1317</v>
      </c>
      <c r="G115" s="1" t="s">
        <v>74</v>
      </c>
      <c r="H115" s="1" t="s">
        <v>74</v>
      </c>
      <c r="I115" s="1" t="s">
        <v>1318</v>
      </c>
      <c r="J115" s="1" t="s">
        <v>1319</v>
      </c>
      <c r="K115" s="1" t="s">
        <v>1320</v>
      </c>
      <c r="L115" s="1" t="s">
        <v>74</v>
      </c>
      <c r="M115" s="1" t="s">
        <v>74</v>
      </c>
      <c r="N115" s="1" t="s">
        <v>74</v>
      </c>
      <c r="O115" s="1" t="s">
        <v>1321</v>
      </c>
      <c r="P115" s="1" t="s">
        <v>1322</v>
      </c>
      <c r="Q115" s="1" t="s">
        <v>1323</v>
      </c>
      <c r="R115" s="1" t="s">
        <v>1324</v>
      </c>
      <c r="S115" s="1" t="s">
        <v>1325</v>
      </c>
      <c r="T115" s="1" t="s">
        <v>74</v>
      </c>
      <c r="U115" s="1" t="s">
        <v>74</v>
      </c>
      <c r="V115" s="1" t="s">
        <v>1326</v>
      </c>
      <c r="W115" s="1" t="s">
        <v>74</v>
      </c>
      <c r="X115" s="1" t="s">
        <v>74</v>
      </c>
      <c r="Y115" s="1" t="s">
        <v>74</v>
      </c>
      <c r="Z115" s="1" t="s">
        <v>74</v>
      </c>
      <c r="AA115" s="1" t="s">
        <v>1327</v>
      </c>
      <c r="AB115" s="1" t="s">
        <v>1328</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1329</v>
      </c>
      <c r="AP115" s="1" t="s">
        <v>74</v>
      </c>
      <c r="AQ115" s="1" t="s">
        <v>1330</v>
      </c>
      <c r="AR115" s="1" t="s">
        <v>74</v>
      </c>
      <c r="AS115" s="1" t="s">
        <v>74</v>
      </c>
      <c r="AT115" s="1" t="s">
        <v>74</v>
      </c>
      <c r="AU115" s="1">
        <v>2019.0</v>
      </c>
      <c r="AV115" s="1" t="s">
        <v>74</v>
      </c>
      <c r="AW115" s="1" t="s">
        <v>74</v>
      </c>
      <c r="AX115" s="1" t="s">
        <v>74</v>
      </c>
      <c r="AY115" s="1" t="s">
        <v>74</v>
      </c>
      <c r="AZ115" s="1" t="s">
        <v>74</v>
      </c>
      <c r="BA115" s="1" t="s">
        <v>74</v>
      </c>
      <c r="BB115" s="1">
        <v>208.0</v>
      </c>
      <c r="BC115" s="1">
        <v>213.0</v>
      </c>
      <c r="BD115" s="1" t="s">
        <v>74</v>
      </c>
      <c r="BE115" s="1" t="s">
        <v>1331</v>
      </c>
      <c r="BF115" s="2" t="str">
        <f>HYPERLINK("http://dx.doi.org/10.23919/spa.2019.8936771","http://dx.doi.org/10.23919/spa.2019.8936771")</f>
        <v>http://dx.doi.org/10.23919/spa.2019.8936771</v>
      </c>
      <c r="BG115" s="1" t="s">
        <v>74</v>
      </c>
      <c r="BH115" s="1" t="s">
        <v>74</v>
      </c>
      <c r="BI115" s="1" t="s">
        <v>74</v>
      </c>
      <c r="BJ115" s="1" t="s">
        <v>74</v>
      </c>
      <c r="BK115" s="1" t="s">
        <v>74</v>
      </c>
      <c r="BL115" s="1" t="s">
        <v>74</v>
      </c>
      <c r="BM115" s="1" t="s">
        <v>74</v>
      </c>
      <c r="BN115" s="1" t="s">
        <v>74</v>
      </c>
      <c r="BO115" s="1" t="s">
        <v>74</v>
      </c>
      <c r="BP115" s="1" t="s">
        <v>74</v>
      </c>
      <c r="BQ115" s="1" t="s">
        <v>74</v>
      </c>
      <c r="BR115" s="1" t="s">
        <v>74</v>
      </c>
      <c r="BS115" s="1" t="s">
        <v>1332</v>
      </c>
      <c r="BT115" s="1" t="str">
        <f>HYPERLINK("https%3A%2F%2Fwww.webofscience.com%2Fwos%2Fwoscc%2Ffull-record%2FWOS:000527393900040","View Full Record in Web of Science")</f>
        <v>View Full Record in Web of Science</v>
      </c>
    </row>
    <row r="116" ht="12.75" customHeight="1">
      <c r="A116" s="1" t="s">
        <v>72</v>
      </c>
      <c r="B116" s="1" t="s">
        <v>1333</v>
      </c>
      <c r="C116" s="1" t="s">
        <v>74</v>
      </c>
      <c r="D116" s="1" t="s">
        <v>74</v>
      </c>
      <c r="E116" s="1" t="s">
        <v>74</v>
      </c>
      <c r="F116" s="1" t="s">
        <v>1334</v>
      </c>
      <c r="G116" s="1" t="s">
        <v>74</v>
      </c>
      <c r="H116" s="1" t="s">
        <v>74</v>
      </c>
      <c r="I116" s="1" t="s">
        <v>1335</v>
      </c>
      <c r="J116" s="1" t="s">
        <v>1336</v>
      </c>
      <c r="K116" s="1" t="s">
        <v>74</v>
      </c>
      <c r="L116" s="1" t="s">
        <v>74</v>
      </c>
      <c r="M116" s="1" t="s">
        <v>74</v>
      </c>
      <c r="N116" s="1" t="s">
        <v>74</v>
      </c>
      <c r="O116" s="1" t="s">
        <v>74</v>
      </c>
      <c r="P116" s="1" t="s">
        <v>74</v>
      </c>
      <c r="Q116" s="1" t="s">
        <v>74</v>
      </c>
      <c r="R116" s="1" t="s">
        <v>74</v>
      </c>
      <c r="S116" s="1" t="s">
        <v>74</v>
      </c>
      <c r="T116" s="1" t="s">
        <v>74</v>
      </c>
      <c r="U116" s="1" t="s">
        <v>74</v>
      </c>
      <c r="V116" s="1" t="s">
        <v>1337</v>
      </c>
      <c r="W116" s="1" t="s">
        <v>74</v>
      </c>
      <c r="X116" s="1" t="s">
        <v>74</v>
      </c>
      <c r="Y116" s="1" t="s">
        <v>74</v>
      </c>
      <c r="Z116" s="1" t="s">
        <v>74</v>
      </c>
      <c r="AA116" s="1" t="s">
        <v>1338</v>
      </c>
      <c r="AB116" s="1" t="s">
        <v>1339</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1340</v>
      </c>
      <c r="AP116" s="1" t="s">
        <v>1341</v>
      </c>
      <c r="AQ116" s="1" t="s">
        <v>74</v>
      </c>
      <c r="AR116" s="1" t="s">
        <v>74</v>
      </c>
      <c r="AS116" s="1" t="s">
        <v>74</v>
      </c>
      <c r="AT116" s="1" t="s">
        <v>374</v>
      </c>
      <c r="AU116" s="1">
        <v>2018.0</v>
      </c>
      <c r="AV116" s="1">
        <v>146.0</v>
      </c>
      <c r="AW116" s="1">
        <v>11.0</v>
      </c>
      <c r="AX116" s="1" t="s">
        <v>74</v>
      </c>
      <c r="AY116" s="1" t="s">
        <v>74</v>
      </c>
      <c r="AZ116" s="1" t="s">
        <v>74</v>
      </c>
      <c r="BA116" s="1" t="s">
        <v>74</v>
      </c>
      <c r="BB116" s="1">
        <v>4801.0</v>
      </c>
      <c r="BC116" s="1">
        <v>4812.0</v>
      </c>
      <c r="BD116" s="1" t="s">
        <v>74</v>
      </c>
      <c r="BE116" s="1" t="s">
        <v>1342</v>
      </c>
      <c r="BF116" s="2" t="str">
        <f>HYPERLINK("http://dx.doi.org/10.1090/proc/14141","http://dx.doi.org/10.1090/proc/14141")</f>
        <v>http://dx.doi.org/10.1090/proc/14141</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1343</v>
      </c>
      <c r="BT116" s="1" t="str">
        <f>HYPERLINK("https%3A%2F%2Fwww.webofscience.com%2Fwos%2Fwoscc%2Ffull-record%2FWOS:000445106600021","View Full Record in Web of Science")</f>
        <v>View Full Record in Web of Science</v>
      </c>
    </row>
    <row r="117" ht="12.75" customHeight="1">
      <c r="A117" s="1" t="s">
        <v>72</v>
      </c>
      <c r="B117" s="1" t="s">
        <v>1344</v>
      </c>
      <c r="C117" s="1" t="s">
        <v>74</v>
      </c>
      <c r="D117" s="1" t="s">
        <v>74</v>
      </c>
      <c r="E117" s="1" t="s">
        <v>74</v>
      </c>
      <c r="F117" s="1" t="s">
        <v>1345</v>
      </c>
      <c r="G117" s="1" t="s">
        <v>74</v>
      </c>
      <c r="H117" s="1" t="s">
        <v>74</v>
      </c>
      <c r="I117" s="1" t="s">
        <v>1346</v>
      </c>
      <c r="J117" s="1" t="s">
        <v>1347</v>
      </c>
      <c r="K117" s="1" t="s">
        <v>74</v>
      </c>
      <c r="L117" s="1" t="s">
        <v>74</v>
      </c>
      <c r="M117" s="1" t="s">
        <v>74</v>
      </c>
      <c r="N117" s="1" t="s">
        <v>74</v>
      </c>
      <c r="O117" s="1" t="s">
        <v>74</v>
      </c>
      <c r="P117" s="1" t="s">
        <v>74</v>
      </c>
      <c r="Q117" s="1" t="s">
        <v>74</v>
      </c>
      <c r="R117" s="1" t="s">
        <v>74</v>
      </c>
      <c r="S117" s="1" t="s">
        <v>74</v>
      </c>
      <c r="T117" s="1" t="s">
        <v>74</v>
      </c>
      <c r="U117" s="1" t="s">
        <v>74</v>
      </c>
      <c r="V117" s="1" t="s">
        <v>1348</v>
      </c>
      <c r="W117" s="1" t="s">
        <v>74</v>
      </c>
      <c r="X117" s="1" t="s">
        <v>74</v>
      </c>
      <c r="Y117" s="1" t="s">
        <v>74</v>
      </c>
      <c r="Z117" s="1" t="s">
        <v>74</v>
      </c>
      <c r="AA117" s="1" t="s">
        <v>1349</v>
      </c>
      <c r="AB117" s="1" t="s">
        <v>555</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1350</v>
      </c>
      <c r="AP117" s="1" t="s">
        <v>1351</v>
      </c>
      <c r="AQ117" s="1" t="s">
        <v>74</v>
      </c>
      <c r="AR117" s="1" t="s">
        <v>74</v>
      </c>
      <c r="AS117" s="1" t="s">
        <v>74</v>
      </c>
      <c r="AT117" s="1" t="s">
        <v>294</v>
      </c>
      <c r="AU117" s="1">
        <v>2018.0</v>
      </c>
      <c r="AV117" s="1">
        <v>693.0</v>
      </c>
      <c r="AW117" s="1" t="s">
        <v>74</v>
      </c>
      <c r="AX117" s="1" t="s">
        <v>74</v>
      </c>
      <c r="AY117" s="1" t="s">
        <v>74</v>
      </c>
      <c r="AZ117" s="1" t="s">
        <v>74</v>
      </c>
      <c r="BA117" s="1" t="s">
        <v>74</v>
      </c>
      <c r="BB117" s="1">
        <v>183.0</v>
      </c>
      <c r="BC117" s="1">
        <v>187.0</v>
      </c>
      <c r="BD117" s="1" t="s">
        <v>74</v>
      </c>
      <c r="BE117" s="1" t="s">
        <v>1352</v>
      </c>
      <c r="BF117" s="2" t="str">
        <f>HYPERLINK("http://dx.doi.org/10.1016/j.cplett.2018.01.030","http://dx.doi.org/10.1016/j.cplett.2018.01.030")</f>
        <v>http://dx.doi.org/10.1016/j.cplett.2018.01.030</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1353</v>
      </c>
      <c r="BT117" s="1" t="str">
        <f>HYPERLINK("https%3A%2F%2Fwww.webofscience.com%2Fwos%2Fwoscc%2Ffull-record%2FWOS:000424631900029","View Full Record in Web of Science")</f>
        <v>View Full Record in Web of Science</v>
      </c>
    </row>
    <row r="118" ht="12.75" customHeight="1">
      <c r="A118" s="1" t="s">
        <v>72</v>
      </c>
      <c r="B118" s="1" t="s">
        <v>1354</v>
      </c>
      <c r="C118" s="1" t="s">
        <v>74</v>
      </c>
      <c r="D118" s="1" t="s">
        <v>74</v>
      </c>
      <c r="E118" s="1" t="s">
        <v>74</v>
      </c>
      <c r="F118" s="1" t="s">
        <v>1355</v>
      </c>
      <c r="G118" s="1" t="s">
        <v>74</v>
      </c>
      <c r="H118" s="1" t="s">
        <v>74</v>
      </c>
      <c r="I118" s="1" t="s">
        <v>1356</v>
      </c>
      <c r="J118" s="1" t="s">
        <v>1357</v>
      </c>
      <c r="K118" s="1" t="s">
        <v>74</v>
      </c>
      <c r="L118" s="1" t="s">
        <v>74</v>
      </c>
      <c r="M118" s="1" t="s">
        <v>74</v>
      </c>
      <c r="N118" s="1" t="s">
        <v>74</v>
      </c>
      <c r="O118" s="1" t="s">
        <v>74</v>
      </c>
      <c r="P118" s="1" t="s">
        <v>74</v>
      </c>
      <c r="Q118" s="1" t="s">
        <v>74</v>
      </c>
      <c r="R118" s="1" t="s">
        <v>74</v>
      </c>
      <c r="S118" s="1" t="s">
        <v>74</v>
      </c>
      <c r="T118" s="1" t="s">
        <v>74</v>
      </c>
      <c r="U118" s="1" t="s">
        <v>74</v>
      </c>
      <c r="V118" s="1" t="s">
        <v>1358</v>
      </c>
      <c r="W118" s="1" t="s">
        <v>74</v>
      </c>
      <c r="X118" s="1" t="s">
        <v>74</v>
      </c>
      <c r="Y118" s="1" t="s">
        <v>74</v>
      </c>
      <c r="Z118" s="1" t="s">
        <v>74</v>
      </c>
      <c r="AA118" s="1" t="s">
        <v>1359</v>
      </c>
      <c r="AB118" s="1" t="s">
        <v>1360</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1361</v>
      </c>
      <c r="AP118" s="1" t="s">
        <v>1362</v>
      </c>
      <c r="AQ118" s="1" t="s">
        <v>74</v>
      </c>
      <c r="AR118" s="1" t="s">
        <v>74</v>
      </c>
      <c r="AS118" s="1" t="s">
        <v>74</v>
      </c>
      <c r="AT118" s="1" t="s">
        <v>1363</v>
      </c>
      <c r="AU118" s="1">
        <v>2017.0</v>
      </c>
      <c r="AV118" s="1">
        <v>127.0</v>
      </c>
      <c r="AW118" s="1" t="s">
        <v>74</v>
      </c>
      <c r="AX118" s="1" t="s">
        <v>74</v>
      </c>
      <c r="AY118" s="1" t="s">
        <v>74</v>
      </c>
      <c r="AZ118" s="1" t="s">
        <v>74</v>
      </c>
      <c r="BA118" s="1" t="s">
        <v>74</v>
      </c>
      <c r="BB118" s="1">
        <v>110.0</v>
      </c>
      <c r="BC118" s="1">
        <v>120.0</v>
      </c>
      <c r="BD118" s="1" t="s">
        <v>74</v>
      </c>
      <c r="BE118" s="1" t="s">
        <v>1364</v>
      </c>
      <c r="BF118" s="2" t="str">
        <f>HYPERLINK("http://dx.doi.org/10.1016/j.commatsci.2016.10.029","http://dx.doi.org/10.1016/j.commatsci.2016.10.029")</f>
        <v>http://dx.doi.org/10.1016/j.commatsci.2016.10.029</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1365</v>
      </c>
      <c r="BT118" s="1" t="str">
        <f>HYPERLINK("https%3A%2F%2Fwww.webofscience.com%2Fwos%2Fwoscc%2Ffull-record%2FWOS:000390499700014","View Full Record in Web of Science")</f>
        <v>View Full Record in Web of Science</v>
      </c>
    </row>
    <row r="119" ht="12.75" customHeight="1">
      <c r="A119" s="1" t="s">
        <v>207</v>
      </c>
      <c r="B119" s="1" t="s">
        <v>1366</v>
      </c>
      <c r="C119" s="1" t="s">
        <v>74</v>
      </c>
      <c r="D119" s="1" t="s">
        <v>74</v>
      </c>
      <c r="E119" s="1" t="s">
        <v>224</v>
      </c>
      <c r="F119" s="1" t="s">
        <v>1367</v>
      </c>
      <c r="G119" s="1" t="s">
        <v>74</v>
      </c>
      <c r="H119" s="1" t="s">
        <v>74</v>
      </c>
      <c r="I119" s="1" t="s">
        <v>1368</v>
      </c>
      <c r="J119" s="1" t="s">
        <v>1369</v>
      </c>
      <c r="K119" s="1" t="s">
        <v>74</v>
      </c>
      <c r="L119" s="1" t="s">
        <v>74</v>
      </c>
      <c r="M119" s="1" t="s">
        <v>74</v>
      </c>
      <c r="N119" s="1" t="s">
        <v>74</v>
      </c>
      <c r="O119" s="1" t="s">
        <v>1370</v>
      </c>
      <c r="P119" s="1" t="s">
        <v>1371</v>
      </c>
      <c r="Q119" s="1" t="s">
        <v>1372</v>
      </c>
      <c r="R119" s="1" t="s">
        <v>1373</v>
      </c>
      <c r="S119" s="1" t="s">
        <v>74</v>
      </c>
      <c r="T119" s="1" t="s">
        <v>74</v>
      </c>
      <c r="U119" s="1" t="s">
        <v>74</v>
      </c>
      <c r="V119" s="1" t="s">
        <v>1374</v>
      </c>
      <c r="W119" s="1" t="s">
        <v>74</v>
      </c>
      <c r="X119" s="1" t="s">
        <v>74</v>
      </c>
      <c r="Y119" s="1" t="s">
        <v>74</v>
      </c>
      <c r="Z119" s="1" t="s">
        <v>74</v>
      </c>
      <c r="AA119" s="1" t="s">
        <v>1375</v>
      </c>
      <c r="AB119" s="1" t="s">
        <v>74</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74</v>
      </c>
      <c r="AP119" s="1" t="s">
        <v>74</v>
      </c>
      <c r="AQ119" s="1" t="s">
        <v>1376</v>
      </c>
      <c r="AR119" s="1" t="s">
        <v>74</v>
      </c>
      <c r="AS119" s="1" t="s">
        <v>74</v>
      </c>
      <c r="AT119" s="1" t="s">
        <v>74</v>
      </c>
      <c r="AU119" s="1">
        <v>2017.0</v>
      </c>
      <c r="AV119" s="1" t="s">
        <v>74</v>
      </c>
      <c r="AW119" s="1" t="s">
        <v>74</v>
      </c>
      <c r="AX119" s="1" t="s">
        <v>74</v>
      </c>
      <c r="AY119" s="1" t="s">
        <v>74</v>
      </c>
      <c r="AZ119" s="1" t="s">
        <v>74</v>
      </c>
      <c r="BA119" s="1" t="s">
        <v>74</v>
      </c>
      <c r="BB119" s="1">
        <v>29.0</v>
      </c>
      <c r="BC119" s="1">
        <v>34.0</v>
      </c>
      <c r="BD119" s="1" t="s">
        <v>74</v>
      </c>
      <c r="BE119" s="1" t="s">
        <v>74</v>
      </c>
      <c r="BF119" s="1" t="s">
        <v>74</v>
      </c>
      <c r="BG119" s="1" t="s">
        <v>74</v>
      </c>
      <c r="BH119" s="1" t="s">
        <v>74</v>
      </c>
      <c r="BI119" s="1" t="s">
        <v>74</v>
      </c>
      <c r="BJ119" s="1" t="s">
        <v>74</v>
      </c>
      <c r="BK119" s="1" t="s">
        <v>74</v>
      </c>
      <c r="BL119" s="1" t="s">
        <v>74</v>
      </c>
      <c r="BM119" s="1" t="s">
        <v>74</v>
      </c>
      <c r="BN119" s="1" t="s">
        <v>74</v>
      </c>
      <c r="BO119" s="1" t="s">
        <v>74</v>
      </c>
      <c r="BP119" s="1" t="s">
        <v>74</v>
      </c>
      <c r="BQ119" s="1" t="s">
        <v>74</v>
      </c>
      <c r="BR119" s="1" t="s">
        <v>74</v>
      </c>
      <c r="BS119" s="1" t="s">
        <v>1377</v>
      </c>
      <c r="BT119" s="1" t="str">
        <f>HYPERLINK("https%3A%2F%2Fwww.webofscience.com%2Fwos%2Fwoscc%2Ffull-record%2FWOS:000428142700010","View Full Record in Web of Science")</f>
        <v>View Full Record in Web of Science</v>
      </c>
    </row>
    <row r="120" ht="12.75" customHeight="1">
      <c r="A120" s="1" t="s">
        <v>72</v>
      </c>
      <c r="B120" s="1" t="s">
        <v>1378</v>
      </c>
      <c r="C120" s="1" t="s">
        <v>74</v>
      </c>
      <c r="D120" s="1" t="s">
        <v>74</v>
      </c>
      <c r="E120" s="1" t="s">
        <v>74</v>
      </c>
      <c r="F120" s="1" t="s">
        <v>1379</v>
      </c>
      <c r="G120" s="1" t="s">
        <v>74</v>
      </c>
      <c r="H120" s="1" t="s">
        <v>74</v>
      </c>
      <c r="I120" s="1" t="s">
        <v>1380</v>
      </c>
      <c r="J120" s="1" t="s">
        <v>1381</v>
      </c>
      <c r="K120" s="1" t="s">
        <v>74</v>
      </c>
      <c r="L120" s="1" t="s">
        <v>74</v>
      </c>
      <c r="M120" s="1" t="s">
        <v>74</v>
      </c>
      <c r="N120" s="1" t="s">
        <v>74</v>
      </c>
      <c r="O120" s="1" t="s">
        <v>74</v>
      </c>
      <c r="P120" s="1" t="s">
        <v>74</v>
      </c>
      <c r="Q120" s="1" t="s">
        <v>74</v>
      </c>
      <c r="R120" s="1" t="s">
        <v>74</v>
      </c>
      <c r="S120" s="1" t="s">
        <v>74</v>
      </c>
      <c r="T120" s="1" t="s">
        <v>74</v>
      </c>
      <c r="U120" s="1" t="s">
        <v>74</v>
      </c>
      <c r="V120" s="1" t="s">
        <v>1382</v>
      </c>
      <c r="W120" s="1" t="s">
        <v>74</v>
      </c>
      <c r="X120" s="1" t="s">
        <v>74</v>
      </c>
      <c r="Y120" s="1" t="s">
        <v>74</v>
      </c>
      <c r="Z120" s="1" t="s">
        <v>74</v>
      </c>
      <c r="AA120" s="1" t="s">
        <v>1383</v>
      </c>
      <c r="AB120" s="1" t="s">
        <v>1384</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74</v>
      </c>
      <c r="AP120" s="1" t="s">
        <v>1385</v>
      </c>
      <c r="AQ120" s="1" t="s">
        <v>74</v>
      </c>
      <c r="AR120" s="1" t="s">
        <v>74</v>
      </c>
      <c r="AS120" s="1" t="s">
        <v>74</v>
      </c>
      <c r="AT120" s="1" t="s">
        <v>82</v>
      </c>
      <c r="AU120" s="1">
        <v>2016.0</v>
      </c>
      <c r="AV120" s="1">
        <v>16.0</v>
      </c>
      <c r="AW120" s="1">
        <v>10.0</v>
      </c>
      <c r="AX120" s="1" t="s">
        <v>74</v>
      </c>
      <c r="AY120" s="1" t="s">
        <v>74</v>
      </c>
      <c r="AZ120" s="1" t="s">
        <v>74</v>
      </c>
      <c r="BA120" s="1" t="s">
        <v>74</v>
      </c>
      <c r="BB120" s="1" t="s">
        <v>74</v>
      </c>
      <c r="BC120" s="1" t="s">
        <v>74</v>
      </c>
      <c r="BD120" s="1">
        <v>1633.0</v>
      </c>
      <c r="BE120" s="1" t="s">
        <v>1386</v>
      </c>
      <c r="BF120" s="2" t="str">
        <f>HYPERLINK("http://dx.doi.org/10.3390/s16101633","http://dx.doi.org/10.3390/s16101633")</f>
        <v>http://dx.doi.org/10.3390/s16101633</v>
      </c>
      <c r="BG120" s="1" t="s">
        <v>74</v>
      </c>
      <c r="BH120" s="1" t="s">
        <v>74</v>
      </c>
      <c r="BI120" s="1" t="s">
        <v>74</v>
      </c>
      <c r="BJ120" s="1" t="s">
        <v>74</v>
      </c>
      <c r="BK120" s="1" t="s">
        <v>74</v>
      </c>
      <c r="BL120" s="1" t="s">
        <v>74</v>
      </c>
      <c r="BM120" s="1" t="s">
        <v>74</v>
      </c>
      <c r="BN120" s="1" t="s">
        <v>74</v>
      </c>
      <c r="BO120" s="1" t="s">
        <v>74</v>
      </c>
      <c r="BP120" s="1" t="s">
        <v>74</v>
      </c>
      <c r="BQ120" s="1" t="s">
        <v>74</v>
      </c>
      <c r="BR120" s="1" t="s">
        <v>74</v>
      </c>
      <c r="BS120" s="1" t="s">
        <v>1387</v>
      </c>
      <c r="BT120" s="1" t="str">
        <f>HYPERLINK("https%3A%2F%2Fwww.webofscience.com%2Fwos%2Fwoscc%2Ffull-record%2FWOS:000386131600085","View Full Record in Web of Science")</f>
        <v>View Full Record in Web of Science</v>
      </c>
    </row>
    <row r="121" ht="12.75" customHeight="1">
      <c r="A121" s="1" t="s">
        <v>72</v>
      </c>
      <c r="B121" s="1" t="s">
        <v>1388</v>
      </c>
      <c r="C121" s="1" t="s">
        <v>74</v>
      </c>
      <c r="D121" s="1" t="s">
        <v>74</v>
      </c>
      <c r="E121" s="1" t="s">
        <v>74</v>
      </c>
      <c r="F121" s="1" t="s">
        <v>1389</v>
      </c>
      <c r="G121" s="1" t="s">
        <v>74</v>
      </c>
      <c r="H121" s="1" t="s">
        <v>74</v>
      </c>
      <c r="I121" s="1" t="s">
        <v>1390</v>
      </c>
      <c r="J121" s="1" t="s">
        <v>1391</v>
      </c>
      <c r="K121" s="1" t="s">
        <v>74</v>
      </c>
      <c r="L121" s="1" t="s">
        <v>74</v>
      </c>
      <c r="M121" s="1" t="s">
        <v>74</v>
      </c>
      <c r="N121" s="1" t="s">
        <v>74</v>
      </c>
      <c r="O121" s="1" t="s">
        <v>74</v>
      </c>
      <c r="P121" s="1" t="s">
        <v>74</v>
      </c>
      <c r="Q121" s="1" t="s">
        <v>74</v>
      </c>
      <c r="R121" s="1" t="s">
        <v>74</v>
      </c>
      <c r="S121" s="1" t="s">
        <v>74</v>
      </c>
      <c r="T121" s="1" t="s">
        <v>74</v>
      </c>
      <c r="U121" s="1" t="s">
        <v>74</v>
      </c>
      <c r="V121" s="1" t="s">
        <v>1392</v>
      </c>
      <c r="W121" s="1" t="s">
        <v>74</v>
      </c>
      <c r="X121" s="1" t="s">
        <v>74</v>
      </c>
      <c r="Y121" s="1" t="s">
        <v>74</v>
      </c>
      <c r="Z121" s="1" t="s">
        <v>74</v>
      </c>
      <c r="AA121" s="1" t="s">
        <v>74</v>
      </c>
      <c r="AB121" s="1" t="s">
        <v>74</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1393</v>
      </c>
      <c r="AP121" s="1" t="s">
        <v>1394</v>
      </c>
      <c r="AQ121" s="1" t="s">
        <v>74</v>
      </c>
      <c r="AR121" s="1" t="s">
        <v>74</v>
      </c>
      <c r="AS121" s="1" t="s">
        <v>74</v>
      </c>
      <c r="AT121" s="1" t="s">
        <v>82</v>
      </c>
      <c r="AU121" s="1">
        <v>2016.0</v>
      </c>
      <c r="AV121" s="1">
        <v>11.0</v>
      </c>
      <c r="AW121" s="1">
        <v>10.0</v>
      </c>
      <c r="AX121" s="1" t="s">
        <v>74</v>
      </c>
      <c r="AY121" s="1" t="s">
        <v>74</v>
      </c>
      <c r="AZ121" s="1" t="s">
        <v>74</v>
      </c>
      <c r="BA121" s="1" t="s">
        <v>74</v>
      </c>
      <c r="BB121" s="1">
        <v>969.0</v>
      </c>
      <c r="BC121" s="1">
        <v>981.0</v>
      </c>
      <c r="BD121" s="1" t="s">
        <v>74</v>
      </c>
      <c r="BE121" s="1" t="s">
        <v>1395</v>
      </c>
      <c r="BF121" s="2" t="str">
        <f>HYPERLINK("http://dx.doi.org/10.1080/17460441.2016.1227317","http://dx.doi.org/10.1080/17460441.2016.1227317")</f>
        <v>http://dx.doi.org/10.1080/17460441.2016.1227317</v>
      </c>
      <c r="BG121" s="1" t="s">
        <v>74</v>
      </c>
      <c r="BH121" s="1" t="s">
        <v>74</v>
      </c>
      <c r="BI121" s="1" t="s">
        <v>74</v>
      </c>
      <c r="BJ121" s="1" t="s">
        <v>74</v>
      </c>
      <c r="BK121" s="1" t="s">
        <v>74</v>
      </c>
      <c r="BL121" s="1" t="s">
        <v>74</v>
      </c>
      <c r="BM121" s="1" t="s">
        <v>74</v>
      </c>
      <c r="BN121" s="1">
        <v>2.7552487E7</v>
      </c>
      <c r="BO121" s="1" t="s">
        <v>74</v>
      </c>
      <c r="BP121" s="1" t="s">
        <v>74</v>
      </c>
      <c r="BQ121" s="1" t="s">
        <v>74</v>
      </c>
      <c r="BR121" s="1" t="s">
        <v>74</v>
      </c>
      <c r="BS121" s="1" t="s">
        <v>1396</v>
      </c>
      <c r="BT121" s="1" t="str">
        <f>HYPERLINK("https%3A%2F%2Fwww.webofscience.com%2Fwos%2Fwoscc%2Ffull-record%2FWOS:000383934000006","View Full Record in Web of Science")</f>
        <v>View Full Record in Web of Science</v>
      </c>
    </row>
    <row r="122" ht="12.75" customHeight="1">
      <c r="A122" s="1" t="s">
        <v>72</v>
      </c>
      <c r="B122" s="1" t="s">
        <v>1397</v>
      </c>
      <c r="C122" s="1" t="s">
        <v>74</v>
      </c>
      <c r="D122" s="1" t="s">
        <v>74</v>
      </c>
      <c r="E122" s="1" t="s">
        <v>74</v>
      </c>
      <c r="F122" s="1" t="s">
        <v>1398</v>
      </c>
      <c r="G122" s="1" t="s">
        <v>74</v>
      </c>
      <c r="H122" s="1" t="s">
        <v>74</v>
      </c>
      <c r="I122" s="1" t="s">
        <v>1399</v>
      </c>
      <c r="J122" s="1" t="s">
        <v>1400</v>
      </c>
      <c r="K122" s="1" t="s">
        <v>74</v>
      </c>
      <c r="L122" s="1" t="s">
        <v>74</v>
      </c>
      <c r="M122" s="1" t="s">
        <v>74</v>
      </c>
      <c r="N122" s="1" t="s">
        <v>74</v>
      </c>
      <c r="O122" s="1" t="s">
        <v>74</v>
      </c>
      <c r="P122" s="1" t="s">
        <v>74</v>
      </c>
      <c r="Q122" s="1" t="s">
        <v>74</v>
      </c>
      <c r="R122" s="1" t="s">
        <v>74</v>
      </c>
      <c r="S122" s="1" t="s">
        <v>74</v>
      </c>
      <c r="T122" s="1" t="s">
        <v>74</v>
      </c>
      <c r="U122" s="1" t="s">
        <v>74</v>
      </c>
      <c r="V122" s="1" t="s">
        <v>1401</v>
      </c>
      <c r="W122" s="1" t="s">
        <v>74</v>
      </c>
      <c r="X122" s="1" t="s">
        <v>74</v>
      </c>
      <c r="Y122" s="1" t="s">
        <v>74</v>
      </c>
      <c r="Z122" s="1" t="s">
        <v>74</v>
      </c>
      <c r="AA122" s="1" t="s">
        <v>1402</v>
      </c>
      <c r="AB122" s="1" t="s">
        <v>1403</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1404</v>
      </c>
      <c r="AP122" s="1" t="s">
        <v>1405</v>
      </c>
      <c r="AQ122" s="1" t="s">
        <v>74</v>
      </c>
      <c r="AR122" s="1" t="s">
        <v>74</v>
      </c>
      <c r="AS122" s="1" t="s">
        <v>74</v>
      </c>
      <c r="AT122" s="1" t="s">
        <v>1279</v>
      </c>
      <c r="AU122" s="1">
        <v>2016.0</v>
      </c>
      <c r="AV122" s="1">
        <v>123.0</v>
      </c>
      <c r="AW122" s="1" t="s">
        <v>74</v>
      </c>
      <c r="AX122" s="1" t="s">
        <v>74</v>
      </c>
      <c r="AY122" s="1" t="s">
        <v>74</v>
      </c>
      <c r="AZ122" s="1" t="s">
        <v>74</v>
      </c>
      <c r="BA122" s="1" t="s">
        <v>74</v>
      </c>
      <c r="BB122" s="1">
        <v>74.0</v>
      </c>
      <c r="BC122" s="1">
        <v>83.0</v>
      </c>
      <c r="BD122" s="1" t="s">
        <v>74</v>
      </c>
      <c r="BE122" s="1" t="s">
        <v>1406</v>
      </c>
      <c r="BF122" s="2" t="str">
        <f>HYPERLINK("http://dx.doi.org/10.1016/j.ocecoaman.2016.02.002","http://dx.doi.org/10.1016/j.ocecoaman.2016.02.002")</f>
        <v>http://dx.doi.org/10.1016/j.ocecoaman.2016.02.002</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1407</v>
      </c>
      <c r="BT122" s="1" t="str">
        <f>HYPERLINK("https%3A%2F%2Fwww.webofscience.com%2Fwos%2Fwoscc%2Ffull-record%2FWOS:000372380800007","View Full Record in Web of Science")</f>
        <v>View Full Record in Web of Science</v>
      </c>
    </row>
    <row r="123" ht="12.75" customHeight="1">
      <c r="A123" s="1" t="s">
        <v>72</v>
      </c>
      <c r="B123" s="1" t="s">
        <v>1408</v>
      </c>
      <c r="C123" s="1" t="s">
        <v>74</v>
      </c>
      <c r="D123" s="1" t="s">
        <v>74</v>
      </c>
      <c r="E123" s="1" t="s">
        <v>74</v>
      </c>
      <c r="F123" s="1" t="s">
        <v>1409</v>
      </c>
      <c r="G123" s="1" t="s">
        <v>74</v>
      </c>
      <c r="H123" s="1" t="s">
        <v>74</v>
      </c>
      <c r="I123" s="1" t="s">
        <v>1410</v>
      </c>
      <c r="J123" s="1" t="s">
        <v>1411</v>
      </c>
      <c r="K123" s="1" t="s">
        <v>74</v>
      </c>
      <c r="L123" s="1" t="s">
        <v>74</v>
      </c>
      <c r="M123" s="1" t="s">
        <v>74</v>
      </c>
      <c r="N123" s="1" t="s">
        <v>74</v>
      </c>
      <c r="O123" s="1" t="s">
        <v>74</v>
      </c>
      <c r="P123" s="1" t="s">
        <v>74</v>
      </c>
      <c r="Q123" s="1" t="s">
        <v>74</v>
      </c>
      <c r="R123" s="1" t="s">
        <v>74</v>
      </c>
      <c r="S123" s="1" t="s">
        <v>74</v>
      </c>
      <c r="T123" s="1" t="s">
        <v>74</v>
      </c>
      <c r="U123" s="1" t="s">
        <v>74</v>
      </c>
      <c r="V123" s="1" t="s">
        <v>1412</v>
      </c>
      <c r="W123" s="1" t="s">
        <v>74</v>
      </c>
      <c r="X123" s="1" t="s">
        <v>74</v>
      </c>
      <c r="Y123" s="1" t="s">
        <v>74</v>
      </c>
      <c r="Z123" s="1" t="s">
        <v>74</v>
      </c>
      <c r="AA123" s="1" t="s">
        <v>1413</v>
      </c>
      <c r="AB123" s="1" t="s">
        <v>1414</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1415</v>
      </c>
      <c r="AP123" s="1" t="s">
        <v>1416</v>
      </c>
      <c r="AQ123" s="1" t="s">
        <v>74</v>
      </c>
      <c r="AR123" s="1" t="s">
        <v>74</v>
      </c>
      <c r="AS123" s="1" t="s">
        <v>74</v>
      </c>
      <c r="AT123" s="1" t="s">
        <v>294</v>
      </c>
      <c r="AU123" s="1">
        <v>2016.0</v>
      </c>
      <c r="AV123" s="1">
        <v>16.0</v>
      </c>
      <c r="AW123" s="1" t="s">
        <v>74</v>
      </c>
      <c r="AX123" s="1" t="s">
        <v>74</v>
      </c>
      <c r="AY123" s="1" t="s">
        <v>74</v>
      </c>
      <c r="AZ123" s="1" t="s">
        <v>74</v>
      </c>
      <c r="BA123" s="1" t="s">
        <v>74</v>
      </c>
      <c r="BB123" s="1">
        <v>11.0</v>
      </c>
      <c r="BC123" s="1">
        <v>18.0</v>
      </c>
      <c r="BD123" s="1" t="s">
        <v>74</v>
      </c>
      <c r="BE123" s="1" t="s">
        <v>1417</v>
      </c>
      <c r="BF123" s="2" t="str">
        <f>HYPERLINK("http://dx.doi.org/10.1016/j.frl.2015.10.019","http://dx.doi.org/10.1016/j.frl.2015.10.019")</f>
        <v>http://dx.doi.org/10.1016/j.frl.2015.10.019</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1418</v>
      </c>
      <c r="BT123" s="1" t="str">
        <f>HYPERLINK("https%3A%2F%2Fwww.webofscience.com%2Fwos%2Fwoscc%2Ffull-record%2FWOS:000373649800002","View Full Record in Web of Science")</f>
        <v>View Full Record in Web of Science</v>
      </c>
    </row>
    <row r="124" ht="12.75" customHeight="1">
      <c r="A124" s="1" t="s">
        <v>72</v>
      </c>
      <c r="B124" s="1" t="s">
        <v>1419</v>
      </c>
      <c r="C124" s="1" t="s">
        <v>74</v>
      </c>
      <c r="D124" s="1" t="s">
        <v>74</v>
      </c>
      <c r="E124" s="1" t="s">
        <v>74</v>
      </c>
      <c r="F124" s="1" t="s">
        <v>1420</v>
      </c>
      <c r="G124" s="1" t="s">
        <v>74</v>
      </c>
      <c r="H124" s="1" t="s">
        <v>74</v>
      </c>
      <c r="I124" s="1" t="s">
        <v>1421</v>
      </c>
      <c r="J124" s="1" t="s">
        <v>1422</v>
      </c>
      <c r="K124" s="1" t="s">
        <v>74</v>
      </c>
      <c r="L124" s="1" t="s">
        <v>74</v>
      </c>
      <c r="M124" s="1" t="s">
        <v>74</v>
      </c>
      <c r="N124" s="1" t="s">
        <v>74</v>
      </c>
      <c r="O124" s="1" t="s">
        <v>74</v>
      </c>
      <c r="P124" s="1" t="s">
        <v>74</v>
      </c>
      <c r="Q124" s="1" t="s">
        <v>74</v>
      </c>
      <c r="R124" s="1" t="s">
        <v>74</v>
      </c>
      <c r="S124" s="1" t="s">
        <v>74</v>
      </c>
      <c r="T124" s="1" t="s">
        <v>74</v>
      </c>
      <c r="U124" s="1" t="s">
        <v>74</v>
      </c>
      <c r="V124" s="1" t="s">
        <v>1423</v>
      </c>
      <c r="W124" s="1" t="s">
        <v>74</v>
      </c>
      <c r="X124" s="1" t="s">
        <v>74</v>
      </c>
      <c r="Y124" s="1" t="s">
        <v>74</v>
      </c>
      <c r="Z124" s="1" t="s">
        <v>74</v>
      </c>
      <c r="AA124" s="1" t="s">
        <v>1424</v>
      </c>
      <c r="AB124" s="1" t="s">
        <v>1425</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1426</v>
      </c>
      <c r="AP124" s="1" t="s">
        <v>74</v>
      </c>
      <c r="AQ124" s="1" t="s">
        <v>74</v>
      </c>
      <c r="AR124" s="1" t="s">
        <v>74</v>
      </c>
      <c r="AS124" s="1" t="s">
        <v>74</v>
      </c>
      <c r="AT124" s="1" t="s">
        <v>74</v>
      </c>
      <c r="AU124" s="1">
        <v>2016.0</v>
      </c>
      <c r="AV124" s="1">
        <v>24.0</v>
      </c>
      <c r="AW124" s="1" t="s">
        <v>74</v>
      </c>
      <c r="AX124" s="1" t="s">
        <v>74</v>
      </c>
      <c r="AY124" s="1" t="s">
        <v>74</v>
      </c>
      <c r="AZ124" s="1" t="s">
        <v>74</v>
      </c>
      <c r="BA124" s="1" t="s">
        <v>74</v>
      </c>
      <c r="BB124" s="1" t="s">
        <v>74</v>
      </c>
      <c r="BC124" s="1" t="s">
        <v>74</v>
      </c>
      <c r="BD124" s="1" t="s">
        <v>1427</v>
      </c>
      <c r="BE124" s="1" t="s">
        <v>1428</v>
      </c>
      <c r="BF124" s="2" t="str">
        <f>HYPERLINK("http://dx.doi.org/10.1590/1518-8345.0982.2675","http://dx.doi.org/10.1590/1518-8345.0982.2675")</f>
        <v>http://dx.doi.org/10.1590/1518-8345.0982.2675</v>
      </c>
      <c r="BG124" s="1" t="s">
        <v>74</v>
      </c>
      <c r="BH124" s="1" t="s">
        <v>74</v>
      </c>
      <c r="BI124" s="1" t="s">
        <v>74</v>
      </c>
      <c r="BJ124" s="1" t="s">
        <v>74</v>
      </c>
      <c r="BK124" s="1" t="s">
        <v>74</v>
      </c>
      <c r="BL124" s="1" t="s">
        <v>74</v>
      </c>
      <c r="BM124" s="1" t="s">
        <v>74</v>
      </c>
      <c r="BN124" s="1">
        <v>2.7027674E7</v>
      </c>
      <c r="BO124" s="1" t="s">
        <v>74</v>
      </c>
      <c r="BP124" s="1" t="s">
        <v>74</v>
      </c>
      <c r="BQ124" s="1" t="s">
        <v>74</v>
      </c>
      <c r="BR124" s="1" t="s">
        <v>74</v>
      </c>
      <c r="BS124" s="1" t="s">
        <v>1429</v>
      </c>
      <c r="BT124" s="1" t="str">
        <f>HYPERLINK("https%3A%2F%2Fwww.webofscience.com%2Fwos%2Fwoscc%2Ffull-record%2FWOS:000376478800013","View Full Record in Web of Science")</f>
        <v>View Full Record in Web of Science</v>
      </c>
    </row>
    <row r="125" ht="12.75" customHeight="1">
      <c r="A125" s="1" t="s">
        <v>72</v>
      </c>
      <c r="B125" s="1" t="s">
        <v>1430</v>
      </c>
      <c r="C125" s="1" t="s">
        <v>74</v>
      </c>
      <c r="D125" s="1" t="s">
        <v>74</v>
      </c>
      <c r="E125" s="1" t="s">
        <v>74</v>
      </c>
      <c r="F125" s="1" t="s">
        <v>1431</v>
      </c>
      <c r="G125" s="1" t="s">
        <v>74</v>
      </c>
      <c r="H125" s="1" t="s">
        <v>74</v>
      </c>
      <c r="I125" s="1" t="s">
        <v>1432</v>
      </c>
      <c r="J125" s="1" t="s">
        <v>1433</v>
      </c>
      <c r="K125" s="1" t="s">
        <v>74</v>
      </c>
      <c r="L125" s="1" t="s">
        <v>74</v>
      </c>
      <c r="M125" s="1" t="s">
        <v>74</v>
      </c>
      <c r="N125" s="1" t="s">
        <v>74</v>
      </c>
      <c r="O125" s="1" t="s">
        <v>74</v>
      </c>
      <c r="P125" s="1" t="s">
        <v>74</v>
      </c>
      <c r="Q125" s="1" t="s">
        <v>74</v>
      </c>
      <c r="R125" s="1" t="s">
        <v>74</v>
      </c>
      <c r="S125" s="1" t="s">
        <v>74</v>
      </c>
      <c r="T125" s="1" t="s">
        <v>74</v>
      </c>
      <c r="U125" s="1" t="s">
        <v>74</v>
      </c>
      <c r="V125" s="1" t="s">
        <v>1434</v>
      </c>
      <c r="W125" s="1" t="s">
        <v>74</v>
      </c>
      <c r="X125" s="1" t="s">
        <v>74</v>
      </c>
      <c r="Y125" s="1" t="s">
        <v>74</v>
      </c>
      <c r="Z125" s="1" t="s">
        <v>74</v>
      </c>
      <c r="AA125" s="1" t="s">
        <v>1435</v>
      </c>
      <c r="AB125" s="1" t="s">
        <v>1436</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1437</v>
      </c>
      <c r="AP125" s="1" t="s">
        <v>1438</v>
      </c>
      <c r="AQ125" s="1" t="s">
        <v>74</v>
      </c>
      <c r="AR125" s="1" t="s">
        <v>74</v>
      </c>
      <c r="AS125" s="1" t="s">
        <v>74</v>
      </c>
      <c r="AT125" s="1" t="s">
        <v>977</v>
      </c>
      <c r="AU125" s="1">
        <v>2015.0</v>
      </c>
      <c r="AV125" s="1">
        <v>429.0</v>
      </c>
      <c r="AW125" s="1">
        <v>1.0</v>
      </c>
      <c r="AX125" s="1" t="s">
        <v>74</v>
      </c>
      <c r="AY125" s="1" t="s">
        <v>74</v>
      </c>
      <c r="AZ125" s="1" t="s">
        <v>74</v>
      </c>
      <c r="BA125" s="1" t="s">
        <v>74</v>
      </c>
      <c r="BB125" s="1">
        <v>27.0</v>
      </c>
      <c r="BC125" s="1">
        <v>56.0</v>
      </c>
      <c r="BD125" s="1" t="s">
        <v>74</v>
      </c>
      <c r="BE125" s="1" t="s">
        <v>1439</v>
      </c>
      <c r="BF125" s="2" t="str">
        <f>HYPERLINK("http://dx.doi.org/10.1016/j.jmaa.2015.03.084","http://dx.doi.org/10.1016/j.jmaa.2015.03.084")</f>
        <v>http://dx.doi.org/10.1016/j.jmaa.2015.03.084</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1440</v>
      </c>
      <c r="BT125" s="1" t="str">
        <f>HYPERLINK("https%3A%2F%2Fwww.webofscience.com%2Fwos%2Fwoscc%2Ffull-record%2FWOS:000354230600003","View Full Record in Web of Science")</f>
        <v>View Full Record in Web of Science</v>
      </c>
    </row>
    <row r="126" ht="12.75" customHeight="1">
      <c r="A126" s="1" t="s">
        <v>72</v>
      </c>
      <c r="B126" s="1" t="s">
        <v>1441</v>
      </c>
      <c r="C126" s="1" t="s">
        <v>74</v>
      </c>
      <c r="D126" s="1" t="s">
        <v>74</v>
      </c>
      <c r="E126" s="1" t="s">
        <v>74</v>
      </c>
      <c r="F126" s="1" t="s">
        <v>1442</v>
      </c>
      <c r="G126" s="1" t="s">
        <v>74</v>
      </c>
      <c r="H126" s="1" t="s">
        <v>74</v>
      </c>
      <c r="I126" s="1" t="s">
        <v>1443</v>
      </c>
      <c r="J126" s="1" t="s">
        <v>1444</v>
      </c>
      <c r="K126" s="1" t="s">
        <v>74</v>
      </c>
      <c r="L126" s="1" t="s">
        <v>74</v>
      </c>
      <c r="M126" s="1" t="s">
        <v>74</v>
      </c>
      <c r="N126" s="1" t="s">
        <v>74</v>
      </c>
      <c r="O126" s="1" t="s">
        <v>74</v>
      </c>
      <c r="P126" s="1" t="s">
        <v>74</v>
      </c>
      <c r="Q126" s="1" t="s">
        <v>74</v>
      </c>
      <c r="R126" s="1" t="s">
        <v>74</v>
      </c>
      <c r="S126" s="1" t="s">
        <v>74</v>
      </c>
      <c r="T126" s="1" t="s">
        <v>74</v>
      </c>
      <c r="U126" s="1" t="s">
        <v>74</v>
      </c>
      <c r="V126" s="1" t="s">
        <v>1445</v>
      </c>
      <c r="W126" s="1" t="s">
        <v>74</v>
      </c>
      <c r="X126" s="1" t="s">
        <v>74</v>
      </c>
      <c r="Y126" s="1" t="s">
        <v>74</v>
      </c>
      <c r="Z126" s="1" t="s">
        <v>74</v>
      </c>
      <c r="AA126" s="1" t="s">
        <v>1446</v>
      </c>
      <c r="AB126" s="1" t="s">
        <v>1447</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1448</v>
      </c>
      <c r="AP126" s="1" t="s">
        <v>1449</v>
      </c>
      <c r="AQ126" s="1" t="s">
        <v>74</v>
      </c>
      <c r="AR126" s="1" t="s">
        <v>74</v>
      </c>
      <c r="AS126" s="1" t="s">
        <v>74</v>
      </c>
      <c r="AT126" s="1" t="s">
        <v>1106</v>
      </c>
      <c r="AU126" s="1">
        <v>2015.0</v>
      </c>
      <c r="AV126" s="1">
        <v>69.0</v>
      </c>
      <c r="AW126" s="1">
        <v>2.0</v>
      </c>
      <c r="AX126" s="1" t="s">
        <v>74</v>
      </c>
      <c r="AY126" s="1" t="s">
        <v>74</v>
      </c>
      <c r="AZ126" s="1" t="s">
        <v>74</v>
      </c>
      <c r="BA126" s="1" t="s">
        <v>74</v>
      </c>
      <c r="BB126" s="1">
        <v>89.0</v>
      </c>
      <c r="BC126" s="1">
        <v>100.0</v>
      </c>
      <c r="BD126" s="1" t="s">
        <v>74</v>
      </c>
      <c r="BE126" s="1" t="s">
        <v>1450</v>
      </c>
      <c r="BF126" s="2" t="str">
        <f>HYPERLINK("http://dx.doi.org/10.1016/j.camwa.2014.11.018","http://dx.doi.org/10.1016/j.camwa.2014.11.018")</f>
        <v>http://dx.doi.org/10.1016/j.camwa.2014.11.018</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1451</v>
      </c>
      <c r="BT126" s="1" t="str">
        <f>HYPERLINK("https%3A%2F%2Fwww.webofscience.com%2Fwos%2Fwoscc%2Ffull-record%2FWOS:000349579400003","View Full Record in Web of Science")</f>
        <v>View Full Record in Web of Science</v>
      </c>
    </row>
    <row r="127" ht="12.75" customHeight="1">
      <c r="A127" s="1" t="s">
        <v>72</v>
      </c>
      <c r="B127" s="1" t="s">
        <v>1452</v>
      </c>
      <c r="C127" s="1" t="s">
        <v>74</v>
      </c>
      <c r="D127" s="1" t="s">
        <v>74</v>
      </c>
      <c r="E127" s="1" t="s">
        <v>74</v>
      </c>
      <c r="F127" s="1" t="s">
        <v>1453</v>
      </c>
      <c r="G127" s="1" t="s">
        <v>74</v>
      </c>
      <c r="H127" s="1" t="s">
        <v>74</v>
      </c>
      <c r="I127" s="1" t="s">
        <v>1454</v>
      </c>
      <c r="J127" s="1" t="s">
        <v>1455</v>
      </c>
      <c r="K127" s="1" t="s">
        <v>74</v>
      </c>
      <c r="L127" s="1" t="s">
        <v>74</v>
      </c>
      <c r="M127" s="1" t="s">
        <v>74</v>
      </c>
      <c r="N127" s="1" t="s">
        <v>74</v>
      </c>
      <c r="O127" s="1" t="s">
        <v>74</v>
      </c>
      <c r="P127" s="1" t="s">
        <v>74</v>
      </c>
      <c r="Q127" s="1" t="s">
        <v>74</v>
      </c>
      <c r="R127" s="1" t="s">
        <v>74</v>
      </c>
      <c r="S127" s="1" t="s">
        <v>74</v>
      </c>
      <c r="T127" s="1" t="s">
        <v>74</v>
      </c>
      <c r="U127" s="1" t="s">
        <v>74</v>
      </c>
      <c r="V127" s="1" t="s">
        <v>1456</v>
      </c>
      <c r="W127" s="1" t="s">
        <v>74</v>
      </c>
      <c r="X127" s="1" t="s">
        <v>74</v>
      </c>
      <c r="Y127" s="1" t="s">
        <v>74</v>
      </c>
      <c r="Z127" s="1" t="s">
        <v>74</v>
      </c>
      <c r="AA127" s="1" t="s">
        <v>1457</v>
      </c>
      <c r="AB127" s="1" t="s">
        <v>1458</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1459</v>
      </c>
      <c r="AP127" s="1" t="s">
        <v>74</v>
      </c>
      <c r="AQ127" s="1" t="s">
        <v>74</v>
      </c>
      <c r="AR127" s="1" t="s">
        <v>74</v>
      </c>
      <c r="AS127" s="1" t="s">
        <v>74</v>
      </c>
      <c r="AT127" s="1" t="s">
        <v>164</v>
      </c>
      <c r="AU127" s="1">
        <v>2014.0</v>
      </c>
      <c r="AV127" s="1">
        <v>40.0</v>
      </c>
      <c r="AW127" s="1" t="s">
        <v>74</v>
      </c>
      <c r="AX127" s="1" t="s">
        <v>74</v>
      </c>
      <c r="AY127" s="1" t="s">
        <v>74</v>
      </c>
      <c r="AZ127" s="1" t="s">
        <v>74</v>
      </c>
      <c r="BA127" s="1" t="s">
        <v>74</v>
      </c>
      <c r="BB127" s="1">
        <v>1168.0</v>
      </c>
      <c r="BC127" s="1">
        <v>1191.0</v>
      </c>
      <c r="BD127" s="1" t="s">
        <v>74</v>
      </c>
      <c r="BE127" s="1" t="s">
        <v>1460</v>
      </c>
      <c r="BF127" s="2" t="str">
        <f>HYPERLINK("http://dx.doi.org/10.1016/j.rser.2014.08.017","http://dx.doi.org/10.1016/j.rser.2014.08.017")</f>
        <v>http://dx.doi.org/10.1016/j.rser.2014.08.017</v>
      </c>
      <c r="BG127" s="1" t="s">
        <v>74</v>
      </c>
      <c r="BH127" s="1" t="s">
        <v>74</v>
      </c>
      <c r="BI127" s="1" t="s">
        <v>74</v>
      </c>
      <c r="BJ127" s="1" t="s">
        <v>74</v>
      </c>
      <c r="BK127" s="1" t="s">
        <v>74</v>
      </c>
      <c r="BL127" s="1" t="s">
        <v>74</v>
      </c>
      <c r="BM127" s="1" t="s">
        <v>74</v>
      </c>
      <c r="BN127" s="1" t="s">
        <v>74</v>
      </c>
      <c r="BO127" s="1" t="s">
        <v>74</v>
      </c>
      <c r="BP127" s="1" t="s">
        <v>74</v>
      </c>
      <c r="BQ127" s="1" t="s">
        <v>74</v>
      </c>
      <c r="BR127" s="1" t="s">
        <v>74</v>
      </c>
      <c r="BS127" s="1" t="s">
        <v>1461</v>
      </c>
      <c r="BT127" s="1" t="str">
        <f>HYPERLINK("https%3A%2F%2Fwww.webofscience.com%2Fwos%2Fwoscc%2Ffull-record%2FWOS:000345473600091","View Full Record in Web of Science")</f>
        <v>View Full Record in Web of Science</v>
      </c>
    </row>
    <row r="128" ht="12.75" customHeight="1">
      <c r="A128" s="1" t="s">
        <v>72</v>
      </c>
      <c r="B128" s="1" t="s">
        <v>1462</v>
      </c>
      <c r="C128" s="1" t="s">
        <v>74</v>
      </c>
      <c r="D128" s="1" t="s">
        <v>74</v>
      </c>
      <c r="E128" s="1" t="s">
        <v>74</v>
      </c>
      <c r="F128" s="1" t="s">
        <v>1463</v>
      </c>
      <c r="G128" s="1" t="s">
        <v>74</v>
      </c>
      <c r="H128" s="1" t="s">
        <v>74</v>
      </c>
      <c r="I128" s="1" t="s">
        <v>1464</v>
      </c>
      <c r="J128" s="1" t="s">
        <v>1465</v>
      </c>
      <c r="K128" s="1" t="s">
        <v>74</v>
      </c>
      <c r="L128" s="1" t="s">
        <v>74</v>
      </c>
      <c r="M128" s="1" t="s">
        <v>74</v>
      </c>
      <c r="N128" s="1" t="s">
        <v>74</v>
      </c>
      <c r="O128" s="1" t="s">
        <v>74</v>
      </c>
      <c r="P128" s="1" t="s">
        <v>74</v>
      </c>
      <c r="Q128" s="1" t="s">
        <v>74</v>
      </c>
      <c r="R128" s="1" t="s">
        <v>74</v>
      </c>
      <c r="S128" s="1" t="s">
        <v>74</v>
      </c>
      <c r="T128" s="1" t="s">
        <v>74</v>
      </c>
      <c r="U128" s="1" t="s">
        <v>74</v>
      </c>
      <c r="V128" s="1" t="s">
        <v>1466</v>
      </c>
      <c r="W128" s="1" t="s">
        <v>74</v>
      </c>
      <c r="X128" s="1" t="s">
        <v>74</v>
      </c>
      <c r="Y128" s="1" t="s">
        <v>74</v>
      </c>
      <c r="Z128" s="1" t="s">
        <v>74</v>
      </c>
      <c r="AA128" s="1" t="s">
        <v>1467</v>
      </c>
      <c r="AB128" s="1" t="s">
        <v>1468</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1469</v>
      </c>
      <c r="AP128" s="1" t="s">
        <v>1470</v>
      </c>
      <c r="AQ128" s="1" t="s">
        <v>74</v>
      </c>
      <c r="AR128" s="1" t="s">
        <v>74</v>
      </c>
      <c r="AS128" s="1" t="s">
        <v>74</v>
      </c>
      <c r="AT128" s="1" t="s">
        <v>374</v>
      </c>
      <c r="AU128" s="1">
        <v>2013.0</v>
      </c>
      <c r="AV128" s="1">
        <v>25.0</v>
      </c>
      <c r="AW128" s="1">
        <v>4.0</v>
      </c>
      <c r="AX128" s="1" t="s">
        <v>74</v>
      </c>
      <c r="AY128" s="1" t="s">
        <v>74</v>
      </c>
      <c r="AZ128" s="1" t="s">
        <v>74</v>
      </c>
      <c r="BA128" s="1" t="s">
        <v>74</v>
      </c>
      <c r="BB128" s="1">
        <v>520.0</v>
      </c>
      <c r="BC128" s="1">
        <v>528.0</v>
      </c>
      <c r="BD128" s="1" t="s">
        <v>74</v>
      </c>
      <c r="BE128" s="1" t="s">
        <v>1471</v>
      </c>
      <c r="BF128" s="2" t="str">
        <f>HYPERLINK("http://dx.doi.org/10.7334/psicothema2013.58","http://dx.doi.org/10.7334/psicothema2013.58")</f>
        <v>http://dx.doi.org/10.7334/psicothema2013.58</v>
      </c>
      <c r="BG128" s="1" t="s">
        <v>74</v>
      </c>
      <c r="BH128" s="1" t="s">
        <v>74</v>
      </c>
      <c r="BI128" s="1" t="s">
        <v>74</v>
      </c>
      <c r="BJ128" s="1" t="s">
        <v>74</v>
      </c>
      <c r="BK128" s="1" t="s">
        <v>74</v>
      </c>
      <c r="BL128" s="1" t="s">
        <v>74</v>
      </c>
      <c r="BM128" s="1" t="s">
        <v>74</v>
      </c>
      <c r="BN128" s="1">
        <v>2.4124787E7</v>
      </c>
      <c r="BO128" s="1" t="s">
        <v>74</v>
      </c>
      <c r="BP128" s="1" t="s">
        <v>74</v>
      </c>
      <c r="BQ128" s="1" t="s">
        <v>74</v>
      </c>
      <c r="BR128" s="1" t="s">
        <v>74</v>
      </c>
      <c r="BS128" s="1" t="s">
        <v>1472</v>
      </c>
      <c r="BT128" s="1" t="str">
        <f>HYPERLINK("https%3A%2F%2Fwww.webofscience.com%2Fwos%2Fwoscc%2Ffull-record%2FWOS:000325783200016","View Full Record in Web of Science")</f>
        <v>View Full Record in Web of Science</v>
      </c>
    </row>
    <row r="129" ht="12.75" customHeight="1">
      <c r="A129" s="1" t="s">
        <v>72</v>
      </c>
      <c r="B129" s="1" t="s">
        <v>1473</v>
      </c>
      <c r="C129" s="1" t="s">
        <v>74</v>
      </c>
      <c r="D129" s="1" t="s">
        <v>74</v>
      </c>
      <c r="E129" s="1" t="s">
        <v>74</v>
      </c>
      <c r="F129" s="1" t="s">
        <v>1474</v>
      </c>
      <c r="G129" s="1" t="s">
        <v>74</v>
      </c>
      <c r="H129" s="1" t="s">
        <v>74</v>
      </c>
      <c r="I129" s="1" t="s">
        <v>1475</v>
      </c>
      <c r="J129" s="1" t="s">
        <v>1476</v>
      </c>
      <c r="K129" s="1" t="s">
        <v>74</v>
      </c>
      <c r="L129" s="1" t="s">
        <v>74</v>
      </c>
      <c r="M129" s="1" t="s">
        <v>74</v>
      </c>
      <c r="N129" s="1" t="s">
        <v>74</v>
      </c>
      <c r="O129" s="1" t="s">
        <v>74</v>
      </c>
      <c r="P129" s="1" t="s">
        <v>74</v>
      </c>
      <c r="Q129" s="1" t="s">
        <v>74</v>
      </c>
      <c r="R129" s="1" t="s">
        <v>74</v>
      </c>
      <c r="S129" s="1" t="s">
        <v>74</v>
      </c>
      <c r="T129" s="1" t="s">
        <v>74</v>
      </c>
      <c r="U129" s="1" t="s">
        <v>74</v>
      </c>
      <c r="V129" s="1" t="s">
        <v>1477</v>
      </c>
      <c r="W129" s="1" t="s">
        <v>74</v>
      </c>
      <c r="X129" s="1" t="s">
        <v>74</v>
      </c>
      <c r="Y129" s="1" t="s">
        <v>74</v>
      </c>
      <c r="Z129" s="1" t="s">
        <v>74</v>
      </c>
      <c r="AA129" s="1" t="s">
        <v>1478</v>
      </c>
      <c r="AB129" s="1" t="s">
        <v>1479</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1480</v>
      </c>
      <c r="AP129" s="1" t="s">
        <v>1481</v>
      </c>
      <c r="AQ129" s="1" t="s">
        <v>74</v>
      </c>
      <c r="AR129" s="1" t="s">
        <v>74</v>
      </c>
      <c r="AS129" s="1" t="s">
        <v>74</v>
      </c>
      <c r="AT129" s="1" t="s">
        <v>408</v>
      </c>
      <c r="AU129" s="1">
        <v>2013.0</v>
      </c>
      <c r="AV129" s="1">
        <v>7.0</v>
      </c>
      <c r="AW129" s="1">
        <v>1.0</v>
      </c>
      <c r="AX129" s="1" t="s">
        <v>74</v>
      </c>
      <c r="AY129" s="1" t="s">
        <v>74</v>
      </c>
      <c r="AZ129" s="1" t="s">
        <v>74</v>
      </c>
      <c r="BA129" s="1" t="s">
        <v>74</v>
      </c>
      <c r="BB129" s="1">
        <v>45.0</v>
      </c>
      <c r="BC129" s="1">
        <v>74.0</v>
      </c>
      <c r="BD129" s="1" t="s">
        <v>74</v>
      </c>
      <c r="BE129" s="1" t="s">
        <v>1482</v>
      </c>
      <c r="BF129" s="2" t="str">
        <f>HYPERLINK("http://dx.doi.org/10.3934/jmd.2013.7.45","http://dx.doi.org/10.3934/jmd.2013.7.45")</f>
        <v>http://dx.doi.org/10.3934/jmd.2013.7.45</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1483</v>
      </c>
      <c r="BT129" s="1" t="str">
        <f>HYPERLINK("https%3A%2F%2Fwww.webofscience.com%2Fwos%2Fwoscc%2Ffull-record%2FWOS:000319670500003","View Full Record in Web of Science")</f>
        <v>View Full Record in Web of Science</v>
      </c>
    </row>
    <row r="130" ht="12.75" customHeight="1">
      <c r="A130" s="1" t="s">
        <v>72</v>
      </c>
      <c r="B130" s="1" t="s">
        <v>1484</v>
      </c>
      <c r="C130" s="1" t="s">
        <v>74</v>
      </c>
      <c r="D130" s="1" t="s">
        <v>74</v>
      </c>
      <c r="E130" s="1" t="s">
        <v>74</v>
      </c>
      <c r="F130" s="1" t="s">
        <v>1485</v>
      </c>
      <c r="G130" s="1" t="s">
        <v>74</v>
      </c>
      <c r="H130" s="1" t="s">
        <v>74</v>
      </c>
      <c r="I130" s="1" t="s">
        <v>1486</v>
      </c>
      <c r="J130" s="1" t="s">
        <v>1487</v>
      </c>
      <c r="K130" s="1" t="s">
        <v>74</v>
      </c>
      <c r="L130" s="1" t="s">
        <v>74</v>
      </c>
      <c r="M130" s="1" t="s">
        <v>74</v>
      </c>
      <c r="N130" s="1" t="s">
        <v>74</v>
      </c>
      <c r="O130" s="1" t="s">
        <v>74</v>
      </c>
      <c r="P130" s="1" t="s">
        <v>74</v>
      </c>
      <c r="Q130" s="1" t="s">
        <v>74</v>
      </c>
      <c r="R130" s="1" t="s">
        <v>74</v>
      </c>
      <c r="S130" s="1" t="s">
        <v>74</v>
      </c>
      <c r="T130" s="1" t="s">
        <v>74</v>
      </c>
      <c r="U130" s="1" t="s">
        <v>74</v>
      </c>
      <c r="V130" s="1" t="s">
        <v>1488</v>
      </c>
      <c r="W130" s="1" t="s">
        <v>74</v>
      </c>
      <c r="X130" s="1" t="s">
        <v>74</v>
      </c>
      <c r="Y130" s="1" t="s">
        <v>74</v>
      </c>
      <c r="Z130" s="1" t="s">
        <v>74</v>
      </c>
      <c r="AA130" s="1" t="s">
        <v>1489</v>
      </c>
      <c r="AB130" s="1" t="s">
        <v>1490</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1491</v>
      </c>
      <c r="AP130" s="1" t="s">
        <v>74</v>
      </c>
      <c r="AQ130" s="1" t="s">
        <v>74</v>
      </c>
      <c r="AR130" s="1" t="s">
        <v>74</v>
      </c>
      <c r="AS130" s="1" t="s">
        <v>74</v>
      </c>
      <c r="AT130" s="1" t="s">
        <v>282</v>
      </c>
      <c r="AU130" s="1">
        <v>2012.0</v>
      </c>
      <c r="AV130" s="1">
        <v>22.0</v>
      </c>
      <c r="AW130" s="1" t="s">
        <v>74</v>
      </c>
      <c r="AX130" s="1" t="s">
        <v>74</v>
      </c>
      <c r="AY130" s="1" t="s">
        <v>74</v>
      </c>
      <c r="AZ130" s="1" t="s">
        <v>74</v>
      </c>
      <c r="BA130" s="1" t="s">
        <v>74</v>
      </c>
      <c r="BB130" s="1">
        <v>146.0</v>
      </c>
      <c r="BC130" s="1">
        <v>148.0</v>
      </c>
      <c r="BD130" s="1" t="s">
        <v>74</v>
      </c>
      <c r="BE130" s="1" t="s">
        <v>1492</v>
      </c>
      <c r="BF130" s="2" t="str">
        <f>HYPERLINK("http://dx.doi.org/10.1016/j.inoche.2012.05.047","http://dx.doi.org/10.1016/j.inoche.2012.05.047")</f>
        <v>http://dx.doi.org/10.1016/j.inoche.2012.05.047</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1493</v>
      </c>
      <c r="BT130" s="1" t="str">
        <f>HYPERLINK("https%3A%2F%2Fwww.webofscience.com%2Fwos%2Fwoscc%2Ffull-record%2FWOS:000307133800035","View Full Record in Web of Science")</f>
        <v>View Full Record in Web of Science</v>
      </c>
    </row>
    <row r="131" ht="12.75" customHeight="1">
      <c r="A131" s="1" t="s">
        <v>72</v>
      </c>
      <c r="B131" s="1" t="s">
        <v>1494</v>
      </c>
      <c r="C131" s="1" t="s">
        <v>74</v>
      </c>
      <c r="D131" s="1" t="s">
        <v>74</v>
      </c>
      <c r="E131" s="1" t="s">
        <v>74</v>
      </c>
      <c r="F131" s="1" t="s">
        <v>1495</v>
      </c>
      <c r="G131" s="1" t="s">
        <v>74</v>
      </c>
      <c r="H131" s="1" t="s">
        <v>74</v>
      </c>
      <c r="I131" s="1" t="s">
        <v>1496</v>
      </c>
      <c r="J131" s="1" t="s">
        <v>1497</v>
      </c>
      <c r="K131" s="1" t="s">
        <v>74</v>
      </c>
      <c r="L131" s="1" t="s">
        <v>74</v>
      </c>
      <c r="M131" s="1" t="s">
        <v>74</v>
      </c>
      <c r="N131" s="1" t="s">
        <v>74</v>
      </c>
      <c r="O131" s="1" t="s">
        <v>74</v>
      </c>
      <c r="P131" s="1" t="s">
        <v>74</v>
      </c>
      <c r="Q131" s="1" t="s">
        <v>74</v>
      </c>
      <c r="R131" s="1" t="s">
        <v>74</v>
      </c>
      <c r="S131" s="1" t="s">
        <v>74</v>
      </c>
      <c r="T131" s="1" t="s">
        <v>74</v>
      </c>
      <c r="U131" s="1" t="s">
        <v>74</v>
      </c>
      <c r="V131" s="1" t="s">
        <v>1498</v>
      </c>
      <c r="W131" s="1" t="s">
        <v>74</v>
      </c>
      <c r="X131" s="1" t="s">
        <v>74</v>
      </c>
      <c r="Y131" s="1" t="s">
        <v>74</v>
      </c>
      <c r="Z131" s="1" t="s">
        <v>74</v>
      </c>
      <c r="AA131" s="1" t="s">
        <v>1499</v>
      </c>
      <c r="AB131" s="1" t="s">
        <v>1500</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1501</v>
      </c>
      <c r="AP131" s="1" t="s">
        <v>74</v>
      </c>
      <c r="AQ131" s="1" t="s">
        <v>74</v>
      </c>
      <c r="AR131" s="1" t="s">
        <v>74</v>
      </c>
      <c r="AS131" s="1" t="s">
        <v>74</v>
      </c>
      <c r="AT131" s="1" t="s">
        <v>1502</v>
      </c>
      <c r="AU131" s="1">
        <v>2012.0</v>
      </c>
      <c r="AV131" s="1">
        <v>7.0</v>
      </c>
      <c r="AW131" s="1">
        <v>4.0</v>
      </c>
      <c r="AX131" s="1" t="s">
        <v>74</v>
      </c>
      <c r="AY131" s="1" t="s">
        <v>74</v>
      </c>
      <c r="AZ131" s="1" t="s">
        <v>74</v>
      </c>
      <c r="BA131" s="1" t="s">
        <v>74</v>
      </c>
      <c r="BB131" s="1" t="s">
        <v>74</v>
      </c>
      <c r="BC131" s="1" t="s">
        <v>74</v>
      </c>
      <c r="BD131" s="1" t="s">
        <v>1503</v>
      </c>
      <c r="BE131" s="1" t="s">
        <v>1504</v>
      </c>
      <c r="BF131" s="2" t="str">
        <f>HYPERLINK("http://dx.doi.org/10.1371/journal.pone.0035452","http://dx.doi.org/10.1371/journal.pone.0035452")</f>
        <v>http://dx.doi.org/10.1371/journal.pone.0035452</v>
      </c>
      <c r="BG131" s="1" t="s">
        <v>74</v>
      </c>
      <c r="BH131" s="1" t="s">
        <v>74</v>
      </c>
      <c r="BI131" s="1" t="s">
        <v>74</v>
      </c>
      <c r="BJ131" s="1" t="s">
        <v>74</v>
      </c>
      <c r="BK131" s="1" t="s">
        <v>74</v>
      </c>
      <c r="BL131" s="1" t="s">
        <v>74</v>
      </c>
      <c r="BM131" s="1" t="s">
        <v>74</v>
      </c>
      <c r="BN131" s="1">
        <v>2.2536386E7</v>
      </c>
      <c r="BO131" s="1" t="s">
        <v>74</v>
      </c>
      <c r="BP131" s="1" t="s">
        <v>74</v>
      </c>
      <c r="BQ131" s="1" t="s">
        <v>74</v>
      </c>
      <c r="BR131" s="1" t="s">
        <v>74</v>
      </c>
      <c r="BS131" s="1" t="s">
        <v>1505</v>
      </c>
      <c r="BT131" s="1" t="str">
        <f>HYPERLINK("https%3A%2F%2Fwww.webofscience.com%2Fwos%2Fwoscc%2Ffull-record%2FWOS:000305339200066","View Full Record in Web of Science")</f>
        <v>View Full Record in Web of Science</v>
      </c>
    </row>
    <row r="132" ht="12.75" customHeight="1">
      <c r="A132" s="1" t="s">
        <v>72</v>
      </c>
      <c r="B132" s="1" t="s">
        <v>1506</v>
      </c>
      <c r="C132" s="1" t="s">
        <v>74</v>
      </c>
      <c r="D132" s="1" t="s">
        <v>74</v>
      </c>
      <c r="E132" s="1" t="s">
        <v>74</v>
      </c>
      <c r="F132" s="1" t="s">
        <v>1507</v>
      </c>
      <c r="G132" s="1" t="s">
        <v>74</v>
      </c>
      <c r="H132" s="1" t="s">
        <v>74</v>
      </c>
      <c r="I132" s="1" t="s">
        <v>1508</v>
      </c>
      <c r="J132" s="1" t="s">
        <v>1509</v>
      </c>
      <c r="K132" s="1" t="s">
        <v>74</v>
      </c>
      <c r="L132" s="1" t="s">
        <v>74</v>
      </c>
      <c r="M132" s="1" t="s">
        <v>74</v>
      </c>
      <c r="N132" s="1" t="s">
        <v>74</v>
      </c>
      <c r="O132" s="1" t="s">
        <v>74</v>
      </c>
      <c r="P132" s="1" t="s">
        <v>74</v>
      </c>
      <c r="Q132" s="1" t="s">
        <v>74</v>
      </c>
      <c r="R132" s="1" t="s">
        <v>74</v>
      </c>
      <c r="S132" s="1" t="s">
        <v>74</v>
      </c>
      <c r="T132" s="1" t="s">
        <v>74</v>
      </c>
      <c r="U132" s="1" t="s">
        <v>74</v>
      </c>
      <c r="V132" s="1" t="s">
        <v>1510</v>
      </c>
      <c r="W132" s="1" t="s">
        <v>74</v>
      </c>
      <c r="X132" s="1" t="s">
        <v>74</v>
      </c>
      <c r="Y132" s="1" t="s">
        <v>74</v>
      </c>
      <c r="Z132" s="1" t="s">
        <v>74</v>
      </c>
      <c r="AA132" s="1" t="s">
        <v>74</v>
      </c>
      <c r="AB132" s="1" t="s">
        <v>74</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1511</v>
      </c>
      <c r="AP132" s="1" t="s">
        <v>1512</v>
      </c>
      <c r="AQ132" s="1" t="s">
        <v>74</v>
      </c>
      <c r="AR132" s="1" t="s">
        <v>74</v>
      </c>
      <c r="AS132" s="1" t="s">
        <v>74</v>
      </c>
      <c r="AT132" s="1" t="s">
        <v>1513</v>
      </c>
      <c r="AU132" s="1">
        <v>2011.0</v>
      </c>
      <c r="AV132" s="1">
        <v>699.0</v>
      </c>
      <c r="AW132" s="1">
        <v>3.0</v>
      </c>
      <c r="AX132" s="1" t="s">
        <v>74</v>
      </c>
      <c r="AY132" s="1" t="s">
        <v>74</v>
      </c>
      <c r="AZ132" s="1" t="s">
        <v>74</v>
      </c>
      <c r="BA132" s="1" t="s">
        <v>74</v>
      </c>
      <c r="BB132" s="1">
        <v>135.0</v>
      </c>
      <c r="BC132" s="1">
        <v>140.0</v>
      </c>
      <c r="BD132" s="1" t="s">
        <v>74</v>
      </c>
      <c r="BE132" s="1" t="s">
        <v>1514</v>
      </c>
      <c r="BF132" s="2" t="str">
        <f>HYPERLINK("http://dx.doi.org/10.1016/j.physletb.2011.03.049","http://dx.doi.org/10.1016/j.physletb.2011.03.049")</f>
        <v>http://dx.doi.org/10.1016/j.physletb.2011.03.049</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1515</v>
      </c>
      <c r="BT132" s="1" t="str">
        <f>HYPERLINK("https%3A%2F%2Fwww.webofscience.com%2Fwos%2Fwoscc%2Ffull-record%2FWOS:000290778200001","View Full Record in Web of Science")</f>
        <v>View Full Record in Web of Science</v>
      </c>
    </row>
    <row r="133" ht="12.75" customHeight="1">
      <c r="A133" s="1" t="s">
        <v>72</v>
      </c>
      <c r="B133" s="1" t="s">
        <v>1516</v>
      </c>
      <c r="C133" s="1" t="s">
        <v>74</v>
      </c>
      <c r="D133" s="1" t="s">
        <v>74</v>
      </c>
      <c r="E133" s="1" t="s">
        <v>74</v>
      </c>
      <c r="F133" s="1" t="s">
        <v>1517</v>
      </c>
      <c r="G133" s="1" t="s">
        <v>74</v>
      </c>
      <c r="H133" s="1" t="s">
        <v>74</v>
      </c>
      <c r="I133" s="1" t="s">
        <v>1518</v>
      </c>
      <c r="J133" s="1" t="s">
        <v>1519</v>
      </c>
      <c r="K133" s="1" t="s">
        <v>74</v>
      </c>
      <c r="L133" s="1" t="s">
        <v>74</v>
      </c>
      <c r="M133" s="1" t="s">
        <v>74</v>
      </c>
      <c r="N133" s="1" t="s">
        <v>74</v>
      </c>
      <c r="O133" s="1" t="s">
        <v>74</v>
      </c>
      <c r="P133" s="1" t="s">
        <v>74</v>
      </c>
      <c r="Q133" s="1" t="s">
        <v>74</v>
      </c>
      <c r="R133" s="1" t="s">
        <v>74</v>
      </c>
      <c r="S133" s="1" t="s">
        <v>74</v>
      </c>
      <c r="T133" s="1" t="s">
        <v>74</v>
      </c>
      <c r="U133" s="1" t="s">
        <v>74</v>
      </c>
      <c r="V133" s="1" t="s">
        <v>1520</v>
      </c>
      <c r="W133" s="1" t="s">
        <v>74</v>
      </c>
      <c r="X133" s="1" t="s">
        <v>74</v>
      </c>
      <c r="Y133" s="1" t="s">
        <v>74</v>
      </c>
      <c r="Z133" s="1" t="s">
        <v>74</v>
      </c>
      <c r="AA133" s="1" t="s">
        <v>1521</v>
      </c>
      <c r="AB133" s="1" t="s">
        <v>1522</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1523</v>
      </c>
      <c r="AP133" s="1" t="s">
        <v>74</v>
      </c>
      <c r="AQ133" s="1" t="s">
        <v>74</v>
      </c>
      <c r="AR133" s="1" t="s">
        <v>74</v>
      </c>
      <c r="AS133" s="1" t="s">
        <v>74</v>
      </c>
      <c r="AT133" s="1" t="s">
        <v>164</v>
      </c>
      <c r="AU133" s="1">
        <v>2010.0</v>
      </c>
      <c r="AV133" s="1">
        <v>4.0</v>
      </c>
      <c r="AW133" s="1">
        <v>12.0</v>
      </c>
      <c r="AX133" s="1" t="s">
        <v>74</v>
      </c>
      <c r="AY133" s="1" t="s">
        <v>74</v>
      </c>
      <c r="AZ133" s="1" t="s">
        <v>74</v>
      </c>
      <c r="BA133" s="1" t="s">
        <v>74</v>
      </c>
      <c r="BB133" s="1">
        <v>790.0</v>
      </c>
      <c r="BC133" s="1">
        <v>797.0</v>
      </c>
      <c r="BD133" s="1" t="s">
        <v>74</v>
      </c>
      <c r="BE133" s="1" t="s">
        <v>1524</v>
      </c>
      <c r="BF133" s="2" t="str">
        <f>HYPERLINK("http://dx.doi.org/10.3144/expresspolymlett.2010.95","http://dx.doi.org/10.3144/expresspolymlett.2010.95")</f>
        <v>http://dx.doi.org/10.3144/expresspolymlett.2010.95</v>
      </c>
      <c r="BG133" s="1" t="s">
        <v>74</v>
      </c>
      <c r="BH133" s="1" t="s">
        <v>74</v>
      </c>
      <c r="BI133" s="1" t="s">
        <v>74</v>
      </c>
      <c r="BJ133" s="1" t="s">
        <v>74</v>
      </c>
      <c r="BK133" s="1" t="s">
        <v>74</v>
      </c>
      <c r="BL133" s="1" t="s">
        <v>74</v>
      </c>
      <c r="BM133" s="1" t="s">
        <v>74</v>
      </c>
      <c r="BN133" s="1" t="s">
        <v>74</v>
      </c>
      <c r="BO133" s="1" t="s">
        <v>74</v>
      </c>
      <c r="BP133" s="1" t="s">
        <v>74</v>
      </c>
      <c r="BQ133" s="1" t="s">
        <v>74</v>
      </c>
      <c r="BR133" s="1" t="s">
        <v>74</v>
      </c>
      <c r="BS133" s="1" t="s">
        <v>1525</v>
      </c>
      <c r="BT133" s="1" t="str">
        <f>HYPERLINK("https%3A%2F%2Fwww.webofscience.com%2Fwos%2Fwoscc%2Ffull-record%2FWOS:000284150400007","View Full Record in Web of Science")</f>
        <v>View Full Record in Web of Science</v>
      </c>
    </row>
    <row r="134" ht="12.75" customHeight="1">
      <c r="A134" s="1" t="s">
        <v>72</v>
      </c>
      <c r="B134" s="1" t="s">
        <v>1526</v>
      </c>
      <c r="C134" s="1" t="s">
        <v>74</v>
      </c>
      <c r="D134" s="1" t="s">
        <v>74</v>
      </c>
      <c r="E134" s="1" t="s">
        <v>74</v>
      </c>
      <c r="F134" s="1" t="s">
        <v>1527</v>
      </c>
      <c r="G134" s="1" t="s">
        <v>74</v>
      </c>
      <c r="H134" s="1" t="s">
        <v>74</v>
      </c>
      <c r="I134" s="1" t="s">
        <v>1528</v>
      </c>
      <c r="J134" s="1" t="s">
        <v>288</v>
      </c>
      <c r="K134" s="1" t="s">
        <v>74</v>
      </c>
      <c r="L134" s="1" t="s">
        <v>74</v>
      </c>
      <c r="M134" s="1" t="s">
        <v>74</v>
      </c>
      <c r="N134" s="1" t="s">
        <v>74</v>
      </c>
      <c r="O134" s="1" t="s">
        <v>74</v>
      </c>
      <c r="P134" s="1" t="s">
        <v>74</v>
      </c>
      <c r="Q134" s="1" t="s">
        <v>74</v>
      </c>
      <c r="R134" s="1" t="s">
        <v>74</v>
      </c>
      <c r="S134" s="1" t="s">
        <v>74</v>
      </c>
      <c r="T134" s="1" t="s">
        <v>74</v>
      </c>
      <c r="U134" s="1" t="s">
        <v>74</v>
      </c>
      <c r="V134" s="1" t="s">
        <v>1529</v>
      </c>
      <c r="W134" s="1" t="s">
        <v>74</v>
      </c>
      <c r="X134" s="1" t="s">
        <v>74</v>
      </c>
      <c r="Y134" s="1" t="s">
        <v>74</v>
      </c>
      <c r="Z134" s="1" t="s">
        <v>74</v>
      </c>
      <c r="AA134" s="1" t="s">
        <v>1530</v>
      </c>
      <c r="AB134" s="1" t="s">
        <v>1531</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292</v>
      </c>
      <c r="AP134" s="1" t="s">
        <v>293</v>
      </c>
      <c r="AQ134" s="1" t="s">
        <v>74</v>
      </c>
      <c r="AR134" s="1" t="s">
        <v>74</v>
      </c>
      <c r="AS134" s="1" t="s">
        <v>74</v>
      </c>
      <c r="AT134" s="1" t="s">
        <v>82</v>
      </c>
      <c r="AU134" s="1">
        <v>2010.0</v>
      </c>
      <c r="AV134" s="1">
        <v>3.0</v>
      </c>
      <c r="AW134" s="1">
        <v>5.0</v>
      </c>
      <c r="AX134" s="1" t="s">
        <v>74</v>
      </c>
      <c r="AY134" s="1" t="s">
        <v>74</v>
      </c>
      <c r="AZ134" s="1" t="s">
        <v>74</v>
      </c>
      <c r="BA134" s="1" t="s">
        <v>74</v>
      </c>
      <c r="BB134" s="1">
        <v>637.0</v>
      </c>
      <c r="BC134" s="1">
        <v>643.0</v>
      </c>
      <c r="BD134" s="1" t="s">
        <v>74</v>
      </c>
      <c r="BE134" s="1" t="s">
        <v>1532</v>
      </c>
      <c r="BF134" s="2" t="str">
        <f>HYPERLINK("http://dx.doi.org/10.1007/s11947-008-0106-6","http://dx.doi.org/10.1007/s11947-008-0106-6")</f>
        <v>http://dx.doi.org/10.1007/s11947-008-0106-6</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1533</v>
      </c>
      <c r="BT134" s="1" t="str">
        <f>HYPERLINK("https%3A%2F%2Fwww.webofscience.com%2Fwos%2Fwoscc%2Ffull-record%2FWOS:000280596600001","View Full Record in Web of Science")</f>
        <v>View Full Record in Web of Science</v>
      </c>
    </row>
    <row r="135" ht="12.75" customHeight="1">
      <c r="A135" s="1" t="s">
        <v>72</v>
      </c>
      <c r="B135" s="1" t="s">
        <v>1534</v>
      </c>
      <c r="C135" s="1" t="s">
        <v>74</v>
      </c>
      <c r="D135" s="1" t="s">
        <v>74</v>
      </c>
      <c r="E135" s="1" t="s">
        <v>74</v>
      </c>
      <c r="F135" s="1" t="s">
        <v>1535</v>
      </c>
      <c r="G135" s="1" t="s">
        <v>74</v>
      </c>
      <c r="H135" s="1" t="s">
        <v>74</v>
      </c>
      <c r="I135" s="1" t="s">
        <v>1536</v>
      </c>
      <c r="J135" s="1" t="s">
        <v>1537</v>
      </c>
      <c r="K135" s="1" t="s">
        <v>74</v>
      </c>
      <c r="L135" s="1" t="s">
        <v>74</v>
      </c>
      <c r="M135" s="1" t="s">
        <v>74</v>
      </c>
      <c r="N135" s="1" t="s">
        <v>74</v>
      </c>
      <c r="O135" s="1" t="s">
        <v>74</v>
      </c>
      <c r="P135" s="1" t="s">
        <v>74</v>
      </c>
      <c r="Q135" s="1" t="s">
        <v>74</v>
      </c>
      <c r="R135" s="1" t="s">
        <v>74</v>
      </c>
      <c r="S135" s="1" t="s">
        <v>74</v>
      </c>
      <c r="T135" s="1" t="s">
        <v>74</v>
      </c>
      <c r="U135" s="1" t="s">
        <v>74</v>
      </c>
      <c r="V135" s="1" t="s">
        <v>1538</v>
      </c>
      <c r="W135" s="1" t="s">
        <v>74</v>
      </c>
      <c r="X135" s="1" t="s">
        <v>74</v>
      </c>
      <c r="Y135" s="1" t="s">
        <v>74</v>
      </c>
      <c r="Z135" s="1" t="s">
        <v>74</v>
      </c>
      <c r="AA135" s="1" t="s">
        <v>1539</v>
      </c>
      <c r="AB135" s="1" t="s">
        <v>1540</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1541</v>
      </c>
      <c r="AP135" s="1" t="s">
        <v>1542</v>
      </c>
      <c r="AQ135" s="1" t="s">
        <v>74</v>
      </c>
      <c r="AR135" s="1" t="s">
        <v>74</v>
      </c>
      <c r="AS135" s="1" t="s">
        <v>74</v>
      </c>
      <c r="AT135" s="1" t="s">
        <v>1543</v>
      </c>
      <c r="AU135" s="1">
        <v>2010.0</v>
      </c>
      <c r="AV135" s="1">
        <v>28.0</v>
      </c>
      <c r="AW135" s="1">
        <v>18.0</v>
      </c>
      <c r="AX135" s="1" t="s">
        <v>74</v>
      </c>
      <c r="AY135" s="1" t="s">
        <v>74</v>
      </c>
      <c r="AZ135" s="1" t="s">
        <v>74</v>
      </c>
      <c r="BA135" s="1" t="s">
        <v>74</v>
      </c>
      <c r="BB135" s="1">
        <v>3238.0</v>
      </c>
      <c r="BC135" s="1">
        <v>3246.0</v>
      </c>
      <c r="BD135" s="1" t="s">
        <v>74</v>
      </c>
      <c r="BE135" s="1" t="s">
        <v>1544</v>
      </c>
      <c r="BF135" s="2" t="str">
        <f>HYPERLINK("http://dx.doi.org/10.1016/j.vaccine.2010.02.010","http://dx.doi.org/10.1016/j.vaccine.2010.02.010")</f>
        <v>http://dx.doi.org/10.1016/j.vaccine.2010.02.010</v>
      </c>
      <c r="BG135" s="1" t="s">
        <v>74</v>
      </c>
      <c r="BH135" s="1" t="s">
        <v>74</v>
      </c>
      <c r="BI135" s="1" t="s">
        <v>74</v>
      </c>
      <c r="BJ135" s="1" t="s">
        <v>74</v>
      </c>
      <c r="BK135" s="1" t="s">
        <v>74</v>
      </c>
      <c r="BL135" s="1" t="s">
        <v>74</v>
      </c>
      <c r="BM135" s="1" t="s">
        <v>74</v>
      </c>
      <c r="BN135" s="1">
        <v>2.0184975E7</v>
      </c>
      <c r="BO135" s="1" t="s">
        <v>74</v>
      </c>
      <c r="BP135" s="1" t="s">
        <v>74</v>
      </c>
      <c r="BQ135" s="1" t="s">
        <v>74</v>
      </c>
      <c r="BR135" s="1" t="s">
        <v>74</v>
      </c>
      <c r="BS135" s="1" t="s">
        <v>1545</v>
      </c>
      <c r="BT135" s="1" t="str">
        <f>HYPERLINK("https%3A%2F%2Fwww.webofscience.com%2Fwos%2Fwoscc%2Ffull-record%2FWOS:000277064500022","View Full Record in Web of Science")</f>
        <v>View Full Record in Web of Science</v>
      </c>
    </row>
    <row r="136" ht="12.75" customHeight="1">
      <c r="A136" s="1" t="s">
        <v>72</v>
      </c>
      <c r="B136" s="1" t="s">
        <v>1546</v>
      </c>
      <c r="C136" s="1" t="s">
        <v>74</v>
      </c>
      <c r="D136" s="1" t="s">
        <v>74</v>
      </c>
      <c r="E136" s="1" t="s">
        <v>74</v>
      </c>
      <c r="F136" s="1" t="s">
        <v>1547</v>
      </c>
      <c r="G136" s="1" t="s">
        <v>74</v>
      </c>
      <c r="H136" s="1" t="s">
        <v>74</v>
      </c>
      <c r="I136" s="1" t="s">
        <v>1548</v>
      </c>
      <c r="J136" s="1" t="s">
        <v>1549</v>
      </c>
      <c r="K136" s="1" t="s">
        <v>74</v>
      </c>
      <c r="L136" s="1" t="s">
        <v>74</v>
      </c>
      <c r="M136" s="1" t="s">
        <v>74</v>
      </c>
      <c r="N136" s="1" t="s">
        <v>74</v>
      </c>
      <c r="O136" s="1" t="s">
        <v>74</v>
      </c>
      <c r="P136" s="1" t="s">
        <v>74</v>
      </c>
      <c r="Q136" s="1" t="s">
        <v>74</v>
      </c>
      <c r="R136" s="1" t="s">
        <v>74</v>
      </c>
      <c r="S136" s="1" t="s">
        <v>74</v>
      </c>
      <c r="T136" s="1" t="s">
        <v>74</v>
      </c>
      <c r="U136" s="1" t="s">
        <v>74</v>
      </c>
      <c r="V136" s="1" t="s">
        <v>1550</v>
      </c>
      <c r="W136" s="1" t="s">
        <v>74</v>
      </c>
      <c r="X136" s="1" t="s">
        <v>74</v>
      </c>
      <c r="Y136" s="1" t="s">
        <v>74</v>
      </c>
      <c r="Z136" s="1" t="s">
        <v>74</v>
      </c>
      <c r="AA136" s="1" t="s">
        <v>1551</v>
      </c>
      <c r="AB136" s="1" t="s">
        <v>1552</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1553</v>
      </c>
      <c r="AP136" s="1" t="s">
        <v>1554</v>
      </c>
      <c r="AQ136" s="1" t="s">
        <v>74</v>
      </c>
      <c r="AR136" s="1" t="s">
        <v>74</v>
      </c>
      <c r="AS136" s="1" t="s">
        <v>74</v>
      </c>
      <c r="AT136" s="1" t="s">
        <v>82</v>
      </c>
      <c r="AU136" s="1">
        <v>2009.0</v>
      </c>
      <c r="AV136" s="1">
        <v>28.0</v>
      </c>
      <c r="AW136" s="1">
        <v>10.0</v>
      </c>
      <c r="AX136" s="1" t="s">
        <v>74</v>
      </c>
      <c r="AY136" s="1" t="s">
        <v>74</v>
      </c>
      <c r="AZ136" s="1" t="s">
        <v>74</v>
      </c>
      <c r="BA136" s="1" t="s">
        <v>74</v>
      </c>
      <c r="BB136" s="1">
        <v>879.0</v>
      </c>
      <c r="BC136" s="1">
        <v>884.0</v>
      </c>
      <c r="BD136" s="1" t="s">
        <v>74</v>
      </c>
      <c r="BE136" s="1" t="s">
        <v>1555</v>
      </c>
      <c r="BF136" s="2" t="str">
        <f>HYPERLINK("http://dx.doi.org/10.1097/INF.0b013e3181a4bb60","http://dx.doi.org/10.1097/INF.0b013e3181a4bb60")</f>
        <v>http://dx.doi.org/10.1097/INF.0b013e3181a4bb60</v>
      </c>
      <c r="BG136" s="1" t="s">
        <v>74</v>
      </c>
      <c r="BH136" s="1" t="s">
        <v>74</v>
      </c>
      <c r="BI136" s="1" t="s">
        <v>74</v>
      </c>
      <c r="BJ136" s="1" t="s">
        <v>74</v>
      </c>
      <c r="BK136" s="1" t="s">
        <v>74</v>
      </c>
      <c r="BL136" s="1" t="s">
        <v>74</v>
      </c>
      <c r="BM136" s="1" t="s">
        <v>74</v>
      </c>
      <c r="BN136" s="1">
        <v>1.9672213E7</v>
      </c>
      <c r="BO136" s="1" t="s">
        <v>74</v>
      </c>
      <c r="BP136" s="1" t="s">
        <v>74</v>
      </c>
      <c r="BQ136" s="1" t="s">
        <v>74</v>
      </c>
      <c r="BR136" s="1" t="s">
        <v>74</v>
      </c>
      <c r="BS136" s="1" t="s">
        <v>1556</v>
      </c>
      <c r="BT136" s="1" t="str">
        <f>HYPERLINK("https%3A%2F%2Fwww.webofscience.com%2Fwos%2Fwoscc%2Ffull-record%2FWOS:000270407800005","View Full Record in Web of Science")</f>
        <v>View Full Record in Web of Science</v>
      </c>
    </row>
    <row r="137" ht="12.75" customHeight="1">
      <c r="A137" s="1" t="s">
        <v>72</v>
      </c>
      <c r="B137" s="1" t="s">
        <v>990</v>
      </c>
      <c r="C137" s="1" t="s">
        <v>74</v>
      </c>
      <c r="D137" s="1" t="s">
        <v>74</v>
      </c>
      <c r="E137" s="1" t="s">
        <v>74</v>
      </c>
      <c r="F137" s="1" t="s">
        <v>991</v>
      </c>
      <c r="G137" s="1" t="s">
        <v>74</v>
      </c>
      <c r="H137" s="1" t="s">
        <v>74</v>
      </c>
      <c r="I137" s="1" t="s">
        <v>1557</v>
      </c>
      <c r="J137" s="1" t="s">
        <v>1558</v>
      </c>
      <c r="K137" s="1" t="s">
        <v>74</v>
      </c>
      <c r="L137" s="1" t="s">
        <v>74</v>
      </c>
      <c r="M137" s="1" t="s">
        <v>74</v>
      </c>
      <c r="N137" s="1" t="s">
        <v>74</v>
      </c>
      <c r="O137" s="1" t="s">
        <v>74</v>
      </c>
      <c r="P137" s="1" t="s">
        <v>74</v>
      </c>
      <c r="Q137" s="1" t="s">
        <v>74</v>
      </c>
      <c r="R137" s="1" t="s">
        <v>74</v>
      </c>
      <c r="S137" s="1" t="s">
        <v>74</v>
      </c>
      <c r="T137" s="1" t="s">
        <v>74</v>
      </c>
      <c r="U137" s="1" t="s">
        <v>74</v>
      </c>
      <c r="V137" s="1" t="s">
        <v>1559</v>
      </c>
      <c r="W137" s="1" t="s">
        <v>74</v>
      </c>
      <c r="X137" s="1" t="s">
        <v>74</v>
      </c>
      <c r="Y137" s="1" t="s">
        <v>74</v>
      </c>
      <c r="Z137" s="1" t="s">
        <v>74</v>
      </c>
      <c r="AA137" s="1" t="s">
        <v>999</v>
      </c>
      <c r="AB137" s="1" t="s">
        <v>1560</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1561</v>
      </c>
      <c r="AP137" s="1" t="s">
        <v>74</v>
      </c>
      <c r="AQ137" s="1" t="s">
        <v>74</v>
      </c>
      <c r="AR137" s="1" t="s">
        <v>74</v>
      </c>
      <c r="AS137" s="1" t="s">
        <v>74</v>
      </c>
      <c r="AT137" s="1" t="s">
        <v>1227</v>
      </c>
      <c r="AU137" s="1">
        <v>2007.0</v>
      </c>
      <c r="AV137" s="1">
        <v>19.0</v>
      </c>
      <c r="AW137" s="1" t="s">
        <v>1562</v>
      </c>
      <c r="AX137" s="1" t="s">
        <v>74</v>
      </c>
      <c r="AY137" s="1" t="s">
        <v>74</v>
      </c>
      <c r="AZ137" s="1" t="s">
        <v>74</v>
      </c>
      <c r="BA137" s="1" t="s">
        <v>74</v>
      </c>
      <c r="BB137" s="1">
        <v>2033.0</v>
      </c>
      <c r="BC137" s="1">
        <v>2035.0</v>
      </c>
      <c r="BD137" s="1" t="s">
        <v>74</v>
      </c>
      <c r="BE137" s="1" t="s">
        <v>1563</v>
      </c>
      <c r="BF137" s="2" t="str">
        <f>HYPERLINK("http://dx.doi.org/10.1109/LPT.2007.909637","http://dx.doi.org/10.1109/LPT.2007.909637")</f>
        <v>http://dx.doi.org/10.1109/LPT.2007.909637</v>
      </c>
      <c r="BG137" s="1" t="s">
        <v>74</v>
      </c>
      <c r="BH137" s="1" t="s">
        <v>74</v>
      </c>
      <c r="BI137" s="1" t="s">
        <v>74</v>
      </c>
      <c r="BJ137" s="1" t="s">
        <v>74</v>
      </c>
      <c r="BK137" s="1" t="s">
        <v>74</v>
      </c>
      <c r="BL137" s="1" t="s">
        <v>74</v>
      </c>
      <c r="BM137" s="1" t="s">
        <v>74</v>
      </c>
      <c r="BN137" s="1" t="s">
        <v>74</v>
      </c>
      <c r="BO137" s="1" t="s">
        <v>74</v>
      </c>
      <c r="BP137" s="1" t="s">
        <v>74</v>
      </c>
      <c r="BQ137" s="1" t="s">
        <v>74</v>
      </c>
      <c r="BR137" s="1" t="s">
        <v>74</v>
      </c>
      <c r="BS137" s="1" t="s">
        <v>1564</v>
      </c>
      <c r="BT137" s="1" t="str">
        <f>HYPERLINK("https%3A%2F%2Fwww.webofscience.com%2Fwos%2Fwoscc%2Ffull-record%2FWOS:000251701000110","View Full Record in Web of Science")</f>
        <v>View Full Record in Web of Science</v>
      </c>
    </row>
    <row r="138" ht="12.75" customHeight="1">
      <c r="A138" s="1" t="s">
        <v>72</v>
      </c>
      <c r="B138" s="1" t="s">
        <v>1565</v>
      </c>
      <c r="C138" s="1" t="s">
        <v>74</v>
      </c>
      <c r="D138" s="1" t="s">
        <v>74</v>
      </c>
      <c r="E138" s="1" t="s">
        <v>74</v>
      </c>
      <c r="F138" s="1" t="s">
        <v>1566</v>
      </c>
      <c r="G138" s="1" t="s">
        <v>74</v>
      </c>
      <c r="H138" s="1" t="s">
        <v>74</v>
      </c>
      <c r="I138" s="1" t="s">
        <v>1567</v>
      </c>
      <c r="J138" s="1" t="s">
        <v>1568</v>
      </c>
      <c r="K138" s="1" t="s">
        <v>74</v>
      </c>
      <c r="L138" s="1" t="s">
        <v>74</v>
      </c>
      <c r="M138" s="1" t="s">
        <v>74</v>
      </c>
      <c r="N138" s="1" t="s">
        <v>74</v>
      </c>
      <c r="O138" s="1" t="s">
        <v>74</v>
      </c>
      <c r="P138" s="1" t="s">
        <v>74</v>
      </c>
      <c r="Q138" s="1" t="s">
        <v>74</v>
      </c>
      <c r="R138" s="1" t="s">
        <v>74</v>
      </c>
      <c r="S138" s="1" t="s">
        <v>74</v>
      </c>
      <c r="T138" s="1" t="s">
        <v>74</v>
      </c>
      <c r="U138" s="1" t="s">
        <v>74</v>
      </c>
      <c r="V138" s="1" t="s">
        <v>1569</v>
      </c>
      <c r="W138" s="1" t="s">
        <v>74</v>
      </c>
      <c r="X138" s="1" t="s">
        <v>74</v>
      </c>
      <c r="Y138" s="1" t="s">
        <v>74</v>
      </c>
      <c r="Z138" s="1" t="s">
        <v>74</v>
      </c>
      <c r="AA138" s="1" t="s">
        <v>1570</v>
      </c>
      <c r="AB138" s="1" t="s">
        <v>809</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1571</v>
      </c>
      <c r="AP138" s="1" t="s">
        <v>1572</v>
      </c>
      <c r="AQ138" s="1" t="s">
        <v>74</v>
      </c>
      <c r="AR138" s="1" t="s">
        <v>74</v>
      </c>
      <c r="AS138" s="1" t="s">
        <v>74</v>
      </c>
      <c r="AT138" s="1" t="s">
        <v>1279</v>
      </c>
      <c r="AU138" s="1">
        <v>2007.0</v>
      </c>
      <c r="AV138" s="1">
        <v>26.0</v>
      </c>
      <c r="AW138" s="1">
        <v>1.0</v>
      </c>
      <c r="AX138" s="1" t="s">
        <v>74</v>
      </c>
      <c r="AY138" s="1" t="s">
        <v>74</v>
      </c>
      <c r="AZ138" s="1" t="s">
        <v>74</v>
      </c>
      <c r="BA138" s="1" t="s">
        <v>74</v>
      </c>
      <c r="BB138" s="1">
        <v>153.0</v>
      </c>
      <c r="BC138" s="1">
        <v>164.0</v>
      </c>
      <c r="BD138" s="1" t="s">
        <v>74</v>
      </c>
      <c r="BE138" s="1" t="s">
        <v>1573</v>
      </c>
      <c r="BF138" s="2" t="str">
        <f>HYPERLINK("http://dx.doi.org/10.1016/j.nbd.2006.12.006","http://dx.doi.org/10.1016/j.nbd.2006.12.006")</f>
        <v>http://dx.doi.org/10.1016/j.nbd.2006.12.006</v>
      </c>
      <c r="BG138" s="1" t="s">
        <v>74</v>
      </c>
      <c r="BH138" s="1" t="s">
        <v>74</v>
      </c>
      <c r="BI138" s="1" t="s">
        <v>74</v>
      </c>
      <c r="BJ138" s="1" t="s">
        <v>74</v>
      </c>
      <c r="BK138" s="1" t="s">
        <v>74</v>
      </c>
      <c r="BL138" s="1" t="s">
        <v>74</v>
      </c>
      <c r="BM138" s="1" t="s">
        <v>74</v>
      </c>
      <c r="BN138" s="1">
        <v>1.7240154E7</v>
      </c>
      <c r="BO138" s="1" t="s">
        <v>74</v>
      </c>
      <c r="BP138" s="1" t="s">
        <v>74</v>
      </c>
      <c r="BQ138" s="1" t="s">
        <v>74</v>
      </c>
      <c r="BR138" s="1" t="s">
        <v>74</v>
      </c>
      <c r="BS138" s="1" t="s">
        <v>1574</v>
      </c>
      <c r="BT138" s="1" t="str">
        <f>HYPERLINK("https%3A%2F%2Fwww.webofscience.com%2Fwos%2Fwoscc%2Ffull-record%2FWOS:000245374000016","View Full Record in Web of Science")</f>
        <v>View Full Record in Web of Science</v>
      </c>
    </row>
    <row r="139" ht="12.75" customHeight="1">
      <c r="A139" s="1" t="s">
        <v>72</v>
      </c>
      <c r="B139" s="1" t="s">
        <v>1575</v>
      </c>
      <c r="C139" s="1" t="s">
        <v>74</v>
      </c>
      <c r="D139" s="1" t="s">
        <v>74</v>
      </c>
      <c r="E139" s="1" t="s">
        <v>74</v>
      </c>
      <c r="F139" s="1" t="s">
        <v>1575</v>
      </c>
      <c r="G139" s="1" t="s">
        <v>74</v>
      </c>
      <c r="H139" s="1" t="s">
        <v>74</v>
      </c>
      <c r="I139" s="1" t="s">
        <v>1576</v>
      </c>
      <c r="J139" s="1" t="s">
        <v>1577</v>
      </c>
      <c r="K139" s="1" t="s">
        <v>74</v>
      </c>
      <c r="L139" s="1" t="s">
        <v>74</v>
      </c>
      <c r="M139" s="1" t="s">
        <v>74</v>
      </c>
      <c r="N139" s="1" t="s">
        <v>74</v>
      </c>
      <c r="O139" s="1" t="s">
        <v>74</v>
      </c>
      <c r="P139" s="1" t="s">
        <v>74</v>
      </c>
      <c r="Q139" s="1" t="s">
        <v>74</v>
      </c>
      <c r="R139" s="1" t="s">
        <v>74</v>
      </c>
      <c r="S139" s="1" t="s">
        <v>74</v>
      </c>
      <c r="T139" s="1" t="s">
        <v>74</v>
      </c>
      <c r="U139" s="1" t="s">
        <v>74</v>
      </c>
      <c r="V139" s="1" t="s">
        <v>1578</v>
      </c>
      <c r="W139" s="1" t="s">
        <v>74</v>
      </c>
      <c r="X139" s="1" t="s">
        <v>74</v>
      </c>
      <c r="Y139" s="1" t="s">
        <v>74</v>
      </c>
      <c r="Z139" s="1" t="s">
        <v>74</v>
      </c>
      <c r="AA139" s="1" t="s">
        <v>1579</v>
      </c>
      <c r="AB139" s="1" t="s">
        <v>1580</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1581</v>
      </c>
      <c r="AP139" s="1" t="s">
        <v>74</v>
      </c>
      <c r="AQ139" s="1" t="s">
        <v>74</v>
      </c>
      <c r="AR139" s="1" t="s">
        <v>74</v>
      </c>
      <c r="AS139" s="1" t="s">
        <v>74</v>
      </c>
      <c r="AT139" s="1" t="s">
        <v>164</v>
      </c>
      <c r="AU139" s="1">
        <v>2005.0</v>
      </c>
      <c r="AV139" s="1">
        <v>50.0</v>
      </c>
      <c r="AW139" s="1">
        <v>4.0</v>
      </c>
      <c r="AX139" s="1" t="s">
        <v>74</v>
      </c>
      <c r="AY139" s="1" t="s">
        <v>74</v>
      </c>
      <c r="AZ139" s="1" t="s">
        <v>74</v>
      </c>
      <c r="BA139" s="1" t="s">
        <v>74</v>
      </c>
      <c r="BB139" s="1">
        <v>671.0</v>
      </c>
      <c r="BC139" s="1">
        <v>676.0</v>
      </c>
      <c r="BD139" s="1" t="s">
        <v>74</v>
      </c>
      <c r="BE139" s="1" t="s">
        <v>74</v>
      </c>
      <c r="BF139" s="1" t="s">
        <v>74</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1582</v>
      </c>
      <c r="BT139" s="1" t="str">
        <f>HYPERLINK("https%3A%2F%2Fwww.webofscience.com%2Fwos%2Fwoscc%2Ffull-record%2FWOS:000234356200006","View Full Record in Web of Science")</f>
        <v>View Full Record in Web of Science</v>
      </c>
    </row>
    <row r="140" ht="12.75" customHeight="1">
      <c r="A140" s="1" t="s">
        <v>72</v>
      </c>
      <c r="B140" s="1" t="s">
        <v>1583</v>
      </c>
      <c r="C140" s="1" t="s">
        <v>74</v>
      </c>
      <c r="D140" s="1" t="s">
        <v>74</v>
      </c>
      <c r="E140" s="1" t="s">
        <v>74</v>
      </c>
      <c r="F140" s="1" t="s">
        <v>1583</v>
      </c>
      <c r="G140" s="1" t="s">
        <v>74</v>
      </c>
      <c r="H140" s="1" t="s">
        <v>74</v>
      </c>
      <c r="I140" s="1" t="s">
        <v>1584</v>
      </c>
      <c r="J140" s="1" t="s">
        <v>1585</v>
      </c>
      <c r="K140" s="1" t="s">
        <v>74</v>
      </c>
      <c r="L140" s="1" t="s">
        <v>74</v>
      </c>
      <c r="M140" s="1" t="s">
        <v>74</v>
      </c>
      <c r="N140" s="1" t="s">
        <v>74</v>
      </c>
      <c r="O140" s="1" t="s">
        <v>74</v>
      </c>
      <c r="P140" s="1" t="s">
        <v>74</v>
      </c>
      <c r="Q140" s="1" t="s">
        <v>74</v>
      </c>
      <c r="R140" s="1" t="s">
        <v>74</v>
      </c>
      <c r="S140" s="1" t="s">
        <v>74</v>
      </c>
      <c r="T140" s="1" t="s">
        <v>74</v>
      </c>
      <c r="U140" s="1" t="s">
        <v>74</v>
      </c>
      <c r="V140" s="1" t="s">
        <v>1586</v>
      </c>
      <c r="W140" s="1" t="s">
        <v>74</v>
      </c>
      <c r="X140" s="1" t="s">
        <v>74</v>
      </c>
      <c r="Y140" s="1" t="s">
        <v>74</v>
      </c>
      <c r="Z140" s="1" t="s">
        <v>74</v>
      </c>
      <c r="AA140" s="1" t="s">
        <v>1587</v>
      </c>
      <c r="AB140" s="1" t="s">
        <v>1588</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1589</v>
      </c>
      <c r="AP140" s="1" t="s">
        <v>74</v>
      </c>
      <c r="AQ140" s="1" t="s">
        <v>74</v>
      </c>
      <c r="AR140" s="1" t="s">
        <v>74</v>
      </c>
      <c r="AS140" s="1" t="s">
        <v>74</v>
      </c>
      <c r="AT140" s="1" t="s">
        <v>1590</v>
      </c>
      <c r="AU140" s="1">
        <v>2005.0</v>
      </c>
      <c r="AV140" s="1">
        <v>109.0</v>
      </c>
      <c r="AW140" s="1">
        <v>6.0</v>
      </c>
      <c r="AX140" s="1" t="s">
        <v>74</v>
      </c>
      <c r="AY140" s="1" t="s">
        <v>74</v>
      </c>
      <c r="AZ140" s="1" t="s">
        <v>74</v>
      </c>
      <c r="BA140" s="1" t="s">
        <v>74</v>
      </c>
      <c r="BB140" s="1">
        <v>1196.0</v>
      </c>
      <c r="BC140" s="1">
        <v>1204.0</v>
      </c>
      <c r="BD140" s="1" t="s">
        <v>74</v>
      </c>
      <c r="BE140" s="1" t="s">
        <v>1591</v>
      </c>
      <c r="BF140" s="2" t="str">
        <f>HYPERLINK("http://dx.doi.org/10.1021/jp045223g","http://dx.doi.org/10.1021/jp045223g")</f>
        <v>http://dx.doi.org/10.1021/jp045223g</v>
      </c>
      <c r="BG140" s="1" t="s">
        <v>74</v>
      </c>
      <c r="BH140" s="1" t="s">
        <v>74</v>
      </c>
      <c r="BI140" s="1" t="s">
        <v>74</v>
      </c>
      <c r="BJ140" s="1" t="s">
        <v>74</v>
      </c>
      <c r="BK140" s="1" t="s">
        <v>74</v>
      </c>
      <c r="BL140" s="1" t="s">
        <v>74</v>
      </c>
      <c r="BM140" s="1" t="s">
        <v>74</v>
      </c>
      <c r="BN140" s="1">
        <v>1.683343E7</v>
      </c>
      <c r="BO140" s="1" t="s">
        <v>74</v>
      </c>
      <c r="BP140" s="1" t="s">
        <v>74</v>
      </c>
      <c r="BQ140" s="1" t="s">
        <v>74</v>
      </c>
      <c r="BR140" s="1" t="s">
        <v>74</v>
      </c>
      <c r="BS140" s="1" t="s">
        <v>1592</v>
      </c>
      <c r="BT140" s="1" t="str">
        <f>HYPERLINK("https%3A%2F%2Fwww.webofscience.com%2Fwos%2Fwoscc%2Ffull-record%2FWOS:000226955800032","View Full Record in Web of Science")</f>
        <v>View Full Record in Web of Science</v>
      </c>
    </row>
    <row r="141" ht="12.75" customHeight="1">
      <c r="A141" s="1" t="s">
        <v>72</v>
      </c>
      <c r="B141" s="1" t="s">
        <v>1593</v>
      </c>
      <c r="C141" s="1" t="s">
        <v>74</v>
      </c>
      <c r="D141" s="1" t="s">
        <v>74</v>
      </c>
      <c r="E141" s="1" t="s">
        <v>74</v>
      </c>
      <c r="F141" s="1" t="s">
        <v>1593</v>
      </c>
      <c r="G141" s="1" t="s">
        <v>74</v>
      </c>
      <c r="H141" s="1" t="s">
        <v>74</v>
      </c>
      <c r="I141" s="1" t="s">
        <v>1594</v>
      </c>
      <c r="J141" s="1" t="s">
        <v>1595</v>
      </c>
      <c r="K141" s="1" t="s">
        <v>74</v>
      </c>
      <c r="L141" s="1" t="s">
        <v>74</v>
      </c>
      <c r="M141" s="1" t="s">
        <v>74</v>
      </c>
      <c r="N141" s="1" t="s">
        <v>74</v>
      </c>
      <c r="O141" s="1" t="s">
        <v>74</v>
      </c>
      <c r="P141" s="1" t="s">
        <v>74</v>
      </c>
      <c r="Q141" s="1" t="s">
        <v>74</v>
      </c>
      <c r="R141" s="1" t="s">
        <v>74</v>
      </c>
      <c r="S141" s="1" t="s">
        <v>74</v>
      </c>
      <c r="T141" s="1" t="s">
        <v>74</v>
      </c>
      <c r="U141" s="1" t="s">
        <v>74</v>
      </c>
      <c r="V141" s="1" t="s">
        <v>1596</v>
      </c>
      <c r="W141" s="1" t="s">
        <v>74</v>
      </c>
      <c r="X141" s="1" t="s">
        <v>74</v>
      </c>
      <c r="Y141" s="1" t="s">
        <v>74</v>
      </c>
      <c r="Z141" s="1" t="s">
        <v>74</v>
      </c>
      <c r="AA141" s="1" t="s">
        <v>1597</v>
      </c>
      <c r="AB141" s="1" t="s">
        <v>1598</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1599</v>
      </c>
      <c r="AP141" s="1" t="s">
        <v>74</v>
      </c>
      <c r="AQ141" s="1" t="s">
        <v>74</v>
      </c>
      <c r="AR141" s="1" t="s">
        <v>74</v>
      </c>
      <c r="AS141" s="1" t="s">
        <v>74</v>
      </c>
      <c r="AT141" s="1" t="s">
        <v>1106</v>
      </c>
      <c r="AU141" s="1">
        <v>2004.0</v>
      </c>
      <c r="AV141" s="1">
        <v>151.0</v>
      </c>
      <c r="AW141" s="1">
        <v>1.0</v>
      </c>
      <c r="AX141" s="1" t="s">
        <v>74</v>
      </c>
      <c r="AY141" s="1" t="s">
        <v>74</v>
      </c>
      <c r="AZ141" s="1" t="s">
        <v>74</v>
      </c>
      <c r="BA141" s="1" t="s">
        <v>74</v>
      </c>
      <c r="BB141" s="1" t="s">
        <v>1600</v>
      </c>
      <c r="BC141" s="1" t="s">
        <v>1601</v>
      </c>
      <c r="BD141" s="1" t="s">
        <v>74</v>
      </c>
      <c r="BE141" s="1" t="s">
        <v>1602</v>
      </c>
      <c r="BF141" s="2" t="str">
        <f>HYPERLINK("http://dx.doi.org/10.1149/1.1631822","http://dx.doi.org/10.1149/1.1631822")</f>
        <v>http://dx.doi.org/10.1149/1.1631822</v>
      </c>
      <c r="BG141" s="1" t="s">
        <v>74</v>
      </c>
      <c r="BH141" s="1" t="s">
        <v>74</v>
      </c>
      <c r="BI141" s="1" t="s">
        <v>74</v>
      </c>
      <c r="BJ141" s="1" t="s">
        <v>74</v>
      </c>
      <c r="BK141" s="1" t="s">
        <v>74</v>
      </c>
      <c r="BL141" s="1" t="s">
        <v>74</v>
      </c>
      <c r="BM141" s="1" t="s">
        <v>74</v>
      </c>
      <c r="BN141" s="1" t="s">
        <v>74</v>
      </c>
      <c r="BO141" s="1" t="s">
        <v>74</v>
      </c>
      <c r="BP141" s="1" t="s">
        <v>74</v>
      </c>
      <c r="BQ141" s="1" t="s">
        <v>74</v>
      </c>
      <c r="BR141" s="1" t="s">
        <v>74</v>
      </c>
      <c r="BS141" s="1" t="s">
        <v>1603</v>
      </c>
      <c r="BT141" s="1" t="str">
        <f>HYPERLINK("https%3A%2F%2Fwww.webofscience.com%2Fwos%2Fwoscc%2Ffull-record%2FWOS:000187428800052","View Full Record in Web of Science")</f>
        <v>View Full Record in Web of Science</v>
      </c>
    </row>
    <row r="142" ht="12.75" customHeight="1">
      <c r="A142" s="1" t="s">
        <v>72</v>
      </c>
      <c r="B142" s="1" t="s">
        <v>1604</v>
      </c>
      <c r="C142" s="1" t="s">
        <v>74</v>
      </c>
      <c r="D142" s="1" t="s">
        <v>74</v>
      </c>
      <c r="E142" s="1" t="s">
        <v>74</v>
      </c>
      <c r="F142" s="1" t="s">
        <v>1604</v>
      </c>
      <c r="G142" s="1" t="s">
        <v>74</v>
      </c>
      <c r="H142" s="1" t="s">
        <v>74</v>
      </c>
      <c r="I142" s="1" t="s">
        <v>1605</v>
      </c>
      <c r="J142" s="1" t="s">
        <v>1606</v>
      </c>
      <c r="K142" s="1" t="s">
        <v>74</v>
      </c>
      <c r="L142" s="1" t="s">
        <v>74</v>
      </c>
      <c r="M142" s="1" t="s">
        <v>74</v>
      </c>
      <c r="N142" s="1" t="s">
        <v>74</v>
      </c>
      <c r="O142" s="1" t="s">
        <v>74</v>
      </c>
      <c r="P142" s="1" t="s">
        <v>74</v>
      </c>
      <c r="Q142" s="1" t="s">
        <v>74</v>
      </c>
      <c r="R142" s="1" t="s">
        <v>74</v>
      </c>
      <c r="S142" s="1" t="s">
        <v>74</v>
      </c>
      <c r="T142" s="1" t="s">
        <v>74</v>
      </c>
      <c r="U142" s="1" t="s">
        <v>74</v>
      </c>
      <c r="V142" s="1" t="s">
        <v>1607</v>
      </c>
      <c r="W142" s="1" t="s">
        <v>74</v>
      </c>
      <c r="X142" s="1" t="s">
        <v>74</v>
      </c>
      <c r="Y142" s="1" t="s">
        <v>74</v>
      </c>
      <c r="Z142" s="1" t="s">
        <v>74</v>
      </c>
      <c r="AA142" s="1" t="s">
        <v>1608</v>
      </c>
      <c r="AB142" s="1" t="s">
        <v>1609</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1610</v>
      </c>
      <c r="AP142" s="1" t="s">
        <v>1611</v>
      </c>
      <c r="AQ142" s="1" t="s">
        <v>74</v>
      </c>
      <c r="AR142" s="1" t="s">
        <v>74</v>
      </c>
      <c r="AS142" s="1" t="s">
        <v>74</v>
      </c>
      <c r="AT142" s="1" t="s">
        <v>94</v>
      </c>
      <c r="AU142" s="1">
        <v>2003.0</v>
      </c>
      <c r="AV142" s="1">
        <v>15.0</v>
      </c>
      <c r="AW142" s="1">
        <v>9.0</v>
      </c>
      <c r="AX142" s="1" t="s">
        <v>74</v>
      </c>
      <c r="AY142" s="1" t="s">
        <v>74</v>
      </c>
      <c r="AZ142" s="1" t="s">
        <v>74</v>
      </c>
      <c r="BA142" s="1" t="s">
        <v>74</v>
      </c>
      <c r="BB142" s="1">
        <v>779.0</v>
      </c>
      <c r="BC142" s="1">
        <v>785.0</v>
      </c>
      <c r="BD142" s="1" t="s">
        <v>74</v>
      </c>
      <c r="BE142" s="1" t="s">
        <v>1612</v>
      </c>
      <c r="BF142" s="2" t="str">
        <f>HYPERLINK("http://dx.doi.org/10.1002/elan.200390096","http://dx.doi.org/10.1002/elan.200390096")</f>
        <v>http://dx.doi.org/10.1002/elan.200390096</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1613</v>
      </c>
      <c r="BT142" s="1" t="str">
        <f>HYPERLINK("https%3A%2F%2Fwww.webofscience.com%2Fwos%2Fwoscc%2Ffull-record%2FWOS:000183964600003","View Full Record in Web of Science")</f>
        <v>View Full Record in Web of Science</v>
      </c>
    </row>
    <row r="143" ht="12.75" customHeight="1">
      <c r="A143" s="1" t="s">
        <v>72</v>
      </c>
      <c r="B143" s="1" t="s">
        <v>1614</v>
      </c>
      <c r="C143" s="1" t="s">
        <v>74</v>
      </c>
      <c r="D143" s="1" t="s">
        <v>74</v>
      </c>
      <c r="E143" s="1" t="s">
        <v>74</v>
      </c>
      <c r="F143" s="1" t="s">
        <v>1614</v>
      </c>
      <c r="G143" s="1" t="s">
        <v>74</v>
      </c>
      <c r="H143" s="1" t="s">
        <v>1615</v>
      </c>
      <c r="I143" s="1" t="s">
        <v>1616</v>
      </c>
      <c r="J143" s="1" t="s">
        <v>1617</v>
      </c>
      <c r="K143" s="1" t="s">
        <v>74</v>
      </c>
      <c r="L143" s="1" t="s">
        <v>74</v>
      </c>
      <c r="M143" s="1" t="s">
        <v>74</v>
      </c>
      <c r="N143" s="1" t="s">
        <v>74</v>
      </c>
      <c r="O143" s="1" t="s">
        <v>74</v>
      </c>
      <c r="P143" s="1" t="s">
        <v>74</v>
      </c>
      <c r="Q143" s="1" t="s">
        <v>74</v>
      </c>
      <c r="R143" s="1" t="s">
        <v>74</v>
      </c>
      <c r="S143" s="1" t="s">
        <v>74</v>
      </c>
      <c r="T143" s="1" t="s">
        <v>74</v>
      </c>
      <c r="U143" s="1" t="s">
        <v>74</v>
      </c>
      <c r="V143" s="1" t="s">
        <v>1618</v>
      </c>
      <c r="W143" s="1" t="s">
        <v>74</v>
      </c>
      <c r="X143" s="1" t="s">
        <v>74</v>
      </c>
      <c r="Y143" s="1" t="s">
        <v>74</v>
      </c>
      <c r="Z143" s="1" t="s">
        <v>74</v>
      </c>
      <c r="AA143" s="1" t="s">
        <v>1619</v>
      </c>
      <c r="AB143" s="1" t="s">
        <v>1620</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1621</v>
      </c>
      <c r="AP143" s="1" t="s">
        <v>74</v>
      </c>
      <c r="AQ143" s="1" t="s">
        <v>74</v>
      </c>
      <c r="AR143" s="1" t="s">
        <v>74</v>
      </c>
      <c r="AS143" s="1" t="s">
        <v>74</v>
      </c>
      <c r="AT143" s="1" t="s">
        <v>408</v>
      </c>
      <c r="AU143" s="1">
        <v>2003.0</v>
      </c>
      <c r="AV143" s="1">
        <v>21.0</v>
      </c>
      <c r="AW143" s="1">
        <v>3.0</v>
      </c>
      <c r="AX143" s="1" t="s">
        <v>74</v>
      </c>
      <c r="AY143" s="1" t="s">
        <v>74</v>
      </c>
      <c r="AZ143" s="1" t="s">
        <v>74</v>
      </c>
      <c r="BA143" s="1" t="s">
        <v>74</v>
      </c>
      <c r="BB143" s="1">
        <v>455.0</v>
      </c>
      <c r="BC143" s="1">
        <v>461.0</v>
      </c>
      <c r="BD143" s="1" t="s">
        <v>74</v>
      </c>
      <c r="BE143" s="1" t="s">
        <v>1622</v>
      </c>
      <c r="BF143" s="2" t="str">
        <f>HYPERLINK("http://dx.doi.org/10.1183/09031936.03.00041403","http://dx.doi.org/10.1183/09031936.03.00041403")</f>
        <v>http://dx.doi.org/10.1183/09031936.03.00041403</v>
      </c>
      <c r="BG143" s="1" t="s">
        <v>74</v>
      </c>
      <c r="BH143" s="1" t="s">
        <v>74</v>
      </c>
      <c r="BI143" s="1" t="s">
        <v>74</v>
      </c>
      <c r="BJ143" s="1" t="s">
        <v>74</v>
      </c>
      <c r="BK143" s="1" t="s">
        <v>74</v>
      </c>
      <c r="BL143" s="1" t="s">
        <v>74</v>
      </c>
      <c r="BM143" s="1" t="s">
        <v>74</v>
      </c>
      <c r="BN143" s="1">
        <v>1.2662001E7</v>
      </c>
      <c r="BO143" s="1" t="s">
        <v>74</v>
      </c>
      <c r="BP143" s="1" t="s">
        <v>74</v>
      </c>
      <c r="BQ143" s="1" t="s">
        <v>74</v>
      </c>
      <c r="BR143" s="1" t="s">
        <v>74</v>
      </c>
      <c r="BS143" s="1" t="s">
        <v>1623</v>
      </c>
      <c r="BT143" s="1" t="str">
        <f>HYPERLINK("https%3A%2F%2Fwww.webofscience.com%2Fwos%2Fwoscc%2Ffull-record%2FWOS:000181578200014","View Full Record in Web of Science")</f>
        <v>View Full Record in Web of Science</v>
      </c>
    </row>
    <row r="144" ht="12.75" customHeight="1">
      <c r="A144" s="1" t="s">
        <v>72</v>
      </c>
      <c r="B144" s="1" t="s">
        <v>1624</v>
      </c>
      <c r="C144" s="1" t="s">
        <v>74</v>
      </c>
      <c r="D144" s="1" t="s">
        <v>74</v>
      </c>
      <c r="E144" s="1" t="s">
        <v>74</v>
      </c>
      <c r="F144" s="1" t="s">
        <v>1624</v>
      </c>
      <c r="G144" s="1" t="s">
        <v>74</v>
      </c>
      <c r="H144" s="1" t="s">
        <v>74</v>
      </c>
      <c r="I144" s="1" t="s">
        <v>1625</v>
      </c>
      <c r="J144" s="1" t="s">
        <v>1626</v>
      </c>
      <c r="K144" s="1" t="s">
        <v>74</v>
      </c>
      <c r="L144" s="1" t="s">
        <v>74</v>
      </c>
      <c r="M144" s="1" t="s">
        <v>74</v>
      </c>
      <c r="N144" s="1" t="s">
        <v>74</v>
      </c>
      <c r="O144" s="1" t="s">
        <v>74</v>
      </c>
      <c r="P144" s="1" t="s">
        <v>74</v>
      </c>
      <c r="Q144" s="1" t="s">
        <v>74</v>
      </c>
      <c r="R144" s="1" t="s">
        <v>74</v>
      </c>
      <c r="S144" s="1" t="s">
        <v>74</v>
      </c>
      <c r="T144" s="1" t="s">
        <v>74</v>
      </c>
      <c r="U144" s="1" t="s">
        <v>74</v>
      </c>
      <c r="V144" s="1" t="s">
        <v>1627</v>
      </c>
      <c r="W144" s="1" t="s">
        <v>74</v>
      </c>
      <c r="X144" s="1" t="s">
        <v>74</v>
      </c>
      <c r="Y144" s="1" t="s">
        <v>74</v>
      </c>
      <c r="Z144" s="1" t="s">
        <v>74</v>
      </c>
      <c r="AA144" s="1" t="s">
        <v>1628</v>
      </c>
      <c r="AB144" s="1" t="s">
        <v>1629</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1630</v>
      </c>
      <c r="AP144" s="1" t="s">
        <v>74</v>
      </c>
      <c r="AQ144" s="1" t="s">
        <v>74</v>
      </c>
      <c r="AR144" s="1" t="s">
        <v>74</v>
      </c>
      <c r="AS144" s="1" t="s">
        <v>74</v>
      </c>
      <c r="AT144" s="1" t="s">
        <v>1279</v>
      </c>
      <c r="AU144" s="1">
        <v>1996.0</v>
      </c>
      <c r="AV144" s="1">
        <v>62.0</v>
      </c>
      <c r="AW144" s="1">
        <v>1.0</v>
      </c>
      <c r="AX144" s="1" t="s">
        <v>74</v>
      </c>
      <c r="AY144" s="1" t="s">
        <v>74</v>
      </c>
      <c r="AZ144" s="1" t="s">
        <v>74</v>
      </c>
      <c r="BA144" s="1" t="s">
        <v>74</v>
      </c>
      <c r="BB144" s="1">
        <v>31.0</v>
      </c>
      <c r="BC144" s="1">
        <v>39.0</v>
      </c>
      <c r="BD144" s="1" t="s">
        <v>74</v>
      </c>
      <c r="BE144" s="1" t="s">
        <v>1631</v>
      </c>
      <c r="BF144" s="2" t="str">
        <f>HYPERLINK("http://dx.doi.org/10.1016/0162-0134(95)00086-0","http://dx.doi.org/10.1016/0162-0134(95)00086-0")</f>
        <v>http://dx.doi.org/10.1016/0162-0134(95)00086-0</v>
      </c>
      <c r="BG144" s="1" t="s">
        <v>74</v>
      </c>
      <c r="BH144" s="1" t="s">
        <v>74</v>
      </c>
      <c r="BI144" s="1" t="s">
        <v>74</v>
      </c>
      <c r="BJ144" s="1" t="s">
        <v>74</v>
      </c>
      <c r="BK144" s="1" t="s">
        <v>74</v>
      </c>
      <c r="BL144" s="1" t="s">
        <v>74</v>
      </c>
      <c r="BM144" s="1" t="s">
        <v>74</v>
      </c>
      <c r="BN144" s="1">
        <v>8936421.0</v>
      </c>
      <c r="BO144" s="1" t="s">
        <v>74</v>
      </c>
      <c r="BP144" s="1" t="s">
        <v>74</v>
      </c>
      <c r="BQ144" s="1" t="s">
        <v>74</v>
      </c>
      <c r="BR144" s="1" t="s">
        <v>74</v>
      </c>
      <c r="BS144" s="1" t="s">
        <v>1632</v>
      </c>
      <c r="BT144" s="1" t="str">
        <f>HYPERLINK("https%3A%2F%2Fwww.webofscience.com%2Fwos%2Fwoscc%2Ffull-record%2FWOS:A1996UF54800003","View Full Record in Web of Science")</f>
        <v>View Full Record in Web of Science</v>
      </c>
    </row>
    <row r="145" ht="12.75" customHeight="1">
      <c r="A145" s="1" t="s">
        <v>72</v>
      </c>
      <c r="B145" s="1" t="s">
        <v>1633</v>
      </c>
      <c r="C145" s="1" t="s">
        <v>74</v>
      </c>
      <c r="D145" s="1" t="s">
        <v>74</v>
      </c>
      <c r="E145" s="1" t="s">
        <v>74</v>
      </c>
      <c r="F145" s="1" t="s">
        <v>1633</v>
      </c>
      <c r="G145" s="1" t="s">
        <v>74</v>
      </c>
      <c r="H145" s="1" t="s">
        <v>74</v>
      </c>
      <c r="I145" s="1" t="s">
        <v>1634</v>
      </c>
      <c r="J145" s="1" t="s">
        <v>1065</v>
      </c>
      <c r="K145" s="1" t="s">
        <v>74</v>
      </c>
      <c r="L145" s="1" t="s">
        <v>74</v>
      </c>
      <c r="M145" s="1" t="s">
        <v>74</v>
      </c>
      <c r="N145" s="1" t="s">
        <v>74</v>
      </c>
      <c r="O145" s="1" t="s">
        <v>74</v>
      </c>
      <c r="P145" s="1" t="s">
        <v>74</v>
      </c>
      <c r="Q145" s="1" t="s">
        <v>74</v>
      </c>
      <c r="R145" s="1" t="s">
        <v>74</v>
      </c>
      <c r="S145" s="1" t="s">
        <v>74</v>
      </c>
      <c r="T145" s="1" t="s">
        <v>74</v>
      </c>
      <c r="U145" s="1" t="s">
        <v>74</v>
      </c>
      <c r="V145" s="1" t="s">
        <v>1635</v>
      </c>
      <c r="W145" s="1" t="s">
        <v>74</v>
      </c>
      <c r="X145" s="1" t="s">
        <v>74</v>
      </c>
      <c r="Y145" s="1" t="s">
        <v>74</v>
      </c>
      <c r="Z145" s="1" t="s">
        <v>74</v>
      </c>
      <c r="AA145" s="1" t="s">
        <v>74</v>
      </c>
      <c r="AB145" s="1" t="s">
        <v>74</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1068</v>
      </c>
      <c r="AP145" s="1" t="s">
        <v>74</v>
      </c>
      <c r="AQ145" s="1" t="s">
        <v>74</v>
      </c>
      <c r="AR145" s="1" t="s">
        <v>74</v>
      </c>
      <c r="AS145" s="1" t="s">
        <v>74</v>
      </c>
      <c r="AT145" s="1" t="s">
        <v>374</v>
      </c>
      <c r="AU145" s="1">
        <v>1995.0</v>
      </c>
      <c r="AV145" s="1">
        <v>40.0</v>
      </c>
      <c r="AW145" s="1">
        <v>16.0</v>
      </c>
      <c r="AX145" s="1" t="s">
        <v>74</v>
      </c>
      <c r="AY145" s="1" t="s">
        <v>74</v>
      </c>
      <c r="AZ145" s="1" t="s">
        <v>74</v>
      </c>
      <c r="BA145" s="1" t="s">
        <v>74</v>
      </c>
      <c r="BB145" s="1">
        <v>2669.0</v>
      </c>
      <c r="BC145" s="1">
        <v>2674.0</v>
      </c>
      <c r="BD145" s="1" t="s">
        <v>74</v>
      </c>
      <c r="BE145" s="1" t="s">
        <v>1636</v>
      </c>
      <c r="BF145" s="2" t="str">
        <f>HYPERLINK("http://dx.doi.org/10.1016/0013-4686(95)00240-F","http://dx.doi.org/10.1016/0013-4686(95)00240-F")</f>
        <v>http://dx.doi.org/10.1016/0013-4686(95)00240-F</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1637</v>
      </c>
      <c r="BT145" s="1" t="str">
        <f>HYPERLINK("https%3A%2F%2Fwww.webofscience.com%2Fwos%2Fwoscc%2Ffull-record%2FWOS:A1995TA15500013","View Full Record in Web of Science")</f>
        <v>View Full Record in Web of Science</v>
      </c>
    </row>
    <row r="146" ht="12.75" customHeight="1">
      <c r="A146" s="1" t="s">
        <v>72</v>
      </c>
      <c r="B146" s="1" t="s">
        <v>1638</v>
      </c>
      <c r="C146" s="1" t="s">
        <v>74</v>
      </c>
      <c r="D146" s="1" t="s">
        <v>74</v>
      </c>
      <c r="E146" s="1" t="s">
        <v>74</v>
      </c>
      <c r="F146" s="1" t="s">
        <v>1638</v>
      </c>
      <c r="G146" s="1" t="s">
        <v>74</v>
      </c>
      <c r="H146" s="1" t="s">
        <v>74</v>
      </c>
      <c r="I146" s="1" t="s">
        <v>1639</v>
      </c>
      <c r="J146" s="1" t="s">
        <v>1640</v>
      </c>
      <c r="K146" s="1" t="s">
        <v>74</v>
      </c>
      <c r="L146" s="1" t="s">
        <v>74</v>
      </c>
      <c r="M146" s="1" t="s">
        <v>74</v>
      </c>
      <c r="N146" s="1" t="s">
        <v>74</v>
      </c>
      <c r="O146" s="1" t="s">
        <v>74</v>
      </c>
      <c r="P146" s="1" t="s">
        <v>74</v>
      </c>
      <c r="Q146" s="1" t="s">
        <v>74</v>
      </c>
      <c r="R146" s="1" t="s">
        <v>74</v>
      </c>
      <c r="S146" s="1" t="s">
        <v>74</v>
      </c>
      <c r="T146" s="1" t="s">
        <v>74</v>
      </c>
      <c r="U146" s="1" t="s">
        <v>74</v>
      </c>
      <c r="V146" s="1" t="s">
        <v>1641</v>
      </c>
      <c r="W146" s="1" t="s">
        <v>74</v>
      </c>
      <c r="X146" s="1" t="s">
        <v>74</v>
      </c>
      <c r="Y146" s="1" t="s">
        <v>74</v>
      </c>
      <c r="Z146" s="1" t="s">
        <v>74</v>
      </c>
      <c r="AA146" s="1" t="s">
        <v>74</v>
      </c>
      <c r="AB146" s="1" t="s">
        <v>74</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1642</v>
      </c>
      <c r="AP146" s="1" t="s">
        <v>74</v>
      </c>
      <c r="AQ146" s="1" t="s">
        <v>74</v>
      </c>
      <c r="AR146" s="1" t="s">
        <v>74</v>
      </c>
      <c r="AS146" s="1" t="s">
        <v>74</v>
      </c>
      <c r="AT146" s="1" t="s">
        <v>745</v>
      </c>
      <c r="AU146" s="1">
        <v>1994.0</v>
      </c>
      <c r="AV146" s="1">
        <v>13.0</v>
      </c>
      <c r="AW146" s="1">
        <v>5.0</v>
      </c>
      <c r="AX146" s="1" t="s">
        <v>74</v>
      </c>
      <c r="AY146" s="1" t="s">
        <v>74</v>
      </c>
      <c r="AZ146" s="1" t="s">
        <v>74</v>
      </c>
      <c r="BA146" s="1" t="s">
        <v>74</v>
      </c>
      <c r="BB146" s="1">
        <v>345.0</v>
      </c>
      <c r="BC146" s="1">
        <v>351.0</v>
      </c>
      <c r="BD146" s="1" t="s">
        <v>74</v>
      </c>
      <c r="BE146" s="1" t="s">
        <v>1643</v>
      </c>
      <c r="BF146" s="2" t="str">
        <f>HYPERLINK("http://dx.doi.org/10.1177/096032719401300510","http://dx.doi.org/10.1177/096032719401300510")</f>
        <v>http://dx.doi.org/10.1177/096032719401300510</v>
      </c>
      <c r="BG146" s="1" t="s">
        <v>74</v>
      </c>
      <c r="BH146" s="1" t="s">
        <v>74</v>
      </c>
      <c r="BI146" s="1" t="s">
        <v>74</v>
      </c>
      <c r="BJ146" s="1" t="s">
        <v>74</v>
      </c>
      <c r="BK146" s="1" t="s">
        <v>74</v>
      </c>
      <c r="BL146" s="1" t="s">
        <v>74</v>
      </c>
      <c r="BM146" s="1" t="s">
        <v>74</v>
      </c>
      <c r="BN146" s="1">
        <v>8043316.0</v>
      </c>
      <c r="BO146" s="1" t="s">
        <v>74</v>
      </c>
      <c r="BP146" s="1" t="s">
        <v>74</v>
      </c>
      <c r="BQ146" s="1" t="s">
        <v>74</v>
      </c>
      <c r="BR146" s="1" t="s">
        <v>74</v>
      </c>
      <c r="BS146" s="1" t="s">
        <v>1644</v>
      </c>
      <c r="BT146" s="1" t="str">
        <f>HYPERLINK("https%3A%2F%2Fwww.webofscience.com%2Fwos%2Fwoscc%2Ffull-record%2FWOS:A1994NK17900010","View Full Record in Web of Science")</f>
        <v>View Full Record in Web of Science</v>
      </c>
    </row>
    <row r="147" ht="12.75" customHeight="1">
      <c r="A147" s="1" t="s">
        <v>72</v>
      </c>
      <c r="B147" s="1" t="s">
        <v>1645</v>
      </c>
      <c r="C147" s="1" t="s">
        <v>74</v>
      </c>
      <c r="D147" s="1" t="s">
        <v>74</v>
      </c>
      <c r="E147" s="1" t="s">
        <v>74</v>
      </c>
      <c r="F147" s="1" t="s">
        <v>1645</v>
      </c>
      <c r="G147" s="1" t="s">
        <v>74</v>
      </c>
      <c r="H147" s="1" t="s">
        <v>74</v>
      </c>
      <c r="I147" s="1" t="s">
        <v>1646</v>
      </c>
      <c r="J147" s="1" t="s">
        <v>1647</v>
      </c>
      <c r="K147" s="1" t="s">
        <v>74</v>
      </c>
      <c r="L147" s="1" t="s">
        <v>74</v>
      </c>
      <c r="M147" s="1" t="s">
        <v>74</v>
      </c>
      <c r="N147" s="1" t="s">
        <v>74</v>
      </c>
      <c r="O147" s="1" t="s">
        <v>74</v>
      </c>
      <c r="P147" s="1" t="s">
        <v>74</v>
      </c>
      <c r="Q147" s="1" t="s">
        <v>74</v>
      </c>
      <c r="R147" s="1" t="s">
        <v>74</v>
      </c>
      <c r="S147" s="1" t="s">
        <v>74</v>
      </c>
      <c r="T147" s="1" t="s">
        <v>74</v>
      </c>
      <c r="U147" s="1" t="s">
        <v>74</v>
      </c>
      <c r="V147" s="1" t="s">
        <v>1648</v>
      </c>
      <c r="W147" s="1" t="s">
        <v>74</v>
      </c>
      <c r="X147" s="1" t="s">
        <v>74</v>
      </c>
      <c r="Y147" s="1" t="s">
        <v>74</v>
      </c>
      <c r="Z147" s="1" t="s">
        <v>74</v>
      </c>
      <c r="AA147" s="1" t="s">
        <v>74</v>
      </c>
      <c r="AB147" s="1" t="s">
        <v>74</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1649</v>
      </c>
      <c r="AP147" s="1" t="s">
        <v>74</v>
      </c>
      <c r="AQ147" s="1" t="s">
        <v>74</v>
      </c>
      <c r="AR147" s="1" t="s">
        <v>74</v>
      </c>
      <c r="AS147" s="1" t="s">
        <v>74</v>
      </c>
      <c r="AT147" s="1" t="s">
        <v>1650</v>
      </c>
      <c r="AU147" s="1">
        <v>1991.0</v>
      </c>
      <c r="AV147" s="1">
        <v>74.0</v>
      </c>
      <c r="AW147" s="1">
        <v>1.0</v>
      </c>
      <c r="AX147" s="1" t="s">
        <v>74</v>
      </c>
      <c r="AY147" s="1" t="s">
        <v>74</v>
      </c>
      <c r="AZ147" s="1" t="s">
        <v>74</v>
      </c>
      <c r="BA147" s="1" t="s">
        <v>74</v>
      </c>
      <c r="BB147" s="1">
        <v>125.0</v>
      </c>
      <c r="BC147" s="1">
        <v>136.0</v>
      </c>
      <c r="BD147" s="1" t="s">
        <v>74</v>
      </c>
      <c r="BE147" s="1" t="s">
        <v>74</v>
      </c>
      <c r="BF147" s="1" t="s">
        <v>74</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1651</v>
      </c>
      <c r="BT147" s="1" t="str">
        <f>HYPERLINK("https%3A%2F%2Fwww.webofscience.com%2Fwos%2Fwoscc%2Ffull-record%2FWOS:A1991FW27700011","View Full Record in Web of Science")</f>
        <v>View Full Record in Web of Science</v>
      </c>
    </row>
    <row r="148" ht="12.75" customHeight="1">
      <c r="A148" s="1" t="s">
        <v>72</v>
      </c>
      <c r="B148" s="1" t="s">
        <v>1652</v>
      </c>
      <c r="C148" s="1" t="s">
        <v>74</v>
      </c>
      <c r="D148" s="1" t="s">
        <v>74</v>
      </c>
      <c r="E148" s="1" t="s">
        <v>74</v>
      </c>
      <c r="F148" s="1" t="s">
        <v>1652</v>
      </c>
      <c r="G148" s="1" t="s">
        <v>74</v>
      </c>
      <c r="H148" s="1" t="s">
        <v>74</v>
      </c>
      <c r="I148" s="1" t="s">
        <v>1653</v>
      </c>
      <c r="J148" s="1" t="s">
        <v>1654</v>
      </c>
      <c r="K148" s="1" t="s">
        <v>74</v>
      </c>
      <c r="L148" s="1" t="s">
        <v>74</v>
      </c>
      <c r="M148" s="1" t="s">
        <v>74</v>
      </c>
      <c r="N148" s="1" t="s">
        <v>74</v>
      </c>
      <c r="O148" s="1" t="s">
        <v>74</v>
      </c>
      <c r="P148" s="1" t="s">
        <v>74</v>
      </c>
      <c r="Q148" s="1" t="s">
        <v>74</v>
      </c>
      <c r="R148" s="1" t="s">
        <v>74</v>
      </c>
      <c r="S148" s="1" t="s">
        <v>74</v>
      </c>
      <c r="T148" s="1" t="s">
        <v>74</v>
      </c>
      <c r="U148" s="1" t="s">
        <v>74</v>
      </c>
      <c r="V148" s="1" t="s">
        <v>74</v>
      </c>
      <c r="W148" s="1" t="s">
        <v>74</v>
      </c>
      <c r="X148" s="1" t="s">
        <v>74</v>
      </c>
      <c r="Y148" s="1" t="s">
        <v>74</v>
      </c>
      <c r="Z148" s="1" t="s">
        <v>74</v>
      </c>
      <c r="AA148" s="1" t="s">
        <v>74</v>
      </c>
      <c r="AB148" s="1" t="s">
        <v>1655</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1656</v>
      </c>
      <c r="AP148" s="1" t="s">
        <v>74</v>
      </c>
      <c r="AQ148" s="1" t="s">
        <v>74</v>
      </c>
      <c r="AR148" s="1" t="s">
        <v>74</v>
      </c>
      <c r="AS148" s="1" t="s">
        <v>74</v>
      </c>
      <c r="AT148" s="1" t="s">
        <v>1657</v>
      </c>
      <c r="AU148" s="1">
        <v>1990.0</v>
      </c>
      <c r="AV148" s="1">
        <v>53.0</v>
      </c>
      <c r="AW148" s="1">
        <v>1.0</v>
      </c>
      <c r="AX148" s="1" t="s">
        <v>74</v>
      </c>
      <c r="AY148" s="1" t="s">
        <v>74</v>
      </c>
      <c r="AZ148" s="1" t="s">
        <v>74</v>
      </c>
      <c r="BA148" s="1" t="s">
        <v>74</v>
      </c>
      <c r="BB148" s="1">
        <v>77.0</v>
      </c>
      <c r="BC148" s="1">
        <v>85.0</v>
      </c>
      <c r="BD148" s="1" t="s">
        <v>74</v>
      </c>
      <c r="BE148" s="1" t="s">
        <v>1658</v>
      </c>
      <c r="BF148" s="2" t="str">
        <f>HYPERLINK("http://dx.doi.org/10.1016/1010-6030(90)87115-R","http://dx.doi.org/10.1016/1010-6030(90)87115-R")</f>
        <v>http://dx.doi.org/10.1016/1010-6030(90)87115-R</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1659</v>
      </c>
      <c r="BT148" s="1" t="str">
        <f>HYPERLINK("https%3A%2F%2Fwww.webofscience.com%2Fwos%2Fwoscc%2Ffull-record%2FWOS:A1990DQ25500009","View Full Record in Web of Science")</f>
        <v>View Full Record in Web of Science</v>
      </c>
    </row>
    <row r="149" ht="12.75" customHeight="1">
      <c r="A149" s="1" t="s">
        <v>72</v>
      </c>
      <c r="B149" s="1" t="s">
        <v>1660</v>
      </c>
      <c r="C149" s="1" t="s">
        <v>74</v>
      </c>
      <c r="D149" s="1" t="s">
        <v>74</v>
      </c>
      <c r="E149" s="1" t="s">
        <v>74</v>
      </c>
      <c r="F149" s="1" t="s">
        <v>1661</v>
      </c>
      <c r="G149" s="1" t="s">
        <v>74</v>
      </c>
      <c r="H149" s="1" t="s">
        <v>74</v>
      </c>
      <c r="I149" s="1" t="s">
        <v>1662</v>
      </c>
      <c r="J149" s="1" t="s">
        <v>1663</v>
      </c>
      <c r="K149" s="1" t="s">
        <v>74</v>
      </c>
      <c r="L149" s="1" t="s">
        <v>74</v>
      </c>
      <c r="M149" s="1" t="s">
        <v>74</v>
      </c>
      <c r="N149" s="1" t="s">
        <v>74</v>
      </c>
      <c r="O149" s="1" t="s">
        <v>74</v>
      </c>
      <c r="P149" s="1" t="s">
        <v>74</v>
      </c>
      <c r="Q149" s="1" t="s">
        <v>74</v>
      </c>
      <c r="R149" s="1" t="s">
        <v>74</v>
      </c>
      <c r="S149" s="1" t="s">
        <v>74</v>
      </c>
      <c r="T149" s="1" t="s">
        <v>74</v>
      </c>
      <c r="U149" s="1" t="s">
        <v>74</v>
      </c>
      <c r="V149" s="1" t="s">
        <v>1664</v>
      </c>
      <c r="W149" s="1" t="s">
        <v>74</v>
      </c>
      <c r="X149" s="1" t="s">
        <v>74</v>
      </c>
      <c r="Y149" s="1" t="s">
        <v>74</v>
      </c>
      <c r="Z149" s="1" t="s">
        <v>74</v>
      </c>
      <c r="AA149" s="1" t="s">
        <v>1665</v>
      </c>
      <c r="AB149" s="1" t="s">
        <v>1666</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1667</v>
      </c>
      <c r="AP149" s="1" t="s">
        <v>1668</v>
      </c>
      <c r="AQ149" s="1" t="s">
        <v>74</v>
      </c>
      <c r="AR149" s="1" t="s">
        <v>74</v>
      </c>
      <c r="AS149" s="1" t="s">
        <v>74</v>
      </c>
      <c r="AT149" s="1" t="s">
        <v>745</v>
      </c>
      <c r="AU149" s="1">
        <v>2025.0</v>
      </c>
      <c r="AV149" s="1">
        <v>151.0</v>
      </c>
      <c r="AW149" s="1" t="s">
        <v>74</v>
      </c>
      <c r="AX149" s="1" t="s">
        <v>74</v>
      </c>
      <c r="AY149" s="1" t="s">
        <v>74</v>
      </c>
      <c r="AZ149" s="1" t="s">
        <v>74</v>
      </c>
      <c r="BA149" s="1" t="s">
        <v>74</v>
      </c>
      <c r="BB149" s="1">
        <v>54.0</v>
      </c>
      <c r="BC149" s="1">
        <v>63.0</v>
      </c>
      <c r="BD149" s="1" t="s">
        <v>74</v>
      </c>
      <c r="BE149" s="1" t="s">
        <v>1669</v>
      </c>
      <c r="BF149" s="2" t="str">
        <f>HYPERLINK("http://dx.doi.org/10.1016/j.fbp.2025.03.003","http://dx.doi.org/10.1016/j.fbp.2025.03.003")</f>
        <v>http://dx.doi.org/10.1016/j.fbp.2025.03.003</v>
      </c>
      <c r="BG149" s="1" t="s">
        <v>74</v>
      </c>
      <c r="BH149" s="1" t="s">
        <v>1670</v>
      </c>
      <c r="BI149" s="1" t="s">
        <v>74</v>
      </c>
      <c r="BJ149" s="1" t="s">
        <v>74</v>
      </c>
      <c r="BK149" s="1" t="s">
        <v>74</v>
      </c>
      <c r="BL149" s="1" t="s">
        <v>74</v>
      </c>
      <c r="BM149" s="1" t="s">
        <v>74</v>
      </c>
      <c r="BN149" s="1" t="s">
        <v>74</v>
      </c>
      <c r="BO149" s="1" t="s">
        <v>74</v>
      </c>
      <c r="BP149" s="1" t="s">
        <v>74</v>
      </c>
      <c r="BQ149" s="1" t="s">
        <v>74</v>
      </c>
      <c r="BR149" s="1" t="s">
        <v>74</v>
      </c>
      <c r="BS149" s="1" t="s">
        <v>1671</v>
      </c>
      <c r="BT149" s="1" t="str">
        <f>HYPERLINK("https%3A%2F%2Fwww.webofscience.com%2Fwos%2Fwoscc%2Ffull-record%2FWOS:001444847800001","View Full Record in Web of Science")</f>
        <v>View Full Record in Web of Science</v>
      </c>
    </row>
    <row r="150" ht="12.75" customHeight="1">
      <c r="A150" s="1" t="s">
        <v>72</v>
      </c>
      <c r="B150" s="1" t="s">
        <v>1672</v>
      </c>
      <c r="C150" s="1" t="s">
        <v>74</v>
      </c>
      <c r="D150" s="1" t="s">
        <v>74</v>
      </c>
      <c r="E150" s="1" t="s">
        <v>74</v>
      </c>
      <c r="F150" s="1" t="s">
        <v>1673</v>
      </c>
      <c r="G150" s="1" t="s">
        <v>74</v>
      </c>
      <c r="H150" s="1" t="s">
        <v>74</v>
      </c>
      <c r="I150" s="1" t="s">
        <v>1674</v>
      </c>
      <c r="J150" s="1" t="s">
        <v>1675</v>
      </c>
      <c r="K150" s="1" t="s">
        <v>74</v>
      </c>
      <c r="L150" s="1" t="s">
        <v>74</v>
      </c>
      <c r="M150" s="1" t="s">
        <v>74</v>
      </c>
      <c r="N150" s="1" t="s">
        <v>74</v>
      </c>
      <c r="O150" s="1" t="s">
        <v>74</v>
      </c>
      <c r="P150" s="1" t="s">
        <v>74</v>
      </c>
      <c r="Q150" s="1" t="s">
        <v>74</v>
      </c>
      <c r="R150" s="1" t="s">
        <v>74</v>
      </c>
      <c r="S150" s="1" t="s">
        <v>74</v>
      </c>
      <c r="T150" s="1" t="s">
        <v>74</v>
      </c>
      <c r="U150" s="1" t="s">
        <v>74</v>
      </c>
      <c r="V150" s="1" t="s">
        <v>1676</v>
      </c>
      <c r="W150" s="1" t="s">
        <v>74</v>
      </c>
      <c r="X150" s="1" t="s">
        <v>74</v>
      </c>
      <c r="Y150" s="1" t="s">
        <v>74</v>
      </c>
      <c r="Z150" s="1" t="s">
        <v>74</v>
      </c>
      <c r="AA150" s="1" t="s">
        <v>74</v>
      </c>
      <c r="AB150" s="1" t="s">
        <v>74</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1677</v>
      </c>
      <c r="AP150" s="1" t="s">
        <v>1678</v>
      </c>
      <c r="AQ150" s="1" t="s">
        <v>74</v>
      </c>
      <c r="AR150" s="1" t="s">
        <v>74</v>
      </c>
      <c r="AS150" s="1" t="s">
        <v>74</v>
      </c>
      <c r="AT150" s="1" t="s">
        <v>775</v>
      </c>
      <c r="AU150" s="1">
        <v>2025.0</v>
      </c>
      <c r="AV150" s="1">
        <v>100.0</v>
      </c>
      <c r="AW150" s="1">
        <v>5.0</v>
      </c>
      <c r="AX150" s="1" t="s">
        <v>74</v>
      </c>
      <c r="AY150" s="1" t="s">
        <v>74</v>
      </c>
      <c r="AZ150" s="1" t="s">
        <v>74</v>
      </c>
      <c r="BA150" s="1" t="s">
        <v>74</v>
      </c>
      <c r="BB150" s="1" t="s">
        <v>74</v>
      </c>
      <c r="BC150" s="1" t="s">
        <v>74</v>
      </c>
      <c r="BD150" s="1">
        <v>55974.0</v>
      </c>
      <c r="BE150" s="1" t="s">
        <v>1679</v>
      </c>
      <c r="BF150" s="2" t="str">
        <f>HYPERLINK("http://dx.doi.org/10.1088/1402-4896/adcbee","http://dx.doi.org/10.1088/1402-4896/adcbee")</f>
        <v>http://dx.doi.org/10.1088/1402-4896/adcbee</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1680</v>
      </c>
      <c r="BT150" s="1" t="str">
        <f>HYPERLINK("https%3A%2F%2Fwww.webofscience.com%2Fwos%2Fwoscc%2Ffull-record%2FWOS:001477976900001","View Full Record in Web of Science")</f>
        <v>View Full Record in Web of Science</v>
      </c>
    </row>
    <row r="151" ht="12.75" customHeight="1">
      <c r="A151" s="1" t="s">
        <v>72</v>
      </c>
      <c r="B151" s="1" t="s">
        <v>1681</v>
      </c>
      <c r="C151" s="1" t="s">
        <v>74</v>
      </c>
      <c r="D151" s="1" t="s">
        <v>74</v>
      </c>
      <c r="E151" s="1" t="s">
        <v>74</v>
      </c>
      <c r="F151" s="1" t="s">
        <v>1682</v>
      </c>
      <c r="G151" s="1" t="s">
        <v>74</v>
      </c>
      <c r="H151" s="1" t="s">
        <v>74</v>
      </c>
      <c r="I151" s="1" t="s">
        <v>1683</v>
      </c>
      <c r="J151" s="1" t="s">
        <v>1684</v>
      </c>
      <c r="K151" s="1" t="s">
        <v>74</v>
      </c>
      <c r="L151" s="1" t="s">
        <v>74</v>
      </c>
      <c r="M151" s="1" t="s">
        <v>74</v>
      </c>
      <c r="N151" s="1" t="s">
        <v>74</v>
      </c>
      <c r="O151" s="1" t="s">
        <v>74</v>
      </c>
      <c r="P151" s="1" t="s">
        <v>74</v>
      </c>
      <c r="Q151" s="1" t="s">
        <v>74</v>
      </c>
      <c r="R151" s="1" t="s">
        <v>74</v>
      </c>
      <c r="S151" s="1" t="s">
        <v>74</v>
      </c>
      <c r="T151" s="1" t="s">
        <v>74</v>
      </c>
      <c r="U151" s="1" t="s">
        <v>74</v>
      </c>
      <c r="V151" s="1" t="s">
        <v>1685</v>
      </c>
      <c r="W151" s="1" t="s">
        <v>74</v>
      </c>
      <c r="X151" s="1" t="s">
        <v>74</v>
      </c>
      <c r="Y151" s="1" t="s">
        <v>74</v>
      </c>
      <c r="Z151" s="1" t="s">
        <v>74</v>
      </c>
      <c r="AA151" s="1" t="s">
        <v>74</v>
      </c>
      <c r="AB151" s="1" t="s">
        <v>74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74</v>
      </c>
      <c r="AP151" s="1" t="s">
        <v>1686</v>
      </c>
      <c r="AQ151" s="1" t="s">
        <v>74</v>
      </c>
      <c r="AR151" s="1" t="s">
        <v>74</v>
      </c>
      <c r="AS151" s="1" t="s">
        <v>74</v>
      </c>
      <c r="AT151" s="1" t="s">
        <v>1687</v>
      </c>
      <c r="AU151" s="1">
        <v>2025.0</v>
      </c>
      <c r="AV151" s="1">
        <v>16.0</v>
      </c>
      <c r="AW151" s="1" t="s">
        <v>74</v>
      </c>
      <c r="AX151" s="1" t="s">
        <v>74</v>
      </c>
      <c r="AY151" s="1" t="s">
        <v>74</v>
      </c>
      <c r="AZ151" s="1" t="s">
        <v>74</v>
      </c>
      <c r="BA151" s="1" t="s">
        <v>74</v>
      </c>
      <c r="BB151" s="1" t="s">
        <v>74</v>
      </c>
      <c r="BC151" s="1" t="s">
        <v>74</v>
      </c>
      <c r="BD151" s="1">
        <v>1574323.0</v>
      </c>
      <c r="BE151" s="1" t="s">
        <v>1688</v>
      </c>
      <c r="BF151" s="2" t="str">
        <f>HYPERLINK("http://dx.doi.org/10.3389/fphar.2025.1574323","http://dx.doi.org/10.3389/fphar.2025.1574323")</f>
        <v>http://dx.doi.org/10.3389/fphar.2025.1574323</v>
      </c>
      <c r="BG151" s="1" t="s">
        <v>74</v>
      </c>
      <c r="BH151" s="1" t="s">
        <v>74</v>
      </c>
      <c r="BI151" s="1" t="s">
        <v>74</v>
      </c>
      <c r="BJ151" s="1" t="s">
        <v>74</v>
      </c>
      <c r="BK151" s="1" t="s">
        <v>74</v>
      </c>
      <c r="BL151" s="1" t="s">
        <v>74</v>
      </c>
      <c r="BM151" s="1" t="s">
        <v>74</v>
      </c>
      <c r="BN151" s="1">
        <v>4.0313624E7</v>
      </c>
      <c r="BO151" s="1" t="s">
        <v>74</v>
      </c>
      <c r="BP151" s="1" t="s">
        <v>74</v>
      </c>
      <c r="BQ151" s="1" t="s">
        <v>74</v>
      </c>
      <c r="BR151" s="1" t="s">
        <v>74</v>
      </c>
      <c r="BS151" s="1" t="s">
        <v>1689</v>
      </c>
      <c r="BT151" s="1" t="str">
        <f>HYPERLINK("https%3A%2F%2Fwww.webofscience.com%2Fwos%2Fwoscc%2Ffull-record%2FWOS:001479196200001","View Full Record in Web of Science")</f>
        <v>View Full Record in Web of Science</v>
      </c>
    </row>
    <row r="152" ht="12.75" customHeight="1">
      <c r="A152" s="1" t="s">
        <v>72</v>
      </c>
      <c r="B152" s="1" t="s">
        <v>1690</v>
      </c>
      <c r="C152" s="1" t="s">
        <v>74</v>
      </c>
      <c r="D152" s="1" t="s">
        <v>74</v>
      </c>
      <c r="E152" s="1" t="s">
        <v>74</v>
      </c>
      <c r="F152" s="1" t="s">
        <v>1691</v>
      </c>
      <c r="G152" s="1" t="s">
        <v>74</v>
      </c>
      <c r="H152" s="1" t="s">
        <v>74</v>
      </c>
      <c r="I152" s="1" t="s">
        <v>1692</v>
      </c>
      <c r="J152" s="1" t="s">
        <v>1693</v>
      </c>
      <c r="K152" s="1" t="s">
        <v>74</v>
      </c>
      <c r="L152" s="1" t="s">
        <v>74</v>
      </c>
      <c r="M152" s="1" t="s">
        <v>74</v>
      </c>
      <c r="N152" s="1" t="s">
        <v>74</v>
      </c>
      <c r="O152" s="1" t="s">
        <v>74</v>
      </c>
      <c r="P152" s="1" t="s">
        <v>74</v>
      </c>
      <c r="Q152" s="1" t="s">
        <v>74</v>
      </c>
      <c r="R152" s="1" t="s">
        <v>74</v>
      </c>
      <c r="S152" s="1" t="s">
        <v>74</v>
      </c>
      <c r="T152" s="1" t="s">
        <v>74</v>
      </c>
      <c r="U152" s="1" t="s">
        <v>74</v>
      </c>
      <c r="V152" s="1" t="s">
        <v>74</v>
      </c>
      <c r="W152" s="1" t="s">
        <v>74</v>
      </c>
      <c r="X152" s="1" t="s">
        <v>74</v>
      </c>
      <c r="Y152" s="1" t="s">
        <v>74</v>
      </c>
      <c r="Z152" s="1" t="s">
        <v>74</v>
      </c>
      <c r="AA152" s="1" t="s">
        <v>1694</v>
      </c>
      <c r="AB152" s="1" t="s">
        <v>1695</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1696</v>
      </c>
      <c r="AP152" s="1" t="s">
        <v>1697</v>
      </c>
      <c r="AQ152" s="1" t="s">
        <v>74</v>
      </c>
      <c r="AR152" s="1" t="s">
        <v>74</v>
      </c>
      <c r="AS152" s="1" t="s">
        <v>74</v>
      </c>
      <c r="AT152" s="1" t="s">
        <v>1698</v>
      </c>
      <c r="AU152" s="1">
        <v>2025.0</v>
      </c>
      <c r="AV152" s="1" t="s">
        <v>74</v>
      </c>
      <c r="AW152" s="1" t="s">
        <v>74</v>
      </c>
      <c r="AX152" s="1" t="s">
        <v>74</v>
      </c>
      <c r="AY152" s="1" t="s">
        <v>74</v>
      </c>
      <c r="AZ152" s="1" t="s">
        <v>74</v>
      </c>
      <c r="BA152" s="1" t="s">
        <v>74</v>
      </c>
      <c r="BB152" s="1" t="s">
        <v>74</v>
      </c>
      <c r="BC152" s="1" t="s">
        <v>74</v>
      </c>
      <c r="BD152" s="1" t="s">
        <v>74</v>
      </c>
      <c r="BE152" s="1" t="s">
        <v>1699</v>
      </c>
      <c r="BF152" s="2" t="str">
        <f>HYPERLINK("http://dx.doi.org/10.1007/s11846-025-00869-y","http://dx.doi.org/10.1007/s11846-025-00869-y")</f>
        <v>http://dx.doi.org/10.1007/s11846-025-00869-y</v>
      </c>
      <c r="BG152" s="1" t="s">
        <v>74</v>
      </c>
      <c r="BH152" s="1" t="s">
        <v>1700</v>
      </c>
      <c r="BI152" s="1" t="s">
        <v>74</v>
      </c>
      <c r="BJ152" s="1" t="s">
        <v>74</v>
      </c>
      <c r="BK152" s="1" t="s">
        <v>74</v>
      </c>
      <c r="BL152" s="1" t="s">
        <v>74</v>
      </c>
      <c r="BM152" s="1" t="s">
        <v>74</v>
      </c>
      <c r="BN152" s="1" t="s">
        <v>74</v>
      </c>
      <c r="BO152" s="1" t="s">
        <v>74</v>
      </c>
      <c r="BP152" s="1" t="s">
        <v>74</v>
      </c>
      <c r="BQ152" s="1" t="s">
        <v>74</v>
      </c>
      <c r="BR152" s="1" t="s">
        <v>74</v>
      </c>
      <c r="BS152" s="1" t="s">
        <v>1701</v>
      </c>
      <c r="BT152" s="1" t="str">
        <f>HYPERLINK("https%3A%2F%2Fwww.webofscience.com%2Fwos%2Fwoscc%2Ffull-record%2FWOS:001438326600001","View Full Record in Web of Science")</f>
        <v>View Full Record in Web of Science</v>
      </c>
    </row>
    <row r="153" ht="12.75" customHeight="1">
      <c r="A153" s="1" t="s">
        <v>72</v>
      </c>
      <c r="B153" s="1" t="s">
        <v>1702</v>
      </c>
      <c r="C153" s="1" t="s">
        <v>74</v>
      </c>
      <c r="D153" s="1" t="s">
        <v>74</v>
      </c>
      <c r="E153" s="1" t="s">
        <v>74</v>
      </c>
      <c r="F153" s="1" t="s">
        <v>1703</v>
      </c>
      <c r="G153" s="1" t="s">
        <v>74</v>
      </c>
      <c r="H153" s="1" t="s">
        <v>74</v>
      </c>
      <c r="I153" s="1" t="s">
        <v>1704</v>
      </c>
      <c r="J153" s="1" t="s">
        <v>1705</v>
      </c>
      <c r="K153" s="1" t="s">
        <v>74</v>
      </c>
      <c r="L153" s="1" t="s">
        <v>74</v>
      </c>
      <c r="M153" s="1" t="s">
        <v>74</v>
      </c>
      <c r="N153" s="1" t="s">
        <v>74</v>
      </c>
      <c r="O153" s="1" t="s">
        <v>74</v>
      </c>
      <c r="P153" s="1" t="s">
        <v>74</v>
      </c>
      <c r="Q153" s="1" t="s">
        <v>74</v>
      </c>
      <c r="R153" s="1" t="s">
        <v>74</v>
      </c>
      <c r="S153" s="1" t="s">
        <v>74</v>
      </c>
      <c r="T153" s="1" t="s">
        <v>74</v>
      </c>
      <c r="U153" s="1" t="s">
        <v>74</v>
      </c>
      <c r="V153" s="1" t="s">
        <v>1706</v>
      </c>
      <c r="W153" s="1" t="s">
        <v>74</v>
      </c>
      <c r="X153" s="1" t="s">
        <v>74</v>
      </c>
      <c r="Y153" s="1" t="s">
        <v>74</v>
      </c>
      <c r="Z153" s="1" t="s">
        <v>74</v>
      </c>
      <c r="AA153" s="1" t="s">
        <v>1707</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1708</v>
      </c>
      <c r="AP153" s="1" t="s">
        <v>1709</v>
      </c>
      <c r="AQ153" s="1" t="s">
        <v>74</v>
      </c>
      <c r="AR153" s="1" t="s">
        <v>74</v>
      </c>
      <c r="AS153" s="1" t="s">
        <v>74</v>
      </c>
      <c r="AT153" s="1" t="s">
        <v>1258</v>
      </c>
      <c r="AU153" s="1">
        <v>2024.0</v>
      </c>
      <c r="AV153" s="1">
        <v>49.0</v>
      </c>
      <c r="AW153" s="1" t="s">
        <v>1710</v>
      </c>
      <c r="AX153" s="1" t="s">
        <v>74</v>
      </c>
      <c r="AY153" s="1" t="s">
        <v>74</v>
      </c>
      <c r="AZ153" s="1" t="s">
        <v>74</v>
      </c>
      <c r="BA153" s="1" t="s">
        <v>74</v>
      </c>
      <c r="BB153" s="1">
        <v>919.0</v>
      </c>
      <c r="BC153" s="1">
        <v>937.0</v>
      </c>
      <c r="BD153" s="1" t="s">
        <v>74</v>
      </c>
      <c r="BE153" s="1" t="s">
        <v>1711</v>
      </c>
      <c r="BF153" s="2" t="str">
        <f>HYPERLINK("http://dx.doi.org/10.1080/03605302.2024.2405923","http://dx.doi.org/10.1080/03605302.2024.2405923")</f>
        <v>http://dx.doi.org/10.1080/03605302.2024.2405923</v>
      </c>
      <c r="BG153" s="1" t="s">
        <v>74</v>
      </c>
      <c r="BH153" s="1" t="s">
        <v>1712</v>
      </c>
      <c r="BI153" s="1" t="s">
        <v>74</v>
      </c>
      <c r="BJ153" s="1" t="s">
        <v>74</v>
      </c>
      <c r="BK153" s="1" t="s">
        <v>74</v>
      </c>
      <c r="BL153" s="1" t="s">
        <v>74</v>
      </c>
      <c r="BM153" s="1" t="s">
        <v>74</v>
      </c>
      <c r="BN153" s="1" t="s">
        <v>74</v>
      </c>
      <c r="BO153" s="1" t="s">
        <v>74</v>
      </c>
      <c r="BP153" s="1" t="s">
        <v>74</v>
      </c>
      <c r="BQ153" s="1" t="s">
        <v>74</v>
      </c>
      <c r="BR153" s="1" t="s">
        <v>74</v>
      </c>
      <c r="BS153" s="1" t="s">
        <v>1713</v>
      </c>
      <c r="BT153" s="1" t="str">
        <f>HYPERLINK("https%3A%2F%2Fwww.webofscience.com%2Fwos%2Fwoscc%2Ffull-record%2FWOS:001347030300001","View Full Record in Web of Science")</f>
        <v>View Full Record in Web of Science</v>
      </c>
    </row>
    <row r="154" ht="12.75" customHeight="1">
      <c r="A154" s="1" t="s">
        <v>72</v>
      </c>
      <c r="B154" s="1" t="s">
        <v>1714</v>
      </c>
      <c r="C154" s="1" t="s">
        <v>74</v>
      </c>
      <c r="D154" s="1" t="s">
        <v>74</v>
      </c>
      <c r="E154" s="1" t="s">
        <v>74</v>
      </c>
      <c r="F154" s="1" t="s">
        <v>1715</v>
      </c>
      <c r="G154" s="1" t="s">
        <v>74</v>
      </c>
      <c r="H154" s="1" t="s">
        <v>74</v>
      </c>
      <c r="I154" s="1" t="s">
        <v>1716</v>
      </c>
      <c r="J154" s="1" t="s">
        <v>1717</v>
      </c>
      <c r="K154" s="1" t="s">
        <v>74</v>
      </c>
      <c r="L154" s="1" t="s">
        <v>74</v>
      </c>
      <c r="M154" s="1" t="s">
        <v>74</v>
      </c>
      <c r="N154" s="1" t="s">
        <v>74</v>
      </c>
      <c r="O154" s="1" t="s">
        <v>74</v>
      </c>
      <c r="P154" s="1" t="s">
        <v>74</v>
      </c>
      <c r="Q154" s="1" t="s">
        <v>74</v>
      </c>
      <c r="R154" s="1" t="s">
        <v>74</v>
      </c>
      <c r="S154" s="1" t="s">
        <v>74</v>
      </c>
      <c r="T154" s="1" t="s">
        <v>74</v>
      </c>
      <c r="U154" s="1" t="s">
        <v>74</v>
      </c>
      <c r="V154" s="1" t="s">
        <v>1718</v>
      </c>
      <c r="W154" s="1" t="s">
        <v>74</v>
      </c>
      <c r="X154" s="1" t="s">
        <v>74</v>
      </c>
      <c r="Y154" s="1" t="s">
        <v>74</v>
      </c>
      <c r="Z154" s="1" t="s">
        <v>74</v>
      </c>
      <c r="AA154" s="1" t="s">
        <v>1719</v>
      </c>
      <c r="AB154" s="1" t="s">
        <v>1720</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74</v>
      </c>
      <c r="AP154" s="1" t="s">
        <v>1721</v>
      </c>
      <c r="AQ154" s="1" t="s">
        <v>74</v>
      </c>
      <c r="AR154" s="1" t="s">
        <v>74</v>
      </c>
      <c r="AS154" s="1" t="s">
        <v>74</v>
      </c>
      <c r="AT154" s="1" t="s">
        <v>82</v>
      </c>
      <c r="AU154" s="1">
        <v>2024.0</v>
      </c>
      <c r="AV154" s="1">
        <v>12.0</v>
      </c>
      <c r="AW154" s="1">
        <v>20.0</v>
      </c>
      <c r="AX154" s="1" t="s">
        <v>74</v>
      </c>
      <c r="AY154" s="1" t="s">
        <v>74</v>
      </c>
      <c r="AZ154" s="1" t="s">
        <v>74</v>
      </c>
      <c r="BA154" s="1" t="s">
        <v>74</v>
      </c>
      <c r="BB154" s="1" t="s">
        <v>74</v>
      </c>
      <c r="BC154" s="1" t="s">
        <v>74</v>
      </c>
      <c r="BD154" s="1">
        <v>3212.0</v>
      </c>
      <c r="BE154" s="1" t="s">
        <v>1722</v>
      </c>
      <c r="BF154" s="2" t="str">
        <f>HYPERLINK("http://dx.doi.org/10.3390/math12203212","http://dx.doi.org/10.3390/math12203212")</f>
        <v>http://dx.doi.org/10.3390/math12203212</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1723</v>
      </c>
      <c r="BT154" s="1" t="str">
        <f>HYPERLINK("https%3A%2F%2Fwww.webofscience.com%2Fwos%2Fwoscc%2Ffull-record%2FWOS:001342664600001","View Full Record in Web of Science")</f>
        <v>View Full Record in Web of Science</v>
      </c>
    </row>
    <row r="155" ht="12.75" customHeight="1">
      <c r="A155" s="1" t="s">
        <v>72</v>
      </c>
      <c r="B155" s="1" t="s">
        <v>1724</v>
      </c>
      <c r="C155" s="1" t="s">
        <v>74</v>
      </c>
      <c r="D155" s="1" t="s">
        <v>74</v>
      </c>
      <c r="E155" s="1" t="s">
        <v>74</v>
      </c>
      <c r="F155" s="1" t="s">
        <v>1725</v>
      </c>
      <c r="G155" s="1" t="s">
        <v>74</v>
      </c>
      <c r="H155" s="1" t="s">
        <v>74</v>
      </c>
      <c r="I155" s="1" t="s">
        <v>1726</v>
      </c>
      <c r="J155" s="1" t="s">
        <v>1727</v>
      </c>
      <c r="K155" s="1" t="s">
        <v>74</v>
      </c>
      <c r="L155" s="1" t="s">
        <v>74</v>
      </c>
      <c r="M155" s="1" t="s">
        <v>74</v>
      </c>
      <c r="N155" s="1" t="s">
        <v>74</v>
      </c>
      <c r="O155" s="1" t="s">
        <v>74</v>
      </c>
      <c r="P155" s="1" t="s">
        <v>74</v>
      </c>
      <c r="Q155" s="1" t="s">
        <v>74</v>
      </c>
      <c r="R155" s="1" t="s">
        <v>74</v>
      </c>
      <c r="S155" s="1" t="s">
        <v>74</v>
      </c>
      <c r="T155" s="1" t="s">
        <v>74</v>
      </c>
      <c r="U155" s="1" t="s">
        <v>74</v>
      </c>
      <c r="V155" s="1" t="s">
        <v>1728</v>
      </c>
      <c r="W155" s="1" t="s">
        <v>74</v>
      </c>
      <c r="X155" s="1" t="s">
        <v>74</v>
      </c>
      <c r="Y155" s="1" t="s">
        <v>74</v>
      </c>
      <c r="Z155" s="1" t="s">
        <v>74</v>
      </c>
      <c r="AA155" s="1" t="s">
        <v>1729</v>
      </c>
      <c r="AB155" s="1" t="s">
        <v>74</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1730</v>
      </c>
      <c r="AP155" s="1" t="s">
        <v>74</v>
      </c>
      <c r="AQ155" s="1" t="s">
        <v>74</v>
      </c>
      <c r="AR155" s="1" t="s">
        <v>74</v>
      </c>
      <c r="AS155" s="1" t="s">
        <v>74</v>
      </c>
      <c r="AT155" s="1" t="s">
        <v>74</v>
      </c>
      <c r="AU155" s="1">
        <v>2024.0</v>
      </c>
      <c r="AV155" s="1" t="s">
        <v>74</v>
      </c>
      <c r="AW155" s="1">
        <v>29.0</v>
      </c>
      <c r="AX155" s="1" t="s">
        <v>74</v>
      </c>
      <c r="AY155" s="1" t="s">
        <v>74</v>
      </c>
      <c r="AZ155" s="1" t="s">
        <v>74</v>
      </c>
      <c r="BA155" s="1" t="s">
        <v>74</v>
      </c>
      <c r="BB155" s="1">
        <v>149.0</v>
      </c>
      <c r="BC155" s="1">
        <v>163.0</v>
      </c>
      <c r="BD155" s="1" t="s">
        <v>74</v>
      </c>
      <c r="BE155" s="1" t="s">
        <v>1731</v>
      </c>
      <c r="BF155" s="2" t="str">
        <f>HYPERLINK("http://dx.doi.org/10.34024/prometeica.2024.29.15192","http://dx.doi.org/10.34024/prometeica.2024.29.15192")</f>
        <v>http://dx.doi.org/10.34024/prometeica.2024.29.15192</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1732</v>
      </c>
      <c r="BT155" s="1" t="str">
        <f>HYPERLINK("https%3A%2F%2Fwww.webofscience.com%2Fwos%2Fwoscc%2Ffull-record%2FWOS:001181185300008","View Full Record in Web of Science")</f>
        <v>View Full Record in Web of Science</v>
      </c>
    </row>
    <row r="156" ht="12.75" customHeight="1">
      <c r="A156" s="1" t="s">
        <v>72</v>
      </c>
      <c r="B156" s="1" t="s">
        <v>1733</v>
      </c>
      <c r="C156" s="1" t="s">
        <v>74</v>
      </c>
      <c r="D156" s="1" t="s">
        <v>74</v>
      </c>
      <c r="E156" s="1" t="s">
        <v>74</v>
      </c>
      <c r="F156" s="1" t="s">
        <v>1734</v>
      </c>
      <c r="G156" s="1" t="s">
        <v>74</v>
      </c>
      <c r="H156" s="1" t="s">
        <v>74</v>
      </c>
      <c r="I156" s="1" t="s">
        <v>1735</v>
      </c>
      <c r="J156" s="1" t="s">
        <v>1736</v>
      </c>
      <c r="K156" s="1" t="s">
        <v>74</v>
      </c>
      <c r="L156" s="1" t="s">
        <v>74</v>
      </c>
      <c r="M156" s="1" t="s">
        <v>74</v>
      </c>
      <c r="N156" s="1" t="s">
        <v>74</v>
      </c>
      <c r="O156" s="1" t="s">
        <v>74</v>
      </c>
      <c r="P156" s="1" t="s">
        <v>74</v>
      </c>
      <c r="Q156" s="1" t="s">
        <v>74</v>
      </c>
      <c r="R156" s="1" t="s">
        <v>74</v>
      </c>
      <c r="S156" s="1" t="s">
        <v>74</v>
      </c>
      <c r="T156" s="1" t="s">
        <v>74</v>
      </c>
      <c r="U156" s="1" t="s">
        <v>74</v>
      </c>
      <c r="V156" s="1" t="s">
        <v>1737</v>
      </c>
      <c r="W156" s="1" t="s">
        <v>74</v>
      </c>
      <c r="X156" s="1" t="s">
        <v>74</v>
      </c>
      <c r="Y156" s="1" t="s">
        <v>74</v>
      </c>
      <c r="Z156" s="1" t="s">
        <v>74</v>
      </c>
      <c r="AA156" s="1" t="s">
        <v>1738</v>
      </c>
      <c r="AB156" s="1" t="s">
        <v>1739</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74</v>
      </c>
      <c r="AP156" s="1" t="s">
        <v>1740</v>
      </c>
      <c r="AQ156" s="1" t="s">
        <v>74</v>
      </c>
      <c r="AR156" s="1" t="s">
        <v>74</v>
      </c>
      <c r="AS156" s="1" t="s">
        <v>74</v>
      </c>
      <c r="AT156" s="1" t="s">
        <v>294</v>
      </c>
      <c r="AU156" s="1">
        <v>2024.0</v>
      </c>
      <c r="AV156" s="1">
        <v>6.0</v>
      </c>
      <c r="AW156" s="1">
        <v>1.0</v>
      </c>
      <c r="AX156" s="1" t="s">
        <v>74</v>
      </c>
      <c r="AY156" s="1" t="s">
        <v>74</v>
      </c>
      <c r="AZ156" s="1" t="s">
        <v>74</v>
      </c>
      <c r="BA156" s="1" t="s">
        <v>74</v>
      </c>
      <c r="BB156" s="1" t="s">
        <v>74</v>
      </c>
      <c r="BC156" s="1" t="s">
        <v>74</v>
      </c>
      <c r="BD156" s="1" t="s">
        <v>74</v>
      </c>
      <c r="BE156" s="1" t="s">
        <v>1741</v>
      </c>
      <c r="BF156" s="2" t="str">
        <f>HYPERLINK("http://dx.doi.org/10.1002/est2.521","http://dx.doi.org/10.1002/est2.521")</f>
        <v>http://dx.doi.org/10.1002/est2.521</v>
      </c>
      <c r="BG156" s="1" t="s">
        <v>74</v>
      </c>
      <c r="BH156" s="1" t="s">
        <v>1742</v>
      </c>
      <c r="BI156" s="1" t="s">
        <v>74</v>
      </c>
      <c r="BJ156" s="1" t="s">
        <v>74</v>
      </c>
      <c r="BK156" s="1" t="s">
        <v>74</v>
      </c>
      <c r="BL156" s="1" t="s">
        <v>74</v>
      </c>
      <c r="BM156" s="1" t="s">
        <v>74</v>
      </c>
      <c r="BN156" s="1" t="s">
        <v>74</v>
      </c>
      <c r="BO156" s="1" t="s">
        <v>74</v>
      </c>
      <c r="BP156" s="1" t="s">
        <v>74</v>
      </c>
      <c r="BQ156" s="1" t="s">
        <v>74</v>
      </c>
      <c r="BR156" s="1" t="s">
        <v>74</v>
      </c>
      <c r="BS156" s="1" t="s">
        <v>1743</v>
      </c>
      <c r="BT156" s="1" t="str">
        <f>HYPERLINK("https%3A%2F%2Fwww.webofscience.com%2Fwos%2Fwoscc%2Ffull-record%2FWOS:001068789100001","View Full Record in Web of Science")</f>
        <v>View Full Record in Web of Science</v>
      </c>
    </row>
    <row r="157" ht="12.75" customHeight="1">
      <c r="A157" s="1" t="s">
        <v>72</v>
      </c>
      <c r="B157" s="1" t="s">
        <v>1744</v>
      </c>
      <c r="C157" s="1" t="s">
        <v>74</v>
      </c>
      <c r="D157" s="1" t="s">
        <v>74</v>
      </c>
      <c r="E157" s="1" t="s">
        <v>74</v>
      </c>
      <c r="F157" s="1" t="s">
        <v>1745</v>
      </c>
      <c r="G157" s="1" t="s">
        <v>74</v>
      </c>
      <c r="H157" s="1" t="s">
        <v>74</v>
      </c>
      <c r="I157" s="1" t="s">
        <v>1746</v>
      </c>
      <c r="J157" s="1" t="s">
        <v>1747</v>
      </c>
      <c r="K157" s="1" t="s">
        <v>74</v>
      </c>
      <c r="L157" s="1" t="s">
        <v>74</v>
      </c>
      <c r="M157" s="1" t="s">
        <v>74</v>
      </c>
      <c r="N157" s="1" t="s">
        <v>74</v>
      </c>
      <c r="O157" s="1" t="s">
        <v>74</v>
      </c>
      <c r="P157" s="1" t="s">
        <v>74</v>
      </c>
      <c r="Q157" s="1" t="s">
        <v>74</v>
      </c>
      <c r="R157" s="1" t="s">
        <v>74</v>
      </c>
      <c r="S157" s="1" t="s">
        <v>74</v>
      </c>
      <c r="T157" s="1" t="s">
        <v>74</v>
      </c>
      <c r="U157" s="1" t="s">
        <v>74</v>
      </c>
      <c r="V157" s="1" t="s">
        <v>1748</v>
      </c>
      <c r="W157" s="1" t="s">
        <v>74</v>
      </c>
      <c r="X157" s="1" t="s">
        <v>74</v>
      </c>
      <c r="Y157" s="1" t="s">
        <v>74</v>
      </c>
      <c r="Z157" s="1" t="s">
        <v>74</v>
      </c>
      <c r="AA157" s="1" t="s">
        <v>1749</v>
      </c>
      <c r="AB157" s="1" t="s">
        <v>1750</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1751</v>
      </c>
      <c r="AP157" s="1" t="s">
        <v>1752</v>
      </c>
      <c r="AQ157" s="1" t="s">
        <v>74</v>
      </c>
      <c r="AR157" s="1" t="s">
        <v>74</v>
      </c>
      <c r="AS157" s="1" t="s">
        <v>74</v>
      </c>
      <c r="AT157" s="1" t="s">
        <v>1106</v>
      </c>
      <c r="AU157" s="1">
        <v>2023.0</v>
      </c>
      <c r="AV157" s="1">
        <v>36.0</v>
      </c>
      <c r="AW157" s="1">
        <v>1.0</v>
      </c>
      <c r="AX157" s="1" t="s">
        <v>74</v>
      </c>
      <c r="AY157" s="1" t="s">
        <v>74</v>
      </c>
      <c r="AZ157" s="1" t="s">
        <v>74</v>
      </c>
      <c r="BA157" s="1" t="s">
        <v>74</v>
      </c>
      <c r="BB157" s="1">
        <v>73.0</v>
      </c>
      <c r="BC157" s="1">
        <v>80.0</v>
      </c>
      <c r="BD157" s="1" t="s">
        <v>74</v>
      </c>
      <c r="BE157" s="1" t="s">
        <v>1753</v>
      </c>
      <c r="BF157" s="2" t="str">
        <f>HYPERLINK("http://dx.doi.org/10.1002/leap.1533","http://dx.doi.org/10.1002/leap.1533")</f>
        <v>http://dx.doi.org/10.1002/leap.1533</v>
      </c>
      <c r="BG157" s="1" t="s">
        <v>74</v>
      </c>
      <c r="BH157" s="1" t="s">
        <v>74</v>
      </c>
      <c r="BI157" s="1" t="s">
        <v>74</v>
      </c>
      <c r="BJ157" s="1" t="s">
        <v>74</v>
      </c>
      <c r="BK157" s="1" t="s">
        <v>74</v>
      </c>
      <c r="BL157" s="1" t="s">
        <v>74</v>
      </c>
      <c r="BM157" s="1" t="s">
        <v>74</v>
      </c>
      <c r="BN157" s="1" t="s">
        <v>74</v>
      </c>
      <c r="BO157" s="1" t="s">
        <v>74</v>
      </c>
      <c r="BP157" s="1" t="s">
        <v>74</v>
      </c>
      <c r="BQ157" s="1" t="s">
        <v>74</v>
      </c>
      <c r="BR157" s="1" t="s">
        <v>74</v>
      </c>
      <c r="BS157" s="1" t="s">
        <v>1754</v>
      </c>
      <c r="BT157" s="1" t="str">
        <f>HYPERLINK("https%3A%2F%2Fwww.webofscience.com%2Fwos%2Fwoscc%2Ffull-record%2FWOS:000933639900011","View Full Record in Web of Science")</f>
        <v>View Full Record in Web of Science</v>
      </c>
    </row>
    <row r="158" ht="12.75" customHeight="1">
      <c r="A158" s="1" t="s">
        <v>72</v>
      </c>
      <c r="B158" s="1" t="s">
        <v>1755</v>
      </c>
      <c r="C158" s="1" t="s">
        <v>74</v>
      </c>
      <c r="D158" s="1" t="s">
        <v>74</v>
      </c>
      <c r="E158" s="1" t="s">
        <v>74</v>
      </c>
      <c r="F158" s="1" t="s">
        <v>1756</v>
      </c>
      <c r="G158" s="1" t="s">
        <v>74</v>
      </c>
      <c r="H158" s="1" t="s">
        <v>74</v>
      </c>
      <c r="I158" s="1" t="s">
        <v>1757</v>
      </c>
      <c r="J158" s="1" t="s">
        <v>1758</v>
      </c>
      <c r="K158" s="1" t="s">
        <v>74</v>
      </c>
      <c r="L158" s="1" t="s">
        <v>74</v>
      </c>
      <c r="M158" s="1" t="s">
        <v>74</v>
      </c>
      <c r="N158" s="1" t="s">
        <v>74</v>
      </c>
      <c r="O158" s="1" t="s">
        <v>74</v>
      </c>
      <c r="P158" s="1" t="s">
        <v>74</v>
      </c>
      <c r="Q158" s="1" t="s">
        <v>74</v>
      </c>
      <c r="R158" s="1" t="s">
        <v>74</v>
      </c>
      <c r="S158" s="1" t="s">
        <v>74</v>
      </c>
      <c r="T158" s="1" t="s">
        <v>74</v>
      </c>
      <c r="U158" s="1" t="s">
        <v>74</v>
      </c>
      <c r="V158" s="1" t="s">
        <v>1759</v>
      </c>
      <c r="W158" s="1" t="s">
        <v>74</v>
      </c>
      <c r="X158" s="1" t="s">
        <v>74</v>
      </c>
      <c r="Y158" s="1" t="s">
        <v>74</v>
      </c>
      <c r="Z158" s="1" t="s">
        <v>74</v>
      </c>
      <c r="AA158" s="1" t="s">
        <v>1760</v>
      </c>
      <c r="AB158" s="1" t="s">
        <v>74</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1761</v>
      </c>
      <c r="AP158" s="1" t="s">
        <v>1762</v>
      </c>
      <c r="AQ158" s="1" t="s">
        <v>74</v>
      </c>
      <c r="AR158" s="1" t="s">
        <v>74</v>
      </c>
      <c r="AS158" s="1" t="s">
        <v>74</v>
      </c>
      <c r="AT158" s="1" t="s">
        <v>1363</v>
      </c>
      <c r="AU158" s="1">
        <v>2024.0</v>
      </c>
      <c r="AV158" s="1">
        <v>58.0</v>
      </c>
      <c r="AW158" s="1">
        <v>2.0</v>
      </c>
      <c r="AX158" s="1" t="s">
        <v>74</v>
      </c>
      <c r="AY158" s="1" t="s">
        <v>74</v>
      </c>
      <c r="AZ158" s="1" t="s">
        <v>569</v>
      </c>
      <c r="BA158" s="1" t="s">
        <v>74</v>
      </c>
      <c r="BB158" s="1">
        <v>381.0</v>
      </c>
      <c r="BC158" s="1">
        <v>392.0</v>
      </c>
      <c r="BD158" s="1" t="s">
        <v>74</v>
      </c>
      <c r="BE158" s="1" t="s">
        <v>1763</v>
      </c>
      <c r="BF158" s="2" t="str">
        <f>HYPERLINK("http://dx.doi.org/10.1080/00343404.2022.2141465","http://dx.doi.org/10.1080/00343404.2022.2141465")</f>
        <v>http://dx.doi.org/10.1080/00343404.2022.2141465</v>
      </c>
      <c r="BG158" s="1" t="s">
        <v>74</v>
      </c>
      <c r="BH158" s="1" t="s">
        <v>1764</v>
      </c>
      <c r="BI158" s="1" t="s">
        <v>74</v>
      </c>
      <c r="BJ158" s="1" t="s">
        <v>74</v>
      </c>
      <c r="BK158" s="1" t="s">
        <v>74</v>
      </c>
      <c r="BL158" s="1" t="s">
        <v>74</v>
      </c>
      <c r="BM158" s="1" t="s">
        <v>74</v>
      </c>
      <c r="BN158" s="1" t="s">
        <v>74</v>
      </c>
      <c r="BO158" s="1" t="s">
        <v>74</v>
      </c>
      <c r="BP158" s="1" t="s">
        <v>74</v>
      </c>
      <c r="BQ158" s="1" t="s">
        <v>74</v>
      </c>
      <c r="BR158" s="1" t="s">
        <v>74</v>
      </c>
      <c r="BS158" s="1" t="s">
        <v>1765</v>
      </c>
      <c r="BT158" s="1" t="str">
        <f>HYPERLINK("https%3A%2F%2Fwww.webofscience.com%2Fwos%2Fwoscc%2Ffull-record%2FWOS:000910472300001","View Full Record in Web of Science")</f>
        <v>View Full Record in Web of Science</v>
      </c>
    </row>
    <row r="159" ht="12.75" customHeight="1">
      <c r="A159" s="1" t="s">
        <v>72</v>
      </c>
      <c r="B159" s="1" t="s">
        <v>1766</v>
      </c>
      <c r="C159" s="1" t="s">
        <v>74</v>
      </c>
      <c r="D159" s="1" t="s">
        <v>74</v>
      </c>
      <c r="E159" s="1" t="s">
        <v>74</v>
      </c>
      <c r="F159" s="1" t="s">
        <v>1767</v>
      </c>
      <c r="G159" s="1" t="s">
        <v>74</v>
      </c>
      <c r="H159" s="1" t="s">
        <v>74</v>
      </c>
      <c r="I159" s="1" t="s">
        <v>1768</v>
      </c>
      <c r="J159" s="1" t="s">
        <v>1769</v>
      </c>
      <c r="K159" s="1" t="s">
        <v>74</v>
      </c>
      <c r="L159" s="1" t="s">
        <v>74</v>
      </c>
      <c r="M159" s="1" t="s">
        <v>74</v>
      </c>
      <c r="N159" s="1" t="s">
        <v>74</v>
      </c>
      <c r="O159" s="1" t="s">
        <v>74</v>
      </c>
      <c r="P159" s="1" t="s">
        <v>74</v>
      </c>
      <c r="Q159" s="1" t="s">
        <v>74</v>
      </c>
      <c r="R159" s="1" t="s">
        <v>74</v>
      </c>
      <c r="S159" s="1" t="s">
        <v>74</v>
      </c>
      <c r="T159" s="1" t="s">
        <v>74</v>
      </c>
      <c r="U159" s="1" t="s">
        <v>74</v>
      </c>
      <c r="V159" s="1" t="s">
        <v>1770</v>
      </c>
      <c r="W159" s="1" t="s">
        <v>74</v>
      </c>
      <c r="X159" s="1" t="s">
        <v>74</v>
      </c>
      <c r="Y159" s="1" t="s">
        <v>74</v>
      </c>
      <c r="Z159" s="1" t="s">
        <v>74</v>
      </c>
      <c r="AA159" s="1" t="s">
        <v>74</v>
      </c>
      <c r="AB159" s="1" t="s">
        <v>74</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74</v>
      </c>
      <c r="AP159" s="1" t="s">
        <v>1771</v>
      </c>
      <c r="AQ159" s="1" t="s">
        <v>74</v>
      </c>
      <c r="AR159" s="1" t="s">
        <v>74</v>
      </c>
      <c r="AS159" s="1" t="s">
        <v>74</v>
      </c>
      <c r="AT159" s="1" t="s">
        <v>164</v>
      </c>
      <c r="AU159" s="1">
        <v>2022.0</v>
      </c>
      <c r="AV159" s="1">
        <v>12.0</v>
      </c>
      <c r="AW159" s="1">
        <v>12.0</v>
      </c>
      <c r="AX159" s="1" t="s">
        <v>74</v>
      </c>
      <c r="AY159" s="1" t="s">
        <v>74</v>
      </c>
      <c r="AZ159" s="1" t="s">
        <v>74</v>
      </c>
      <c r="BA159" s="1" t="s">
        <v>74</v>
      </c>
      <c r="BB159" s="1" t="s">
        <v>74</v>
      </c>
      <c r="BC159" s="1" t="s">
        <v>74</v>
      </c>
      <c r="BD159" s="1">
        <v>1502.0</v>
      </c>
      <c r="BE159" s="1" t="s">
        <v>1772</v>
      </c>
      <c r="BF159" s="2" t="str">
        <f>HYPERLINK("http://dx.doi.org/10.3390/min12121502","http://dx.doi.org/10.3390/min12121502")</f>
        <v>http://dx.doi.org/10.3390/min12121502</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1773</v>
      </c>
      <c r="BT159" s="1" t="str">
        <f>HYPERLINK("https%3A%2F%2Fwww.webofscience.com%2Fwos%2Fwoscc%2Ffull-record%2FWOS:000904483900001","View Full Record in Web of Science")</f>
        <v>View Full Record in Web of Science</v>
      </c>
    </row>
    <row r="160" ht="12.75" customHeight="1">
      <c r="A160" s="1" t="s">
        <v>72</v>
      </c>
      <c r="B160" s="1" t="s">
        <v>1774</v>
      </c>
      <c r="C160" s="1" t="s">
        <v>74</v>
      </c>
      <c r="D160" s="1" t="s">
        <v>74</v>
      </c>
      <c r="E160" s="1" t="s">
        <v>74</v>
      </c>
      <c r="F160" s="1" t="s">
        <v>1775</v>
      </c>
      <c r="G160" s="1" t="s">
        <v>74</v>
      </c>
      <c r="H160" s="1" t="s">
        <v>74</v>
      </c>
      <c r="I160" s="1" t="s">
        <v>1776</v>
      </c>
      <c r="J160" s="1" t="s">
        <v>1777</v>
      </c>
      <c r="K160" s="1" t="s">
        <v>74</v>
      </c>
      <c r="L160" s="1" t="s">
        <v>74</v>
      </c>
      <c r="M160" s="1" t="s">
        <v>74</v>
      </c>
      <c r="N160" s="1" t="s">
        <v>74</v>
      </c>
      <c r="O160" s="1" t="s">
        <v>74</v>
      </c>
      <c r="P160" s="1" t="s">
        <v>74</v>
      </c>
      <c r="Q160" s="1" t="s">
        <v>74</v>
      </c>
      <c r="R160" s="1" t="s">
        <v>74</v>
      </c>
      <c r="S160" s="1" t="s">
        <v>74</v>
      </c>
      <c r="T160" s="1" t="s">
        <v>74</v>
      </c>
      <c r="U160" s="1" t="s">
        <v>74</v>
      </c>
      <c r="V160" s="1" t="s">
        <v>1778</v>
      </c>
      <c r="W160" s="1" t="s">
        <v>74</v>
      </c>
      <c r="X160" s="1" t="s">
        <v>74</v>
      </c>
      <c r="Y160" s="1" t="s">
        <v>74</v>
      </c>
      <c r="Z160" s="1" t="s">
        <v>74</v>
      </c>
      <c r="AA160" s="1" t="s">
        <v>1779</v>
      </c>
      <c r="AB160" s="1" t="s">
        <v>1780</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74</v>
      </c>
      <c r="AP160" s="1" t="s">
        <v>1781</v>
      </c>
      <c r="AQ160" s="1" t="s">
        <v>74</v>
      </c>
      <c r="AR160" s="1" t="s">
        <v>74</v>
      </c>
      <c r="AS160" s="1" t="s">
        <v>74</v>
      </c>
      <c r="AT160" s="1" t="s">
        <v>374</v>
      </c>
      <c r="AU160" s="1">
        <v>2022.0</v>
      </c>
      <c r="AV160" s="1">
        <v>10.0</v>
      </c>
      <c r="AW160" s="1">
        <v>11.0</v>
      </c>
      <c r="AX160" s="1" t="s">
        <v>74</v>
      </c>
      <c r="AY160" s="1" t="s">
        <v>74</v>
      </c>
      <c r="AZ160" s="1" t="s">
        <v>74</v>
      </c>
      <c r="BA160" s="1" t="s">
        <v>74</v>
      </c>
      <c r="BB160" s="1" t="s">
        <v>74</v>
      </c>
      <c r="BC160" s="1" t="s">
        <v>74</v>
      </c>
      <c r="BD160" s="1">
        <v>2302.0</v>
      </c>
      <c r="BE160" s="1" t="s">
        <v>1782</v>
      </c>
      <c r="BF160" s="2" t="str">
        <f>HYPERLINK("http://dx.doi.org/10.3390/pr10112302","http://dx.doi.org/10.3390/pr10112302")</f>
        <v>http://dx.doi.org/10.3390/pr10112302</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1783</v>
      </c>
      <c r="BT160" s="1" t="str">
        <f>HYPERLINK("https%3A%2F%2Fwww.webofscience.com%2Fwos%2Fwoscc%2Ffull-record%2FWOS:000895713400001","View Full Record in Web of Science")</f>
        <v>View Full Record in Web of Science</v>
      </c>
    </row>
    <row r="161" ht="12.75" customHeight="1">
      <c r="A161" s="1" t="s">
        <v>72</v>
      </c>
      <c r="B161" s="1" t="s">
        <v>1784</v>
      </c>
      <c r="C161" s="1" t="s">
        <v>74</v>
      </c>
      <c r="D161" s="1" t="s">
        <v>74</v>
      </c>
      <c r="E161" s="1" t="s">
        <v>74</v>
      </c>
      <c r="F161" s="1" t="s">
        <v>1785</v>
      </c>
      <c r="G161" s="1" t="s">
        <v>74</v>
      </c>
      <c r="H161" s="1" t="s">
        <v>74</v>
      </c>
      <c r="I161" s="1" t="s">
        <v>1786</v>
      </c>
      <c r="J161" s="1" t="s">
        <v>1787</v>
      </c>
      <c r="K161" s="1" t="s">
        <v>74</v>
      </c>
      <c r="L161" s="1" t="s">
        <v>74</v>
      </c>
      <c r="M161" s="1" t="s">
        <v>74</v>
      </c>
      <c r="N161" s="1" t="s">
        <v>74</v>
      </c>
      <c r="O161" s="1" t="s">
        <v>74</v>
      </c>
      <c r="P161" s="1" t="s">
        <v>74</v>
      </c>
      <c r="Q161" s="1" t="s">
        <v>74</v>
      </c>
      <c r="R161" s="1" t="s">
        <v>74</v>
      </c>
      <c r="S161" s="1" t="s">
        <v>74</v>
      </c>
      <c r="T161" s="1" t="s">
        <v>74</v>
      </c>
      <c r="U161" s="1" t="s">
        <v>74</v>
      </c>
      <c r="V161" s="1" t="s">
        <v>1788</v>
      </c>
      <c r="W161" s="1" t="s">
        <v>74</v>
      </c>
      <c r="X161" s="1" t="s">
        <v>74</v>
      </c>
      <c r="Y161" s="1" t="s">
        <v>74</v>
      </c>
      <c r="Z161" s="1" t="s">
        <v>74</v>
      </c>
      <c r="AA161" s="1" t="s">
        <v>74</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1789</v>
      </c>
      <c r="AP161" s="1" t="s">
        <v>1790</v>
      </c>
      <c r="AQ161" s="1" t="s">
        <v>74</v>
      </c>
      <c r="AR161" s="1" t="s">
        <v>74</v>
      </c>
      <c r="AS161" s="1" t="s">
        <v>74</v>
      </c>
      <c r="AT161" s="1" t="s">
        <v>374</v>
      </c>
      <c r="AU161" s="1">
        <v>2021.0</v>
      </c>
      <c r="AV161" s="1">
        <v>67.0</v>
      </c>
      <c r="AW161" s="1">
        <v>11.0</v>
      </c>
      <c r="AX161" s="1" t="s">
        <v>74</v>
      </c>
      <c r="AY161" s="1" t="s">
        <v>74</v>
      </c>
      <c r="AZ161" s="1" t="s">
        <v>74</v>
      </c>
      <c r="BA161" s="1" t="s">
        <v>74</v>
      </c>
      <c r="BB161" s="1">
        <v>771.0</v>
      </c>
      <c r="BC161" s="1">
        <v>788.0</v>
      </c>
      <c r="BD161" s="1" t="s">
        <v>74</v>
      </c>
      <c r="BE161" s="1" t="s">
        <v>1791</v>
      </c>
      <c r="BF161" s="2" t="str">
        <f>HYPERLINK("http://dx.doi.org/10.1139/cjm-2020-0336","http://dx.doi.org/10.1139/cjm-2020-0336")</f>
        <v>http://dx.doi.org/10.1139/cjm-2020-0336</v>
      </c>
      <c r="BG161" s="1" t="s">
        <v>74</v>
      </c>
      <c r="BH161" s="1" t="s">
        <v>74</v>
      </c>
      <c r="BI161" s="1" t="s">
        <v>74</v>
      </c>
      <c r="BJ161" s="1" t="s">
        <v>74</v>
      </c>
      <c r="BK161" s="1" t="s">
        <v>74</v>
      </c>
      <c r="BL161" s="1" t="s">
        <v>74</v>
      </c>
      <c r="BM161" s="1" t="s">
        <v>74</v>
      </c>
      <c r="BN161" s="1">
        <v>3.4233131E7</v>
      </c>
      <c r="BO161" s="1" t="s">
        <v>74</v>
      </c>
      <c r="BP161" s="1" t="s">
        <v>74</v>
      </c>
      <c r="BQ161" s="1" t="s">
        <v>74</v>
      </c>
      <c r="BR161" s="1" t="s">
        <v>74</v>
      </c>
      <c r="BS161" s="1" t="s">
        <v>1792</v>
      </c>
      <c r="BT161" s="1" t="str">
        <f>HYPERLINK("https%3A%2F%2Fwww.webofscience.com%2Fwos%2Fwoscc%2Ffull-record%2FWOS:000711649300001","View Full Record in Web of Science")</f>
        <v>View Full Record in Web of Science</v>
      </c>
    </row>
    <row r="162" ht="12.75" customHeight="1">
      <c r="A162" s="1" t="s">
        <v>207</v>
      </c>
      <c r="B162" s="1" t="s">
        <v>1793</v>
      </c>
      <c r="C162" s="1" t="s">
        <v>74</v>
      </c>
      <c r="D162" s="1" t="s">
        <v>74</v>
      </c>
      <c r="E162" s="1" t="s">
        <v>224</v>
      </c>
      <c r="F162" s="1" t="s">
        <v>1794</v>
      </c>
      <c r="G162" s="1" t="s">
        <v>74</v>
      </c>
      <c r="H162" s="1" t="s">
        <v>74</v>
      </c>
      <c r="I162" s="1" t="s">
        <v>1795</v>
      </c>
      <c r="J162" s="1" t="s">
        <v>1796</v>
      </c>
      <c r="K162" s="1" t="s">
        <v>74</v>
      </c>
      <c r="L162" s="1" t="s">
        <v>74</v>
      </c>
      <c r="M162" s="1" t="s">
        <v>74</v>
      </c>
      <c r="N162" s="1" t="s">
        <v>74</v>
      </c>
      <c r="O162" s="1" t="s">
        <v>1797</v>
      </c>
      <c r="P162" s="1" t="s">
        <v>1798</v>
      </c>
      <c r="Q162" s="1" t="s">
        <v>1799</v>
      </c>
      <c r="R162" s="1" t="s">
        <v>1800</v>
      </c>
      <c r="S162" s="1" t="s">
        <v>74</v>
      </c>
      <c r="T162" s="1" t="s">
        <v>74</v>
      </c>
      <c r="U162" s="1" t="s">
        <v>74</v>
      </c>
      <c r="V162" s="1" t="s">
        <v>1801</v>
      </c>
      <c r="W162" s="1" t="s">
        <v>74</v>
      </c>
      <c r="X162" s="1" t="s">
        <v>74</v>
      </c>
      <c r="Y162" s="1" t="s">
        <v>74</v>
      </c>
      <c r="Z162" s="1" t="s">
        <v>74</v>
      </c>
      <c r="AA162" s="1" t="s">
        <v>1802</v>
      </c>
      <c r="AB162" s="1" t="s">
        <v>1803</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74</v>
      </c>
      <c r="AP162" s="1" t="s">
        <v>74</v>
      </c>
      <c r="AQ162" s="1" t="s">
        <v>1804</v>
      </c>
      <c r="AR162" s="1" t="s">
        <v>74</v>
      </c>
      <c r="AS162" s="1" t="s">
        <v>74</v>
      </c>
      <c r="AT162" s="1" t="s">
        <v>74</v>
      </c>
      <c r="AU162" s="1">
        <v>2021.0</v>
      </c>
      <c r="AV162" s="1" t="s">
        <v>74</v>
      </c>
      <c r="AW162" s="1" t="s">
        <v>74</v>
      </c>
      <c r="AX162" s="1" t="s">
        <v>74</v>
      </c>
      <c r="AY162" s="1" t="s">
        <v>74</v>
      </c>
      <c r="AZ162" s="1" t="s">
        <v>74</v>
      </c>
      <c r="BA162" s="1" t="s">
        <v>74</v>
      </c>
      <c r="BB162" s="1" t="s">
        <v>74</v>
      </c>
      <c r="BC162" s="1" t="s">
        <v>74</v>
      </c>
      <c r="BD162" s="1" t="s">
        <v>74</v>
      </c>
      <c r="BE162" s="1" t="s">
        <v>1805</v>
      </c>
      <c r="BF162" s="2" t="str">
        <f>HYPERLINK("http://dx.doi.org/10.1109/ICAACCA51523.2021.9465338","http://dx.doi.org/10.1109/ICAACCA51523.2021.9465338")</f>
        <v>http://dx.doi.org/10.1109/ICAACCA51523.2021.9465338</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1806</v>
      </c>
      <c r="BT162" s="1" t="str">
        <f>HYPERLINK("https%3A%2F%2Fwww.webofscience.com%2Fwos%2Fwoscc%2Ffull-record%2FWOS:000855764500083","View Full Record in Web of Science")</f>
        <v>View Full Record in Web of Science</v>
      </c>
    </row>
    <row r="163" ht="12.75" customHeight="1">
      <c r="A163" s="1" t="s">
        <v>72</v>
      </c>
      <c r="B163" s="1" t="s">
        <v>1807</v>
      </c>
      <c r="C163" s="1" t="s">
        <v>74</v>
      </c>
      <c r="D163" s="1" t="s">
        <v>74</v>
      </c>
      <c r="E163" s="1" t="s">
        <v>74</v>
      </c>
      <c r="F163" s="1" t="s">
        <v>1808</v>
      </c>
      <c r="G163" s="1" t="s">
        <v>74</v>
      </c>
      <c r="H163" s="1" t="s">
        <v>74</v>
      </c>
      <c r="I163" s="1" t="s">
        <v>1809</v>
      </c>
      <c r="J163" s="1" t="s">
        <v>1810</v>
      </c>
      <c r="K163" s="1" t="s">
        <v>74</v>
      </c>
      <c r="L163" s="1" t="s">
        <v>74</v>
      </c>
      <c r="M163" s="1" t="s">
        <v>74</v>
      </c>
      <c r="N163" s="1" t="s">
        <v>74</v>
      </c>
      <c r="O163" s="1" t="s">
        <v>74</v>
      </c>
      <c r="P163" s="1" t="s">
        <v>74</v>
      </c>
      <c r="Q163" s="1" t="s">
        <v>74</v>
      </c>
      <c r="R163" s="1" t="s">
        <v>74</v>
      </c>
      <c r="S163" s="1" t="s">
        <v>74</v>
      </c>
      <c r="T163" s="1" t="s">
        <v>74</v>
      </c>
      <c r="U163" s="1" t="s">
        <v>74</v>
      </c>
      <c r="V163" s="1" t="s">
        <v>1811</v>
      </c>
      <c r="W163" s="1" t="s">
        <v>74</v>
      </c>
      <c r="X163" s="1" t="s">
        <v>74</v>
      </c>
      <c r="Y163" s="1" t="s">
        <v>74</v>
      </c>
      <c r="Z163" s="1" t="s">
        <v>74</v>
      </c>
      <c r="AA163" s="1" t="s">
        <v>1812</v>
      </c>
      <c r="AB163" s="1" t="s">
        <v>1813</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1814</v>
      </c>
      <c r="AP163" s="1" t="s">
        <v>1815</v>
      </c>
      <c r="AQ163" s="1" t="s">
        <v>74</v>
      </c>
      <c r="AR163" s="1" t="s">
        <v>74</v>
      </c>
      <c r="AS163" s="1" t="s">
        <v>74</v>
      </c>
      <c r="AT163" s="1" t="s">
        <v>1816</v>
      </c>
      <c r="AU163" s="1">
        <v>2021.0</v>
      </c>
      <c r="AV163" s="1">
        <v>13.0</v>
      </c>
      <c r="AW163" s="1">
        <v>3.0</v>
      </c>
      <c r="AX163" s="1" t="s">
        <v>74</v>
      </c>
      <c r="AY163" s="1" t="s">
        <v>74</v>
      </c>
      <c r="AZ163" s="1" t="s">
        <v>569</v>
      </c>
      <c r="BA163" s="1" t="s">
        <v>74</v>
      </c>
      <c r="BB163" s="1">
        <v>229.0</v>
      </c>
      <c r="BC163" s="1">
        <v>242.0</v>
      </c>
      <c r="BD163" s="1" t="s">
        <v>74</v>
      </c>
      <c r="BE163" s="1" t="s">
        <v>1817</v>
      </c>
      <c r="BF163" s="2" t="str">
        <f>HYPERLINK("http://dx.doi.org/10.1080/19427867.2020.1861507","http://dx.doi.org/10.1080/19427867.2020.1861507")</f>
        <v>http://dx.doi.org/10.1080/19427867.2020.1861507</v>
      </c>
      <c r="BG163" s="1" t="s">
        <v>74</v>
      </c>
      <c r="BH163" s="1" t="s">
        <v>1818</v>
      </c>
      <c r="BI163" s="1" t="s">
        <v>74</v>
      </c>
      <c r="BJ163" s="1" t="s">
        <v>74</v>
      </c>
      <c r="BK163" s="1" t="s">
        <v>74</v>
      </c>
      <c r="BL163" s="1" t="s">
        <v>74</v>
      </c>
      <c r="BM163" s="1" t="s">
        <v>74</v>
      </c>
      <c r="BN163" s="1" t="s">
        <v>74</v>
      </c>
      <c r="BO163" s="1" t="s">
        <v>74</v>
      </c>
      <c r="BP163" s="1" t="s">
        <v>74</v>
      </c>
      <c r="BQ163" s="1" t="s">
        <v>74</v>
      </c>
      <c r="BR163" s="1" t="s">
        <v>74</v>
      </c>
      <c r="BS163" s="1" t="s">
        <v>1819</v>
      </c>
      <c r="BT163" s="1" t="str">
        <f>HYPERLINK("https%3A%2F%2Fwww.webofscience.com%2Fwos%2Fwoscc%2Ffull-record%2FWOS:000603434800001","View Full Record in Web of Science")</f>
        <v>View Full Record in Web of Science</v>
      </c>
    </row>
    <row r="164" ht="12.75" customHeight="1">
      <c r="A164" s="1" t="s">
        <v>72</v>
      </c>
      <c r="B164" s="1" t="s">
        <v>1820</v>
      </c>
      <c r="C164" s="1" t="s">
        <v>74</v>
      </c>
      <c r="D164" s="1" t="s">
        <v>74</v>
      </c>
      <c r="E164" s="1" t="s">
        <v>74</v>
      </c>
      <c r="F164" s="1" t="s">
        <v>1821</v>
      </c>
      <c r="G164" s="1" t="s">
        <v>74</v>
      </c>
      <c r="H164" s="1" t="s">
        <v>74</v>
      </c>
      <c r="I164" s="1" t="s">
        <v>1822</v>
      </c>
      <c r="J164" s="1" t="s">
        <v>1769</v>
      </c>
      <c r="K164" s="1" t="s">
        <v>74</v>
      </c>
      <c r="L164" s="1" t="s">
        <v>74</v>
      </c>
      <c r="M164" s="1" t="s">
        <v>74</v>
      </c>
      <c r="N164" s="1" t="s">
        <v>74</v>
      </c>
      <c r="O164" s="1" t="s">
        <v>74</v>
      </c>
      <c r="P164" s="1" t="s">
        <v>74</v>
      </c>
      <c r="Q164" s="1" t="s">
        <v>74</v>
      </c>
      <c r="R164" s="1" t="s">
        <v>74</v>
      </c>
      <c r="S164" s="1" t="s">
        <v>74</v>
      </c>
      <c r="T164" s="1" t="s">
        <v>74</v>
      </c>
      <c r="U164" s="1" t="s">
        <v>74</v>
      </c>
      <c r="V164" s="1" t="s">
        <v>1823</v>
      </c>
      <c r="W164" s="1" t="s">
        <v>74</v>
      </c>
      <c r="X164" s="1" t="s">
        <v>74</v>
      </c>
      <c r="Y164" s="1" t="s">
        <v>74</v>
      </c>
      <c r="Z164" s="1" t="s">
        <v>74</v>
      </c>
      <c r="AA164" s="1" t="s">
        <v>1824</v>
      </c>
      <c r="AB164" s="1" t="s">
        <v>1825</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74</v>
      </c>
      <c r="AP164" s="1" t="s">
        <v>1771</v>
      </c>
      <c r="AQ164" s="1" t="s">
        <v>74</v>
      </c>
      <c r="AR164" s="1" t="s">
        <v>74</v>
      </c>
      <c r="AS164" s="1" t="s">
        <v>74</v>
      </c>
      <c r="AT164" s="1" t="s">
        <v>177</v>
      </c>
      <c r="AU164" s="1">
        <v>2020.0</v>
      </c>
      <c r="AV164" s="1">
        <v>10.0</v>
      </c>
      <c r="AW164" s="1">
        <v>7.0</v>
      </c>
      <c r="AX164" s="1" t="s">
        <v>74</v>
      </c>
      <c r="AY164" s="1" t="s">
        <v>74</v>
      </c>
      <c r="AZ164" s="1" t="s">
        <v>74</v>
      </c>
      <c r="BA164" s="1" t="s">
        <v>74</v>
      </c>
      <c r="BB164" s="1" t="s">
        <v>74</v>
      </c>
      <c r="BC164" s="1" t="s">
        <v>74</v>
      </c>
      <c r="BD164" s="1">
        <v>615.0</v>
      </c>
      <c r="BE164" s="1" t="s">
        <v>1826</v>
      </c>
      <c r="BF164" s="2" t="str">
        <f>HYPERLINK("http://dx.doi.org/10.3390/min10070615","http://dx.doi.org/10.3390/min10070615")</f>
        <v>http://dx.doi.org/10.3390/min10070615</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1827</v>
      </c>
      <c r="BT164" s="1" t="str">
        <f>HYPERLINK("https%3A%2F%2Fwww.webofscience.com%2Fwos%2Fwoscc%2Ffull-record%2FWOS:000554302800001","View Full Record in Web of Science")</f>
        <v>View Full Record in Web of Science</v>
      </c>
    </row>
    <row r="165" ht="12.75" customHeight="1">
      <c r="A165" s="1" t="s">
        <v>72</v>
      </c>
      <c r="B165" s="1" t="s">
        <v>1828</v>
      </c>
      <c r="C165" s="1" t="s">
        <v>74</v>
      </c>
      <c r="D165" s="1" t="s">
        <v>74</v>
      </c>
      <c r="E165" s="1" t="s">
        <v>74</v>
      </c>
      <c r="F165" s="1" t="s">
        <v>1829</v>
      </c>
      <c r="G165" s="1" t="s">
        <v>74</v>
      </c>
      <c r="H165" s="1" t="s">
        <v>74</v>
      </c>
      <c r="I165" s="1" t="s">
        <v>1830</v>
      </c>
      <c r="J165" s="1" t="s">
        <v>1831</v>
      </c>
      <c r="K165" s="1" t="s">
        <v>74</v>
      </c>
      <c r="L165" s="1" t="s">
        <v>74</v>
      </c>
      <c r="M165" s="1" t="s">
        <v>74</v>
      </c>
      <c r="N165" s="1" t="s">
        <v>74</v>
      </c>
      <c r="O165" s="1" t="s">
        <v>74</v>
      </c>
      <c r="P165" s="1" t="s">
        <v>74</v>
      </c>
      <c r="Q165" s="1" t="s">
        <v>74</v>
      </c>
      <c r="R165" s="1" t="s">
        <v>74</v>
      </c>
      <c r="S165" s="1" t="s">
        <v>74</v>
      </c>
      <c r="T165" s="1" t="s">
        <v>74</v>
      </c>
      <c r="U165" s="1" t="s">
        <v>74</v>
      </c>
      <c r="V165" s="1" t="s">
        <v>1832</v>
      </c>
      <c r="W165" s="1" t="s">
        <v>74</v>
      </c>
      <c r="X165" s="1" t="s">
        <v>74</v>
      </c>
      <c r="Y165" s="1" t="s">
        <v>74</v>
      </c>
      <c r="Z165" s="1" t="s">
        <v>74</v>
      </c>
      <c r="AA165" s="1" t="s">
        <v>1833</v>
      </c>
      <c r="AB165" s="1" t="s">
        <v>1834</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1835</v>
      </c>
      <c r="AP165" s="1" t="s">
        <v>1836</v>
      </c>
      <c r="AQ165" s="1" t="s">
        <v>74</v>
      </c>
      <c r="AR165" s="1" t="s">
        <v>74</v>
      </c>
      <c r="AS165" s="1" t="s">
        <v>74</v>
      </c>
      <c r="AT165" s="1" t="s">
        <v>1837</v>
      </c>
      <c r="AU165" s="1">
        <v>2019.0</v>
      </c>
      <c r="AV165" s="1">
        <v>267.0</v>
      </c>
      <c r="AW165" s="1">
        <v>2.0</v>
      </c>
      <c r="AX165" s="1" t="s">
        <v>74</v>
      </c>
      <c r="AY165" s="1" t="s">
        <v>74</v>
      </c>
      <c r="AZ165" s="1" t="s">
        <v>74</v>
      </c>
      <c r="BA165" s="1" t="s">
        <v>74</v>
      </c>
      <c r="BB165" s="1">
        <v>1001.0</v>
      </c>
      <c r="BC165" s="1">
        <v>1024.0</v>
      </c>
      <c r="BD165" s="1" t="s">
        <v>74</v>
      </c>
      <c r="BE165" s="1" t="s">
        <v>1838</v>
      </c>
      <c r="BF165" s="2" t="str">
        <f>HYPERLINK("http://dx.doi.org/10.1016/j.jde.2019.01.032","http://dx.doi.org/10.1016/j.jde.2019.01.032")</f>
        <v>http://dx.doi.org/10.1016/j.jde.2019.01.032</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1839</v>
      </c>
      <c r="BT165" s="1" t="str">
        <f>HYPERLINK("https%3A%2F%2Fwww.webofscience.com%2Fwos%2Fwoscc%2Ffull-record%2FWOS:000465089600011","View Full Record in Web of Science")</f>
        <v>View Full Record in Web of Science</v>
      </c>
    </row>
    <row r="166" ht="12.75" customHeight="1">
      <c r="A166" s="1" t="s">
        <v>72</v>
      </c>
      <c r="B166" s="1" t="s">
        <v>1840</v>
      </c>
      <c r="C166" s="1" t="s">
        <v>74</v>
      </c>
      <c r="D166" s="1" t="s">
        <v>74</v>
      </c>
      <c r="E166" s="1" t="s">
        <v>74</v>
      </c>
      <c r="F166" s="1" t="s">
        <v>1841</v>
      </c>
      <c r="G166" s="1" t="s">
        <v>74</v>
      </c>
      <c r="H166" s="1" t="s">
        <v>74</v>
      </c>
      <c r="I166" s="1" t="s">
        <v>1842</v>
      </c>
      <c r="J166" s="1" t="s">
        <v>1843</v>
      </c>
      <c r="K166" s="1" t="s">
        <v>74</v>
      </c>
      <c r="L166" s="1" t="s">
        <v>74</v>
      </c>
      <c r="M166" s="1" t="s">
        <v>74</v>
      </c>
      <c r="N166" s="1" t="s">
        <v>74</v>
      </c>
      <c r="O166" s="1" t="s">
        <v>74</v>
      </c>
      <c r="P166" s="1" t="s">
        <v>74</v>
      </c>
      <c r="Q166" s="1" t="s">
        <v>74</v>
      </c>
      <c r="R166" s="1" t="s">
        <v>74</v>
      </c>
      <c r="S166" s="1" t="s">
        <v>74</v>
      </c>
      <c r="T166" s="1" t="s">
        <v>74</v>
      </c>
      <c r="U166" s="1" t="s">
        <v>74</v>
      </c>
      <c r="V166" s="1" t="s">
        <v>1844</v>
      </c>
      <c r="W166" s="1" t="s">
        <v>74</v>
      </c>
      <c r="X166" s="1" t="s">
        <v>74</v>
      </c>
      <c r="Y166" s="1" t="s">
        <v>74</v>
      </c>
      <c r="Z166" s="1" t="s">
        <v>74</v>
      </c>
      <c r="AA166" s="1" t="s">
        <v>1845</v>
      </c>
      <c r="AB166" s="1" t="s">
        <v>1846</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1847</v>
      </c>
      <c r="AP166" s="1" t="s">
        <v>1848</v>
      </c>
      <c r="AQ166" s="1" t="s">
        <v>74</v>
      </c>
      <c r="AR166" s="1" t="s">
        <v>74</v>
      </c>
      <c r="AS166" s="1" t="s">
        <v>74</v>
      </c>
      <c r="AT166" s="1" t="s">
        <v>1849</v>
      </c>
      <c r="AU166" s="1">
        <v>2020.0</v>
      </c>
      <c r="AV166" s="1">
        <v>45.0</v>
      </c>
      <c r="AW166" s="1">
        <v>3.0</v>
      </c>
      <c r="AX166" s="1" t="s">
        <v>74</v>
      </c>
      <c r="AY166" s="1" t="s">
        <v>74</v>
      </c>
      <c r="AZ166" s="1" t="s">
        <v>74</v>
      </c>
      <c r="BA166" s="1" t="s">
        <v>74</v>
      </c>
      <c r="BB166" s="1">
        <v>492.0</v>
      </c>
      <c r="BC166" s="1">
        <v>510.0</v>
      </c>
      <c r="BD166" s="1" t="s">
        <v>74</v>
      </c>
      <c r="BE166" s="1" t="s">
        <v>1850</v>
      </c>
      <c r="BF166" s="2" t="str">
        <f>HYPERLINK("http://dx.doi.org/10.1080/03075079.2019.1597036","http://dx.doi.org/10.1080/03075079.2019.1597036")</f>
        <v>http://dx.doi.org/10.1080/03075079.2019.1597036</v>
      </c>
      <c r="BG166" s="1" t="s">
        <v>74</v>
      </c>
      <c r="BH166" s="1" t="s">
        <v>705</v>
      </c>
      <c r="BI166" s="1" t="s">
        <v>74</v>
      </c>
      <c r="BJ166" s="1" t="s">
        <v>74</v>
      </c>
      <c r="BK166" s="1" t="s">
        <v>74</v>
      </c>
      <c r="BL166" s="1" t="s">
        <v>74</v>
      </c>
      <c r="BM166" s="1" t="s">
        <v>74</v>
      </c>
      <c r="BN166" s="1" t="s">
        <v>74</v>
      </c>
      <c r="BO166" s="1" t="s">
        <v>74</v>
      </c>
      <c r="BP166" s="1" t="s">
        <v>74</v>
      </c>
      <c r="BQ166" s="1" t="s">
        <v>74</v>
      </c>
      <c r="BR166" s="1" t="s">
        <v>74</v>
      </c>
      <c r="BS166" s="1" t="s">
        <v>1851</v>
      </c>
      <c r="BT166" s="1" t="str">
        <f>HYPERLINK("https%3A%2F%2Fwww.webofscience.com%2Fwos%2Fwoscc%2Ffull-record%2FWOS:000464585700001","View Full Record in Web of Science")</f>
        <v>View Full Record in Web of Science</v>
      </c>
    </row>
    <row r="167" ht="12.75" customHeight="1">
      <c r="A167" s="1" t="s">
        <v>72</v>
      </c>
      <c r="B167" s="1" t="s">
        <v>1852</v>
      </c>
      <c r="C167" s="1" t="s">
        <v>74</v>
      </c>
      <c r="D167" s="1" t="s">
        <v>74</v>
      </c>
      <c r="E167" s="1" t="s">
        <v>74</v>
      </c>
      <c r="F167" s="1" t="s">
        <v>1853</v>
      </c>
      <c r="G167" s="1" t="s">
        <v>74</v>
      </c>
      <c r="H167" s="1" t="s">
        <v>74</v>
      </c>
      <c r="I167" s="1" t="s">
        <v>1854</v>
      </c>
      <c r="J167" s="1" t="s">
        <v>1855</v>
      </c>
      <c r="K167" s="1" t="s">
        <v>74</v>
      </c>
      <c r="L167" s="1" t="s">
        <v>74</v>
      </c>
      <c r="M167" s="1" t="s">
        <v>74</v>
      </c>
      <c r="N167" s="1" t="s">
        <v>74</v>
      </c>
      <c r="O167" s="1" t="s">
        <v>74</v>
      </c>
      <c r="P167" s="1" t="s">
        <v>74</v>
      </c>
      <c r="Q167" s="1" t="s">
        <v>74</v>
      </c>
      <c r="R167" s="1" t="s">
        <v>74</v>
      </c>
      <c r="S167" s="1" t="s">
        <v>74</v>
      </c>
      <c r="T167" s="1" t="s">
        <v>74</v>
      </c>
      <c r="U167" s="1" t="s">
        <v>74</v>
      </c>
      <c r="V167" s="1" t="s">
        <v>1856</v>
      </c>
      <c r="W167" s="1" t="s">
        <v>74</v>
      </c>
      <c r="X167" s="1" t="s">
        <v>74</v>
      </c>
      <c r="Y167" s="1" t="s">
        <v>74</v>
      </c>
      <c r="Z167" s="1" t="s">
        <v>74</v>
      </c>
      <c r="AA167" s="1" t="s">
        <v>1857</v>
      </c>
      <c r="AB167" s="1" t="s">
        <v>1858</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1859</v>
      </c>
      <c r="AP167" s="1" t="s">
        <v>1860</v>
      </c>
      <c r="AQ167" s="1" t="s">
        <v>74</v>
      </c>
      <c r="AR167" s="1" t="s">
        <v>74</v>
      </c>
      <c r="AS167" s="1" t="s">
        <v>74</v>
      </c>
      <c r="AT167" s="1" t="s">
        <v>374</v>
      </c>
      <c r="AU167" s="1">
        <v>2018.0</v>
      </c>
      <c r="AV167" s="1">
        <v>18.0</v>
      </c>
      <c r="AW167" s="1">
        <v>11.0</v>
      </c>
      <c r="AX167" s="1" t="s">
        <v>74</v>
      </c>
      <c r="AY167" s="1" t="s">
        <v>74</v>
      </c>
      <c r="AZ167" s="1" t="s">
        <v>569</v>
      </c>
      <c r="BA167" s="1" t="s">
        <v>74</v>
      </c>
      <c r="BB167" s="1">
        <v>1240.0</v>
      </c>
      <c r="BC167" s="1">
        <v>1247.0</v>
      </c>
      <c r="BD167" s="1" t="s">
        <v>74</v>
      </c>
      <c r="BE167" s="1" t="s">
        <v>1861</v>
      </c>
      <c r="BF167" s="2" t="str">
        <f>HYPERLINK("http://dx.doi.org/10.1016/j.cap.2018.06.014","http://dx.doi.org/10.1016/j.cap.2018.06.014")</f>
        <v>http://dx.doi.org/10.1016/j.cap.2018.06.014</v>
      </c>
      <c r="BG167" s="1" t="s">
        <v>74</v>
      </c>
      <c r="BH167" s="1" t="s">
        <v>74</v>
      </c>
      <c r="BI167" s="1" t="s">
        <v>74</v>
      </c>
      <c r="BJ167" s="1" t="s">
        <v>74</v>
      </c>
      <c r="BK167" s="1" t="s">
        <v>74</v>
      </c>
      <c r="BL167" s="1" t="s">
        <v>74</v>
      </c>
      <c r="BM167" s="1" t="s">
        <v>74</v>
      </c>
      <c r="BN167" s="1" t="s">
        <v>74</v>
      </c>
      <c r="BO167" s="1" t="s">
        <v>74</v>
      </c>
      <c r="BP167" s="1" t="s">
        <v>74</v>
      </c>
      <c r="BQ167" s="1" t="s">
        <v>74</v>
      </c>
      <c r="BR167" s="1" t="s">
        <v>74</v>
      </c>
      <c r="BS167" s="1" t="s">
        <v>1862</v>
      </c>
      <c r="BT167" s="1" t="str">
        <f>HYPERLINK("https%3A%2F%2Fwww.webofscience.com%2Fwos%2Fwoscc%2Ffull-record%2FWOS:000446676900014","View Full Record in Web of Science")</f>
        <v>View Full Record in Web of Science</v>
      </c>
    </row>
    <row r="168" ht="12.75" customHeight="1">
      <c r="A168" s="1" t="s">
        <v>72</v>
      </c>
      <c r="B168" s="1" t="s">
        <v>1863</v>
      </c>
      <c r="C168" s="1" t="s">
        <v>74</v>
      </c>
      <c r="D168" s="1" t="s">
        <v>74</v>
      </c>
      <c r="E168" s="1" t="s">
        <v>74</v>
      </c>
      <c r="F168" s="1" t="s">
        <v>1864</v>
      </c>
      <c r="G168" s="1" t="s">
        <v>74</v>
      </c>
      <c r="H168" s="1" t="s">
        <v>74</v>
      </c>
      <c r="I168" s="1" t="s">
        <v>1865</v>
      </c>
      <c r="J168" s="1" t="s">
        <v>1866</v>
      </c>
      <c r="K168" s="1" t="s">
        <v>74</v>
      </c>
      <c r="L168" s="1" t="s">
        <v>74</v>
      </c>
      <c r="M168" s="1" t="s">
        <v>74</v>
      </c>
      <c r="N168" s="1" t="s">
        <v>74</v>
      </c>
      <c r="O168" s="1" t="s">
        <v>74</v>
      </c>
      <c r="P168" s="1" t="s">
        <v>74</v>
      </c>
      <c r="Q168" s="1" t="s">
        <v>74</v>
      </c>
      <c r="R168" s="1" t="s">
        <v>74</v>
      </c>
      <c r="S168" s="1" t="s">
        <v>74</v>
      </c>
      <c r="T168" s="1" t="s">
        <v>74</v>
      </c>
      <c r="U168" s="1" t="s">
        <v>74</v>
      </c>
      <c r="V168" s="1" t="s">
        <v>1867</v>
      </c>
      <c r="W168" s="1" t="s">
        <v>74</v>
      </c>
      <c r="X168" s="1" t="s">
        <v>74</v>
      </c>
      <c r="Y168" s="1" t="s">
        <v>74</v>
      </c>
      <c r="Z168" s="1" t="s">
        <v>74</v>
      </c>
      <c r="AA168" s="1" t="s">
        <v>74</v>
      </c>
      <c r="AB168" s="1" t="s">
        <v>1868</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1869</v>
      </c>
      <c r="AP168" s="1" t="s">
        <v>1870</v>
      </c>
      <c r="AQ168" s="1" t="s">
        <v>74</v>
      </c>
      <c r="AR168" s="1" t="s">
        <v>74</v>
      </c>
      <c r="AS168" s="1" t="s">
        <v>74</v>
      </c>
      <c r="AT168" s="1" t="s">
        <v>1279</v>
      </c>
      <c r="AU168" s="1">
        <v>2018.0</v>
      </c>
      <c r="AV168" s="1">
        <v>69.0</v>
      </c>
      <c r="AW168" s="1">
        <v>4.0</v>
      </c>
      <c r="AX168" s="1" t="s">
        <v>74</v>
      </c>
      <c r="AY168" s="1" t="s">
        <v>74</v>
      </c>
      <c r="AZ168" s="1" t="s">
        <v>74</v>
      </c>
      <c r="BA168" s="1" t="s">
        <v>74</v>
      </c>
      <c r="BB168" s="1">
        <v>661.0</v>
      </c>
      <c r="BC168" s="1">
        <v>691.0</v>
      </c>
      <c r="BD168" s="1" t="s">
        <v>74</v>
      </c>
      <c r="BE168" s="1" t="s">
        <v>1871</v>
      </c>
      <c r="BF168" s="2" t="str">
        <f>HYPERLINK("http://dx.doi.org/10.1007/s10640-016-0096-1","http://dx.doi.org/10.1007/s10640-016-0096-1")</f>
        <v>http://dx.doi.org/10.1007/s10640-016-0096-1</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1872</v>
      </c>
      <c r="BT168" s="1" t="str">
        <f>HYPERLINK("https%3A%2F%2Fwww.webofscience.com%2Fwos%2Fwoscc%2Ffull-record%2FWOS:000428430600002","View Full Record in Web of Science")</f>
        <v>View Full Record in Web of Science</v>
      </c>
    </row>
    <row r="169" ht="12.75" customHeight="1">
      <c r="A169" s="1" t="s">
        <v>72</v>
      </c>
      <c r="B169" s="1" t="s">
        <v>1873</v>
      </c>
      <c r="C169" s="1" t="s">
        <v>74</v>
      </c>
      <c r="D169" s="1" t="s">
        <v>74</v>
      </c>
      <c r="E169" s="1" t="s">
        <v>74</v>
      </c>
      <c r="F169" s="1" t="s">
        <v>1874</v>
      </c>
      <c r="G169" s="1" t="s">
        <v>74</v>
      </c>
      <c r="H169" s="1" t="s">
        <v>74</v>
      </c>
      <c r="I169" s="1" t="s">
        <v>1875</v>
      </c>
      <c r="J169" s="1" t="s">
        <v>1876</v>
      </c>
      <c r="K169" s="1" t="s">
        <v>74</v>
      </c>
      <c r="L169" s="1" t="s">
        <v>74</v>
      </c>
      <c r="M169" s="1" t="s">
        <v>74</v>
      </c>
      <c r="N169" s="1" t="s">
        <v>74</v>
      </c>
      <c r="O169" s="1" t="s">
        <v>74</v>
      </c>
      <c r="P169" s="1" t="s">
        <v>74</v>
      </c>
      <c r="Q169" s="1" t="s">
        <v>74</v>
      </c>
      <c r="R169" s="1" t="s">
        <v>74</v>
      </c>
      <c r="S169" s="1" t="s">
        <v>74</v>
      </c>
      <c r="T169" s="1" t="s">
        <v>74</v>
      </c>
      <c r="U169" s="1" t="s">
        <v>74</v>
      </c>
      <c r="V169" s="1" t="s">
        <v>1877</v>
      </c>
      <c r="W169" s="1" t="s">
        <v>74</v>
      </c>
      <c r="X169" s="1" t="s">
        <v>74</v>
      </c>
      <c r="Y169" s="1" t="s">
        <v>74</v>
      </c>
      <c r="Z169" s="1" t="s">
        <v>74</v>
      </c>
      <c r="AA169" s="1" t="s">
        <v>1878</v>
      </c>
      <c r="AB169" s="1" t="s">
        <v>1879</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1880</v>
      </c>
      <c r="AP169" s="1" t="s">
        <v>1881</v>
      </c>
      <c r="AQ169" s="1" t="s">
        <v>74</v>
      </c>
      <c r="AR169" s="1" t="s">
        <v>74</v>
      </c>
      <c r="AS169" s="1" t="s">
        <v>74</v>
      </c>
      <c r="AT169" s="1" t="s">
        <v>1131</v>
      </c>
      <c r="AU169" s="1">
        <v>2018.0</v>
      </c>
      <c r="AV169" s="1">
        <v>335.0</v>
      </c>
      <c r="AW169" s="1" t="s">
        <v>74</v>
      </c>
      <c r="AX169" s="1" t="s">
        <v>74</v>
      </c>
      <c r="AY169" s="1" t="s">
        <v>74</v>
      </c>
      <c r="AZ169" s="1" t="s">
        <v>74</v>
      </c>
      <c r="BA169" s="1" t="s">
        <v>74</v>
      </c>
      <c r="BB169" s="1">
        <v>133.0</v>
      </c>
      <c r="BC169" s="1">
        <v>144.0</v>
      </c>
      <c r="BD169" s="1" t="s">
        <v>74</v>
      </c>
      <c r="BE169" s="1" t="s">
        <v>1882</v>
      </c>
      <c r="BF169" s="2" t="str">
        <f>HYPERLINK("http://dx.doi.org/10.1016/j.cej.2017.10.137","http://dx.doi.org/10.1016/j.cej.2017.10.137")</f>
        <v>http://dx.doi.org/10.1016/j.cej.2017.10.137</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1883</v>
      </c>
      <c r="BT169" s="1" t="str">
        <f>HYPERLINK("https%3A%2F%2Fwww.webofscience.com%2Fwos%2Fwoscc%2Ffull-record%2FWOS:000430700500014","View Full Record in Web of Science")</f>
        <v>View Full Record in Web of Science</v>
      </c>
    </row>
    <row r="170" ht="12.75" customHeight="1">
      <c r="A170" s="1" t="s">
        <v>72</v>
      </c>
      <c r="B170" s="1" t="s">
        <v>1884</v>
      </c>
      <c r="C170" s="1" t="s">
        <v>74</v>
      </c>
      <c r="D170" s="1" t="s">
        <v>74</v>
      </c>
      <c r="E170" s="1" t="s">
        <v>74</v>
      </c>
      <c r="F170" s="1" t="s">
        <v>1885</v>
      </c>
      <c r="G170" s="1" t="s">
        <v>74</v>
      </c>
      <c r="H170" s="1" t="s">
        <v>74</v>
      </c>
      <c r="I170" s="1" t="s">
        <v>1886</v>
      </c>
      <c r="J170" s="1" t="s">
        <v>1887</v>
      </c>
      <c r="K170" s="1" t="s">
        <v>74</v>
      </c>
      <c r="L170" s="1" t="s">
        <v>74</v>
      </c>
      <c r="M170" s="1" t="s">
        <v>74</v>
      </c>
      <c r="N170" s="1" t="s">
        <v>74</v>
      </c>
      <c r="O170" s="1" t="s">
        <v>74</v>
      </c>
      <c r="P170" s="1" t="s">
        <v>74</v>
      </c>
      <c r="Q170" s="1" t="s">
        <v>74</v>
      </c>
      <c r="R170" s="1" t="s">
        <v>74</v>
      </c>
      <c r="S170" s="1" t="s">
        <v>74</v>
      </c>
      <c r="T170" s="1" t="s">
        <v>74</v>
      </c>
      <c r="U170" s="1" t="s">
        <v>74</v>
      </c>
      <c r="V170" s="1" t="s">
        <v>1888</v>
      </c>
      <c r="W170" s="1" t="s">
        <v>74</v>
      </c>
      <c r="X170" s="1" t="s">
        <v>74</v>
      </c>
      <c r="Y170" s="1" t="s">
        <v>74</v>
      </c>
      <c r="Z170" s="1" t="s">
        <v>74</v>
      </c>
      <c r="AA170" s="1" t="s">
        <v>1889</v>
      </c>
      <c r="AB170" s="1" t="s">
        <v>1890</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1891</v>
      </c>
      <c r="AP170" s="1" t="s">
        <v>1892</v>
      </c>
      <c r="AQ170" s="1" t="s">
        <v>74</v>
      </c>
      <c r="AR170" s="1" t="s">
        <v>74</v>
      </c>
      <c r="AS170" s="1" t="s">
        <v>74</v>
      </c>
      <c r="AT170" s="1" t="s">
        <v>294</v>
      </c>
      <c r="AU170" s="1">
        <v>2018.0</v>
      </c>
      <c r="AV170" s="1">
        <v>41.0</v>
      </c>
      <c r="AW170" s="1">
        <v>3.0</v>
      </c>
      <c r="AX170" s="1" t="s">
        <v>74</v>
      </c>
      <c r="AY170" s="1" t="s">
        <v>74</v>
      </c>
      <c r="AZ170" s="1" t="s">
        <v>569</v>
      </c>
      <c r="BA170" s="1" t="s">
        <v>74</v>
      </c>
      <c r="BB170" s="1">
        <v>1256.0</v>
      </c>
      <c r="BC170" s="1">
        <v>1280.0</v>
      </c>
      <c r="BD170" s="1" t="s">
        <v>74</v>
      </c>
      <c r="BE170" s="1" t="s">
        <v>1893</v>
      </c>
      <c r="BF170" s="2" t="str">
        <f>HYPERLINK("http://dx.doi.org/10.1002/mma.4662","http://dx.doi.org/10.1002/mma.4662")</f>
        <v>http://dx.doi.org/10.1002/mma.4662</v>
      </c>
      <c r="BG170" s="1" t="s">
        <v>74</v>
      </c>
      <c r="BH170" s="1" t="s">
        <v>74</v>
      </c>
      <c r="BI170" s="1" t="s">
        <v>74</v>
      </c>
      <c r="BJ170" s="1" t="s">
        <v>74</v>
      </c>
      <c r="BK170" s="1" t="s">
        <v>74</v>
      </c>
      <c r="BL170" s="1" t="s">
        <v>74</v>
      </c>
      <c r="BM170" s="1" t="s">
        <v>74</v>
      </c>
      <c r="BN170" s="1" t="s">
        <v>74</v>
      </c>
      <c r="BO170" s="1" t="s">
        <v>74</v>
      </c>
      <c r="BP170" s="1" t="s">
        <v>74</v>
      </c>
      <c r="BQ170" s="1" t="s">
        <v>74</v>
      </c>
      <c r="BR170" s="1" t="s">
        <v>74</v>
      </c>
      <c r="BS170" s="1" t="s">
        <v>1894</v>
      </c>
      <c r="BT170" s="1" t="str">
        <f>HYPERLINK("https%3A%2F%2Fwww.webofscience.com%2Fwos%2Fwoscc%2Ffull-record%2FWOS:000425834700042","View Full Record in Web of Science")</f>
        <v>View Full Record in Web of Science</v>
      </c>
    </row>
    <row r="171" ht="12.75" customHeight="1">
      <c r="A171" s="1" t="s">
        <v>72</v>
      </c>
      <c r="B171" s="1" t="s">
        <v>1895</v>
      </c>
      <c r="C171" s="1" t="s">
        <v>74</v>
      </c>
      <c r="D171" s="1" t="s">
        <v>74</v>
      </c>
      <c r="E171" s="1" t="s">
        <v>74</v>
      </c>
      <c r="F171" s="1" t="s">
        <v>1896</v>
      </c>
      <c r="G171" s="1" t="s">
        <v>74</v>
      </c>
      <c r="H171" s="1" t="s">
        <v>74</v>
      </c>
      <c r="I171" s="1" t="s">
        <v>1897</v>
      </c>
      <c r="J171" s="1" t="s">
        <v>1898</v>
      </c>
      <c r="K171" s="1" t="s">
        <v>74</v>
      </c>
      <c r="L171" s="1" t="s">
        <v>74</v>
      </c>
      <c r="M171" s="1" t="s">
        <v>74</v>
      </c>
      <c r="N171" s="1" t="s">
        <v>74</v>
      </c>
      <c r="O171" s="1" t="s">
        <v>74</v>
      </c>
      <c r="P171" s="1" t="s">
        <v>74</v>
      </c>
      <c r="Q171" s="1" t="s">
        <v>74</v>
      </c>
      <c r="R171" s="1" t="s">
        <v>74</v>
      </c>
      <c r="S171" s="1" t="s">
        <v>74</v>
      </c>
      <c r="T171" s="1" t="s">
        <v>74</v>
      </c>
      <c r="U171" s="1" t="s">
        <v>74</v>
      </c>
      <c r="V171" s="1" t="s">
        <v>1899</v>
      </c>
      <c r="W171" s="1" t="s">
        <v>74</v>
      </c>
      <c r="X171" s="1" t="s">
        <v>74</v>
      </c>
      <c r="Y171" s="1" t="s">
        <v>74</v>
      </c>
      <c r="Z171" s="1" t="s">
        <v>74</v>
      </c>
      <c r="AA171" s="1" t="s">
        <v>74</v>
      </c>
      <c r="AB171" s="1" t="s">
        <v>1900</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1901</v>
      </c>
      <c r="AP171" s="1" t="s">
        <v>1902</v>
      </c>
      <c r="AQ171" s="1" t="s">
        <v>74</v>
      </c>
      <c r="AR171" s="1" t="s">
        <v>74</v>
      </c>
      <c r="AS171" s="1" t="s">
        <v>74</v>
      </c>
      <c r="AT171" s="1" t="s">
        <v>1903</v>
      </c>
      <c r="AU171" s="1">
        <v>2018.0</v>
      </c>
      <c r="AV171" s="1">
        <v>469.0</v>
      </c>
      <c r="AW171" s="1" t="s">
        <v>74</v>
      </c>
      <c r="AX171" s="1" t="s">
        <v>74</v>
      </c>
      <c r="AY171" s="1" t="s">
        <v>74</v>
      </c>
      <c r="AZ171" s="1" t="s">
        <v>74</v>
      </c>
      <c r="BA171" s="1" t="s">
        <v>74</v>
      </c>
      <c r="BB171" s="1">
        <v>239.0</v>
      </c>
      <c r="BC171" s="1">
        <v>244.0</v>
      </c>
      <c r="BD171" s="1" t="s">
        <v>74</v>
      </c>
      <c r="BE171" s="1" t="s">
        <v>1904</v>
      </c>
      <c r="BF171" s="2" t="str">
        <f>HYPERLINK("http://dx.doi.org/10.1016/j.ica.2017.09.022","http://dx.doi.org/10.1016/j.ica.2017.09.022")</f>
        <v>http://dx.doi.org/10.1016/j.ica.2017.09.022</v>
      </c>
      <c r="BG171" s="1" t="s">
        <v>74</v>
      </c>
      <c r="BH171" s="1" t="s">
        <v>74</v>
      </c>
      <c r="BI171" s="1" t="s">
        <v>74</v>
      </c>
      <c r="BJ171" s="1" t="s">
        <v>74</v>
      </c>
      <c r="BK171" s="1" t="s">
        <v>74</v>
      </c>
      <c r="BL171" s="1" t="s">
        <v>74</v>
      </c>
      <c r="BM171" s="1" t="s">
        <v>74</v>
      </c>
      <c r="BN171" s="1" t="s">
        <v>74</v>
      </c>
      <c r="BO171" s="1" t="s">
        <v>74</v>
      </c>
      <c r="BP171" s="1" t="s">
        <v>74</v>
      </c>
      <c r="BQ171" s="1" t="s">
        <v>74</v>
      </c>
      <c r="BR171" s="1" t="s">
        <v>74</v>
      </c>
      <c r="BS171" s="1" t="s">
        <v>1905</v>
      </c>
      <c r="BT171" s="1" t="str">
        <f>HYPERLINK("https%3A%2F%2Fwww.webofscience.com%2Fwos%2Fwoscc%2Ffull-record%2FWOS:000416056400031","View Full Record in Web of Science")</f>
        <v>View Full Record in Web of Science</v>
      </c>
    </row>
    <row r="172" ht="12.75" customHeight="1">
      <c r="A172" s="1" t="s">
        <v>72</v>
      </c>
      <c r="B172" s="1" t="s">
        <v>1906</v>
      </c>
      <c r="C172" s="1" t="s">
        <v>74</v>
      </c>
      <c r="D172" s="1" t="s">
        <v>74</v>
      </c>
      <c r="E172" s="1" t="s">
        <v>74</v>
      </c>
      <c r="F172" s="1" t="s">
        <v>1907</v>
      </c>
      <c r="G172" s="1" t="s">
        <v>74</v>
      </c>
      <c r="H172" s="1" t="s">
        <v>74</v>
      </c>
      <c r="I172" s="1" t="s">
        <v>1908</v>
      </c>
      <c r="J172" s="1" t="s">
        <v>1909</v>
      </c>
      <c r="K172" s="1" t="s">
        <v>74</v>
      </c>
      <c r="L172" s="1" t="s">
        <v>74</v>
      </c>
      <c r="M172" s="1" t="s">
        <v>74</v>
      </c>
      <c r="N172" s="1" t="s">
        <v>74</v>
      </c>
      <c r="O172" s="1" t="s">
        <v>74</v>
      </c>
      <c r="P172" s="1" t="s">
        <v>74</v>
      </c>
      <c r="Q172" s="1" t="s">
        <v>74</v>
      </c>
      <c r="R172" s="1" t="s">
        <v>74</v>
      </c>
      <c r="S172" s="1" t="s">
        <v>74</v>
      </c>
      <c r="T172" s="1" t="s">
        <v>74</v>
      </c>
      <c r="U172" s="1" t="s">
        <v>74</v>
      </c>
      <c r="V172" s="1" t="s">
        <v>1910</v>
      </c>
      <c r="W172" s="1" t="s">
        <v>74</v>
      </c>
      <c r="X172" s="1" t="s">
        <v>74</v>
      </c>
      <c r="Y172" s="1" t="s">
        <v>74</v>
      </c>
      <c r="Z172" s="1" t="s">
        <v>74</v>
      </c>
      <c r="AA172" s="1" t="s">
        <v>74</v>
      </c>
      <c r="AB172" s="1" t="s">
        <v>74</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1911</v>
      </c>
      <c r="AP172" s="1" t="s">
        <v>1912</v>
      </c>
      <c r="AQ172" s="1" t="s">
        <v>74</v>
      </c>
      <c r="AR172" s="1" t="s">
        <v>74</v>
      </c>
      <c r="AS172" s="1" t="s">
        <v>74</v>
      </c>
      <c r="AT172" s="1" t="s">
        <v>1279</v>
      </c>
      <c r="AU172" s="1">
        <v>2017.0</v>
      </c>
      <c r="AV172" s="1">
        <v>143.0</v>
      </c>
      <c r="AW172" s="1">
        <v>4.0</v>
      </c>
      <c r="AX172" s="1" t="s">
        <v>74</v>
      </c>
      <c r="AY172" s="1" t="s">
        <v>74</v>
      </c>
      <c r="AZ172" s="1" t="s">
        <v>74</v>
      </c>
      <c r="BA172" s="1" t="s">
        <v>74</v>
      </c>
      <c r="BB172" s="1" t="s">
        <v>74</v>
      </c>
      <c r="BC172" s="1" t="s">
        <v>74</v>
      </c>
      <c r="BD172" s="1">
        <v>4016082.0</v>
      </c>
      <c r="BE172" s="1" t="s">
        <v>1913</v>
      </c>
      <c r="BF172" s="2" t="str">
        <f>HYPERLINK("http://dx.doi.org/10.1061/(ASCE)IR.1943-4774.0001134","http://dx.doi.org/10.1061/(ASCE)IR.1943-4774.0001134")</f>
        <v>http://dx.doi.org/10.1061/(ASCE)IR.1943-4774.0001134</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1914</v>
      </c>
      <c r="BT172" s="1" t="str">
        <f>HYPERLINK("https%3A%2F%2Fwww.webofscience.com%2Fwos%2Fwoscc%2Ffull-record%2FWOS:000398515100003","View Full Record in Web of Science")</f>
        <v>View Full Record in Web of Science</v>
      </c>
    </row>
    <row r="173" ht="12.75" customHeight="1">
      <c r="A173" s="1" t="s">
        <v>72</v>
      </c>
      <c r="B173" s="1" t="s">
        <v>1915</v>
      </c>
      <c r="C173" s="1" t="s">
        <v>74</v>
      </c>
      <c r="D173" s="1" t="s">
        <v>74</v>
      </c>
      <c r="E173" s="1" t="s">
        <v>74</v>
      </c>
      <c r="F173" s="1" t="s">
        <v>1916</v>
      </c>
      <c r="G173" s="1" t="s">
        <v>74</v>
      </c>
      <c r="H173" s="1" t="s">
        <v>74</v>
      </c>
      <c r="I173" s="1" t="s">
        <v>1917</v>
      </c>
      <c r="J173" s="1" t="s">
        <v>1918</v>
      </c>
      <c r="K173" s="1" t="s">
        <v>74</v>
      </c>
      <c r="L173" s="1" t="s">
        <v>74</v>
      </c>
      <c r="M173" s="1" t="s">
        <v>74</v>
      </c>
      <c r="N173" s="1" t="s">
        <v>74</v>
      </c>
      <c r="O173" s="1" t="s">
        <v>74</v>
      </c>
      <c r="P173" s="1" t="s">
        <v>74</v>
      </c>
      <c r="Q173" s="1" t="s">
        <v>74</v>
      </c>
      <c r="R173" s="1" t="s">
        <v>74</v>
      </c>
      <c r="S173" s="1" t="s">
        <v>74</v>
      </c>
      <c r="T173" s="1" t="s">
        <v>74</v>
      </c>
      <c r="U173" s="1" t="s">
        <v>74</v>
      </c>
      <c r="V173" s="1" t="s">
        <v>1919</v>
      </c>
      <c r="W173" s="1" t="s">
        <v>74</v>
      </c>
      <c r="X173" s="1" t="s">
        <v>74</v>
      </c>
      <c r="Y173" s="1" t="s">
        <v>74</v>
      </c>
      <c r="Z173" s="1" t="s">
        <v>74</v>
      </c>
      <c r="AA173" s="1" t="s">
        <v>1920</v>
      </c>
      <c r="AB173" s="1" t="s">
        <v>74</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1921</v>
      </c>
      <c r="AP173" s="1" t="s">
        <v>74</v>
      </c>
      <c r="AQ173" s="1" t="s">
        <v>74</v>
      </c>
      <c r="AR173" s="1" t="s">
        <v>74</v>
      </c>
      <c r="AS173" s="1" t="s">
        <v>74</v>
      </c>
      <c r="AT173" s="1" t="s">
        <v>294</v>
      </c>
      <c r="AU173" s="1">
        <v>2017.0</v>
      </c>
      <c r="AV173" s="1" t="s">
        <v>74</v>
      </c>
      <c r="AW173" s="1">
        <v>67.0</v>
      </c>
      <c r="AX173" s="1" t="s">
        <v>74</v>
      </c>
      <c r="AY173" s="1" t="s">
        <v>74</v>
      </c>
      <c r="AZ173" s="1" t="s">
        <v>74</v>
      </c>
      <c r="BA173" s="1" t="s">
        <v>74</v>
      </c>
      <c r="BB173" s="1">
        <v>95.0</v>
      </c>
      <c r="BC173" s="1">
        <v>124.0</v>
      </c>
      <c r="BD173" s="1" t="s">
        <v>74</v>
      </c>
      <c r="BE173" s="1" t="s">
        <v>74</v>
      </c>
      <c r="BF173" s="1" t="s">
        <v>74</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1922</v>
      </c>
      <c r="BT173" s="1" t="str">
        <f>HYPERLINK("https%3A%2F%2Fwww.webofscience.com%2Fwos%2Fwoscc%2Ffull-record%2FWOS:000404947600004","View Full Record in Web of Science")</f>
        <v>View Full Record in Web of Science</v>
      </c>
    </row>
    <row r="174" ht="12.75" customHeight="1">
      <c r="A174" s="1" t="s">
        <v>72</v>
      </c>
      <c r="B174" s="1" t="s">
        <v>1923</v>
      </c>
      <c r="C174" s="1" t="s">
        <v>74</v>
      </c>
      <c r="D174" s="1" t="s">
        <v>74</v>
      </c>
      <c r="E174" s="1" t="s">
        <v>74</v>
      </c>
      <c r="F174" s="1" t="s">
        <v>1924</v>
      </c>
      <c r="G174" s="1" t="s">
        <v>74</v>
      </c>
      <c r="H174" s="1" t="s">
        <v>74</v>
      </c>
      <c r="I174" s="1" t="s">
        <v>1925</v>
      </c>
      <c r="J174" s="1" t="s">
        <v>1926</v>
      </c>
      <c r="K174" s="1" t="s">
        <v>74</v>
      </c>
      <c r="L174" s="1" t="s">
        <v>74</v>
      </c>
      <c r="M174" s="1" t="s">
        <v>74</v>
      </c>
      <c r="N174" s="1" t="s">
        <v>74</v>
      </c>
      <c r="O174" s="1" t="s">
        <v>74</v>
      </c>
      <c r="P174" s="1" t="s">
        <v>74</v>
      </c>
      <c r="Q174" s="1" t="s">
        <v>74</v>
      </c>
      <c r="R174" s="1" t="s">
        <v>74</v>
      </c>
      <c r="S174" s="1" t="s">
        <v>74</v>
      </c>
      <c r="T174" s="1" t="s">
        <v>74</v>
      </c>
      <c r="U174" s="1" t="s">
        <v>74</v>
      </c>
      <c r="V174" s="1" t="s">
        <v>1927</v>
      </c>
      <c r="W174" s="1" t="s">
        <v>74</v>
      </c>
      <c r="X174" s="1" t="s">
        <v>74</v>
      </c>
      <c r="Y174" s="1" t="s">
        <v>74</v>
      </c>
      <c r="Z174" s="1" t="s">
        <v>74</v>
      </c>
      <c r="AA174" s="1" t="s">
        <v>1928</v>
      </c>
      <c r="AB174" s="1" t="s">
        <v>1929</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1930</v>
      </c>
      <c r="AP174" s="1" t="s">
        <v>1931</v>
      </c>
      <c r="AQ174" s="1" t="s">
        <v>74</v>
      </c>
      <c r="AR174" s="1" t="s">
        <v>74</v>
      </c>
      <c r="AS174" s="1" t="s">
        <v>74</v>
      </c>
      <c r="AT174" s="1" t="s">
        <v>1106</v>
      </c>
      <c r="AU174" s="1">
        <v>2017.0</v>
      </c>
      <c r="AV174" s="1">
        <v>147.0</v>
      </c>
      <c r="AW174" s="1">
        <v>1.0</v>
      </c>
      <c r="AX174" s="1" t="s">
        <v>74</v>
      </c>
      <c r="AY174" s="1" t="s">
        <v>74</v>
      </c>
      <c r="AZ174" s="1" t="s">
        <v>74</v>
      </c>
      <c r="BA174" s="1" t="s">
        <v>74</v>
      </c>
      <c r="BB174" s="1">
        <v>83.0</v>
      </c>
      <c r="BC174" s="1">
        <v>95.0</v>
      </c>
      <c r="BD174" s="1" t="s">
        <v>74</v>
      </c>
      <c r="BE174" s="1" t="s">
        <v>1932</v>
      </c>
      <c r="BF174" s="2" t="str">
        <f>HYPERLINK("http://dx.doi.org/10.1007/s00418-016-1485-9","http://dx.doi.org/10.1007/s00418-016-1485-9")</f>
        <v>http://dx.doi.org/10.1007/s00418-016-1485-9</v>
      </c>
      <c r="BG174" s="1" t="s">
        <v>74</v>
      </c>
      <c r="BH174" s="1" t="s">
        <v>74</v>
      </c>
      <c r="BI174" s="1" t="s">
        <v>74</v>
      </c>
      <c r="BJ174" s="1" t="s">
        <v>74</v>
      </c>
      <c r="BK174" s="1" t="s">
        <v>74</v>
      </c>
      <c r="BL174" s="1" t="s">
        <v>74</v>
      </c>
      <c r="BM174" s="1" t="s">
        <v>74</v>
      </c>
      <c r="BN174" s="1">
        <v>2.7586854E7</v>
      </c>
      <c r="BO174" s="1" t="s">
        <v>74</v>
      </c>
      <c r="BP174" s="1" t="s">
        <v>74</v>
      </c>
      <c r="BQ174" s="1" t="s">
        <v>74</v>
      </c>
      <c r="BR174" s="1" t="s">
        <v>74</v>
      </c>
      <c r="BS174" s="1" t="s">
        <v>1933</v>
      </c>
      <c r="BT174" s="1" t="str">
        <f>HYPERLINK("https%3A%2F%2Fwww.webofscience.com%2Fwos%2Fwoscc%2Ffull-record%2FWOS:000392063000009","View Full Record in Web of Science")</f>
        <v>View Full Record in Web of Science</v>
      </c>
    </row>
    <row r="175" ht="12.75" customHeight="1">
      <c r="A175" s="1" t="s">
        <v>72</v>
      </c>
      <c r="B175" s="1" t="s">
        <v>1934</v>
      </c>
      <c r="C175" s="1" t="s">
        <v>74</v>
      </c>
      <c r="D175" s="1" t="s">
        <v>74</v>
      </c>
      <c r="E175" s="1" t="s">
        <v>74</v>
      </c>
      <c r="F175" s="1" t="s">
        <v>1935</v>
      </c>
      <c r="G175" s="1" t="s">
        <v>74</v>
      </c>
      <c r="H175" s="1" t="s">
        <v>74</v>
      </c>
      <c r="I175" s="1" t="s">
        <v>1936</v>
      </c>
      <c r="J175" s="1" t="s">
        <v>1937</v>
      </c>
      <c r="K175" s="1" t="s">
        <v>74</v>
      </c>
      <c r="L175" s="1" t="s">
        <v>74</v>
      </c>
      <c r="M175" s="1" t="s">
        <v>74</v>
      </c>
      <c r="N175" s="1" t="s">
        <v>74</v>
      </c>
      <c r="O175" s="1" t="s">
        <v>74</v>
      </c>
      <c r="P175" s="1" t="s">
        <v>74</v>
      </c>
      <c r="Q175" s="1" t="s">
        <v>74</v>
      </c>
      <c r="R175" s="1" t="s">
        <v>74</v>
      </c>
      <c r="S175" s="1" t="s">
        <v>74</v>
      </c>
      <c r="T175" s="1" t="s">
        <v>74</v>
      </c>
      <c r="U175" s="1" t="s">
        <v>74</v>
      </c>
      <c r="V175" s="1" t="s">
        <v>1938</v>
      </c>
      <c r="W175" s="1" t="s">
        <v>74</v>
      </c>
      <c r="X175" s="1" t="s">
        <v>74</v>
      </c>
      <c r="Y175" s="1" t="s">
        <v>74</v>
      </c>
      <c r="Z175" s="1" t="s">
        <v>74</v>
      </c>
      <c r="AA175" s="1" t="s">
        <v>1939</v>
      </c>
      <c r="AB175" s="1" t="s">
        <v>1940</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1941</v>
      </c>
      <c r="AP175" s="1" t="s">
        <v>74</v>
      </c>
      <c r="AQ175" s="1" t="s">
        <v>74</v>
      </c>
      <c r="AR175" s="1" t="s">
        <v>74</v>
      </c>
      <c r="AS175" s="1" t="s">
        <v>74</v>
      </c>
      <c r="AT175" s="1" t="s">
        <v>1942</v>
      </c>
      <c r="AU175" s="1">
        <v>2016.0</v>
      </c>
      <c r="AV175" s="1">
        <v>7.0</v>
      </c>
      <c r="AW175" s="1" t="s">
        <v>74</v>
      </c>
      <c r="AX175" s="1" t="s">
        <v>74</v>
      </c>
      <c r="AY175" s="1" t="s">
        <v>74</v>
      </c>
      <c r="AZ175" s="1" t="s">
        <v>74</v>
      </c>
      <c r="BA175" s="1" t="s">
        <v>74</v>
      </c>
      <c r="BB175" s="1" t="s">
        <v>74</v>
      </c>
      <c r="BC175" s="1" t="s">
        <v>74</v>
      </c>
      <c r="BD175" s="1">
        <v>748.0</v>
      </c>
      <c r="BE175" s="1" t="s">
        <v>1943</v>
      </c>
      <c r="BF175" s="2" t="str">
        <f>HYPERLINK("http://dx.doi.org/10.3389/fmicb.2016.00748","http://dx.doi.org/10.3389/fmicb.2016.00748")</f>
        <v>http://dx.doi.org/10.3389/fmicb.2016.00748</v>
      </c>
      <c r="BG175" s="1" t="s">
        <v>74</v>
      </c>
      <c r="BH175" s="1" t="s">
        <v>74</v>
      </c>
      <c r="BI175" s="1" t="s">
        <v>74</v>
      </c>
      <c r="BJ175" s="1" t="s">
        <v>74</v>
      </c>
      <c r="BK175" s="1" t="s">
        <v>74</v>
      </c>
      <c r="BL175" s="1" t="s">
        <v>74</v>
      </c>
      <c r="BM175" s="1" t="s">
        <v>74</v>
      </c>
      <c r="BN175" s="1">
        <v>2.7242761E7</v>
      </c>
      <c r="BO175" s="1" t="s">
        <v>74</v>
      </c>
      <c r="BP175" s="1" t="s">
        <v>74</v>
      </c>
      <c r="BQ175" s="1" t="s">
        <v>74</v>
      </c>
      <c r="BR175" s="1" t="s">
        <v>74</v>
      </c>
      <c r="BS175" s="1" t="s">
        <v>1944</v>
      </c>
      <c r="BT175" s="1" t="str">
        <f>HYPERLINK("https%3A%2F%2Fwww.webofscience.com%2Fwos%2Fwoscc%2Ffull-record%2FWOS:000376277600001","View Full Record in Web of Science")</f>
        <v>View Full Record in Web of Science</v>
      </c>
    </row>
    <row r="176" ht="12.75" customHeight="1">
      <c r="A176" s="1" t="s">
        <v>72</v>
      </c>
      <c r="B176" s="1" t="s">
        <v>1945</v>
      </c>
      <c r="C176" s="1" t="s">
        <v>74</v>
      </c>
      <c r="D176" s="1" t="s">
        <v>74</v>
      </c>
      <c r="E176" s="1" t="s">
        <v>74</v>
      </c>
      <c r="F176" s="1" t="s">
        <v>1946</v>
      </c>
      <c r="G176" s="1" t="s">
        <v>74</v>
      </c>
      <c r="H176" s="1" t="s">
        <v>74</v>
      </c>
      <c r="I176" s="1" t="s">
        <v>1947</v>
      </c>
      <c r="J176" s="1" t="s">
        <v>1948</v>
      </c>
      <c r="K176" s="1" t="s">
        <v>74</v>
      </c>
      <c r="L176" s="1" t="s">
        <v>74</v>
      </c>
      <c r="M176" s="1" t="s">
        <v>74</v>
      </c>
      <c r="N176" s="1" t="s">
        <v>74</v>
      </c>
      <c r="O176" s="1" t="s">
        <v>74</v>
      </c>
      <c r="P176" s="1" t="s">
        <v>74</v>
      </c>
      <c r="Q176" s="1" t="s">
        <v>74</v>
      </c>
      <c r="R176" s="1" t="s">
        <v>74</v>
      </c>
      <c r="S176" s="1" t="s">
        <v>74</v>
      </c>
      <c r="T176" s="1" t="s">
        <v>74</v>
      </c>
      <c r="U176" s="1" t="s">
        <v>74</v>
      </c>
      <c r="V176" s="1" t="s">
        <v>1949</v>
      </c>
      <c r="W176" s="1" t="s">
        <v>74</v>
      </c>
      <c r="X176" s="1" t="s">
        <v>74</v>
      </c>
      <c r="Y176" s="1" t="s">
        <v>74</v>
      </c>
      <c r="Z176" s="1" t="s">
        <v>74</v>
      </c>
      <c r="AA176" s="1" t="s">
        <v>1950</v>
      </c>
      <c r="AB176" s="1" t="s">
        <v>1951</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1952</v>
      </c>
      <c r="AP176" s="1" t="s">
        <v>1953</v>
      </c>
      <c r="AQ176" s="1" t="s">
        <v>74</v>
      </c>
      <c r="AR176" s="1" t="s">
        <v>74</v>
      </c>
      <c r="AS176" s="1" t="s">
        <v>74</v>
      </c>
      <c r="AT176" s="1" t="s">
        <v>745</v>
      </c>
      <c r="AU176" s="1">
        <v>2016.0</v>
      </c>
      <c r="AV176" s="1">
        <v>31.0</v>
      </c>
      <c r="AW176" s="1">
        <v>4.0</v>
      </c>
      <c r="AX176" s="1" t="s">
        <v>74</v>
      </c>
      <c r="AY176" s="1" t="s">
        <v>74</v>
      </c>
      <c r="AZ176" s="1" t="s">
        <v>74</v>
      </c>
      <c r="BA176" s="1" t="s">
        <v>74</v>
      </c>
      <c r="BB176" s="1">
        <v>223.0</v>
      </c>
      <c r="BC176" s="1">
        <v>230.0</v>
      </c>
      <c r="BD176" s="1" t="s">
        <v>74</v>
      </c>
      <c r="BE176" s="1" t="s">
        <v>1954</v>
      </c>
      <c r="BF176" s="2" t="str">
        <f>HYPERLINK("http://dx.doi.org/10.1016/j.nrl.2015.05.006","http://dx.doi.org/10.1016/j.nrl.2015.05.006")</f>
        <v>http://dx.doi.org/10.1016/j.nrl.2015.05.006</v>
      </c>
      <c r="BG176" s="1" t="s">
        <v>74</v>
      </c>
      <c r="BH176" s="1" t="s">
        <v>74</v>
      </c>
      <c r="BI176" s="1" t="s">
        <v>74</v>
      </c>
      <c r="BJ176" s="1" t="s">
        <v>74</v>
      </c>
      <c r="BK176" s="1" t="s">
        <v>74</v>
      </c>
      <c r="BL176" s="1" t="s">
        <v>74</v>
      </c>
      <c r="BM176" s="1" t="s">
        <v>74</v>
      </c>
      <c r="BN176" s="1">
        <v>2.6315759E7</v>
      </c>
      <c r="BO176" s="1" t="s">
        <v>74</v>
      </c>
      <c r="BP176" s="1" t="s">
        <v>74</v>
      </c>
      <c r="BQ176" s="1" t="s">
        <v>74</v>
      </c>
      <c r="BR176" s="1" t="s">
        <v>74</v>
      </c>
      <c r="BS176" s="1" t="s">
        <v>1955</v>
      </c>
      <c r="BT176" s="1" t="str">
        <f>HYPERLINK("https%3A%2F%2Fwww.webofscience.com%2Fwos%2Fwoscc%2Ffull-record%2FWOS:000375636300002","View Full Record in Web of Science")</f>
        <v>View Full Record in Web of Science</v>
      </c>
    </row>
    <row r="177" ht="12.75" customHeight="1">
      <c r="A177" s="1" t="s">
        <v>72</v>
      </c>
      <c r="B177" s="1" t="s">
        <v>1956</v>
      </c>
      <c r="C177" s="1" t="s">
        <v>74</v>
      </c>
      <c r="D177" s="1" t="s">
        <v>74</v>
      </c>
      <c r="E177" s="1" t="s">
        <v>74</v>
      </c>
      <c r="F177" s="1" t="s">
        <v>1957</v>
      </c>
      <c r="G177" s="1" t="s">
        <v>74</v>
      </c>
      <c r="H177" s="1" t="s">
        <v>74</v>
      </c>
      <c r="I177" s="1" t="s">
        <v>1958</v>
      </c>
      <c r="J177" s="1" t="s">
        <v>1959</v>
      </c>
      <c r="K177" s="1" t="s">
        <v>74</v>
      </c>
      <c r="L177" s="1" t="s">
        <v>74</v>
      </c>
      <c r="M177" s="1" t="s">
        <v>74</v>
      </c>
      <c r="N177" s="1" t="s">
        <v>74</v>
      </c>
      <c r="O177" s="1" t="s">
        <v>74</v>
      </c>
      <c r="P177" s="1" t="s">
        <v>74</v>
      </c>
      <c r="Q177" s="1" t="s">
        <v>74</v>
      </c>
      <c r="R177" s="1" t="s">
        <v>74</v>
      </c>
      <c r="S177" s="1" t="s">
        <v>74</v>
      </c>
      <c r="T177" s="1" t="s">
        <v>74</v>
      </c>
      <c r="U177" s="1" t="s">
        <v>74</v>
      </c>
      <c r="V177" s="1" t="s">
        <v>1960</v>
      </c>
      <c r="W177" s="1" t="s">
        <v>74</v>
      </c>
      <c r="X177" s="1" t="s">
        <v>74</v>
      </c>
      <c r="Y177" s="1" t="s">
        <v>74</v>
      </c>
      <c r="Z177" s="1" t="s">
        <v>74</v>
      </c>
      <c r="AA177" s="1" t="s">
        <v>1961</v>
      </c>
      <c r="AB177" s="1" t="s">
        <v>1962</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1963</v>
      </c>
      <c r="AP177" s="1" t="s">
        <v>74</v>
      </c>
      <c r="AQ177" s="1" t="s">
        <v>74</v>
      </c>
      <c r="AR177" s="1" t="s">
        <v>74</v>
      </c>
      <c r="AS177" s="1" t="s">
        <v>74</v>
      </c>
      <c r="AT177" s="1" t="s">
        <v>1964</v>
      </c>
      <c r="AU177" s="1">
        <v>2015.0</v>
      </c>
      <c r="AV177" s="1">
        <v>5.0</v>
      </c>
      <c r="AW177" s="1" t="s">
        <v>74</v>
      </c>
      <c r="AX177" s="1" t="s">
        <v>74</v>
      </c>
      <c r="AY177" s="1" t="s">
        <v>74</v>
      </c>
      <c r="AZ177" s="1" t="s">
        <v>74</v>
      </c>
      <c r="BA177" s="1" t="s">
        <v>74</v>
      </c>
      <c r="BB177" s="1" t="s">
        <v>74</v>
      </c>
      <c r="BC177" s="1" t="s">
        <v>74</v>
      </c>
      <c r="BD177" s="1">
        <v>15472.0</v>
      </c>
      <c r="BE177" s="1" t="s">
        <v>1965</v>
      </c>
      <c r="BF177" s="2" t="str">
        <f>HYPERLINK("http://dx.doi.org/10.1038/srep15472","http://dx.doi.org/10.1038/srep15472")</f>
        <v>http://dx.doi.org/10.1038/srep15472</v>
      </c>
      <c r="BG177" s="1" t="s">
        <v>74</v>
      </c>
      <c r="BH177" s="1" t="s">
        <v>74</v>
      </c>
      <c r="BI177" s="1" t="s">
        <v>74</v>
      </c>
      <c r="BJ177" s="1" t="s">
        <v>74</v>
      </c>
      <c r="BK177" s="1" t="s">
        <v>74</v>
      </c>
      <c r="BL177" s="1" t="s">
        <v>74</v>
      </c>
      <c r="BM177" s="1" t="s">
        <v>74</v>
      </c>
      <c r="BN177" s="1">
        <v>2.648266E7</v>
      </c>
      <c r="BO177" s="1" t="s">
        <v>74</v>
      </c>
      <c r="BP177" s="1" t="s">
        <v>74</v>
      </c>
      <c r="BQ177" s="1" t="s">
        <v>74</v>
      </c>
      <c r="BR177" s="1" t="s">
        <v>74</v>
      </c>
      <c r="BS177" s="1" t="s">
        <v>1966</v>
      </c>
      <c r="BT177" s="1" t="str">
        <f>HYPERLINK("https%3A%2F%2Fwww.webofscience.com%2Fwos%2Fwoscc%2Ffull-record%2FWOS:000363036800001","View Full Record in Web of Science")</f>
        <v>View Full Record in Web of Science</v>
      </c>
    </row>
    <row r="178" ht="12.75" customHeight="1">
      <c r="A178" s="1" t="s">
        <v>72</v>
      </c>
      <c r="B178" s="1" t="s">
        <v>1967</v>
      </c>
      <c r="C178" s="1" t="s">
        <v>74</v>
      </c>
      <c r="D178" s="1" t="s">
        <v>74</v>
      </c>
      <c r="E178" s="1" t="s">
        <v>74</v>
      </c>
      <c r="F178" s="1" t="s">
        <v>1968</v>
      </c>
      <c r="G178" s="1" t="s">
        <v>74</v>
      </c>
      <c r="H178" s="1" t="s">
        <v>74</v>
      </c>
      <c r="I178" s="1" t="s">
        <v>1969</v>
      </c>
      <c r="J178" s="1" t="s">
        <v>1970</v>
      </c>
      <c r="K178" s="1" t="s">
        <v>74</v>
      </c>
      <c r="L178" s="1" t="s">
        <v>74</v>
      </c>
      <c r="M178" s="1" t="s">
        <v>74</v>
      </c>
      <c r="N178" s="1" t="s">
        <v>74</v>
      </c>
      <c r="O178" s="1" t="s">
        <v>74</v>
      </c>
      <c r="P178" s="1" t="s">
        <v>74</v>
      </c>
      <c r="Q178" s="1" t="s">
        <v>74</v>
      </c>
      <c r="R178" s="1" t="s">
        <v>74</v>
      </c>
      <c r="S178" s="1" t="s">
        <v>74</v>
      </c>
      <c r="T178" s="1" t="s">
        <v>74</v>
      </c>
      <c r="U178" s="1" t="s">
        <v>74</v>
      </c>
      <c r="V178" s="1" t="s">
        <v>1971</v>
      </c>
      <c r="W178" s="1" t="s">
        <v>74</v>
      </c>
      <c r="X178" s="1" t="s">
        <v>74</v>
      </c>
      <c r="Y178" s="1" t="s">
        <v>74</v>
      </c>
      <c r="Z178" s="1" t="s">
        <v>74</v>
      </c>
      <c r="AA178" s="1" t="s">
        <v>1972</v>
      </c>
      <c r="AB178" s="1" t="s">
        <v>1973</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1974</v>
      </c>
      <c r="AP178" s="1" t="s">
        <v>74</v>
      </c>
      <c r="AQ178" s="1" t="s">
        <v>74</v>
      </c>
      <c r="AR178" s="1" t="s">
        <v>74</v>
      </c>
      <c r="AS178" s="1" t="s">
        <v>74</v>
      </c>
      <c r="AT178" s="1" t="s">
        <v>74</v>
      </c>
      <c r="AU178" s="1">
        <v>2015.0</v>
      </c>
      <c r="AV178" s="1">
        <v>33.0</v>
      </c>
      <c r="AW178" s="1">
        <v>2.0</v>
      </c>
      <c r="AX178" s="1" t="s">
        <v>74</v>
      </c>
      <c r="AY178" s="1" t="s">
        <v>74</v>
      </c>
      <c r="AZ178" s="1" t="s">
        <v>74</v>
      </c>
      <c r="BA178" s="1" t="s">
        <v>74</v>
      </c>
      <c r="BB178" s="1">
        <v>59.0</v>
      </c>
      <c r="BC178" s="1">
        <v>67.0</v>
      </c>
      <c r="BD178" s="1" t="s">
        <v>74</v>
      </c>
      <c r="BE178" s="1" t="s">
        <v>1975</v>
      </c>
      <c r="BF178" s="2" t="str">
        <f>HYPERLINK("http://dx.doi.org/10.4067/S0718-48082015000200001","http://dx.doi.org/10.4067/S0718-48082015000200001")</f>
        <v>http://dx.doi.org/10.4067/S0718-48082015000200001</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1976</v>
      </c>
      <c r="BT178" s="1" t="str">
        <f>HYPERLINK("https%3A%2F%2Fwww.webofscience.com%2Fwos%2Fwoscc%2Ffull-record%2FWOS:000365408400001","View Full Record in Web of Science")</f>
        <v>View Full Record in Web of Science</v>
      </c>
    </row>
    <row r="179" ht="12.75" customHeight="1">
      <c r="A179" s="1" t="s">
        <v>207</v>
      </c>
      <c r="B179" s="1" t="s">
        <v>1977</v>
      </c>
      <c r="C179" s="1" t="s">
        <v>74</v>
      </c>
      <c r="D179" s="1" t="s">
        <v>74</v>
      </c>
      <c r="E179" s="1" t="s">
        <v>1978</v>
      </c>
      <c r="F179" s="1" t="s">
        <v>1979</v>
      </c>
      <c r="G179" s="1" t="s">
        <v>74</v>
      </c>
      <c r="H179" s="1" t="s">
        <v>74</v>
      </c>
      <c r="I179" s="1" t="s">
        <v>1980</v>
      </c>
      <c r="J179" s="1" t="s">
        <v>1981</v>
      </c>
      <c r="K179" s="1" t="s">
        <v>426</v>
      </c>
      <c r="L179" s="1" t="s">
        <v>74</v>
      </c>
      <c r="M179" s="1" t="s">
        <v>74</v>
      </c>
      <c r="N179" s="1" t="s">
        <v>74</v>
      </c>
      <c r="O179" s="1" t="s">
        <v>1982</v>
      </c>
      <c r="P179" s="1" t="s">
        <v>1983</v>
      </c>
      <c r="Q179" s="1" t="s">
        <v>1984</v>
      </c>
      <c r="R179" s="1" t="s">
        <v>1985</v>
      </c>
      <c r="S179" s="1" t="s">
        <v>74</v>
      </c>
      <c r="T179" s="1" t="s">
        <v>74</v>
      </c>
      <c r="U179" s="1" t="s">
        <v>74</v>
      </c>
      <c r="V179" s="1" t="s">
        <v>1986</v>
      </c>
      <c r="W179" s="1" t="s">
        <v>74</v>
      </c>
      <c r="X179" s="1" t="s">
        <v>74</v>
      </c>
      <c r="Y179" s="1" t="s">
        <v>74</v>
      </c>
      <c r="Z179" s="1" t="s">
        <v>74</v>
      </c>
      <c r="AA179" s="1" t="s">
        <v>1987</v>
      </c>
      <c r="AB179" s="1" t="s">
        <v>1988</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434</v>
      </c>
      <c r="AP179" s="1" t="s">
        <v>435</v>
      </c>
      <c r="AQ179" s="1" t="s">
        <v>74</v>
      </c>
      <c r="AR179" s="1" t="s">
        <v>74</v>
      </c>
      <c r="AS179" s="1" t="s">
        <v>74</v>
      </c>
      <c r="AT179" s="1" t="s">
        <v>74</v>
      </c>
      <c r="AU179" s="1">
        <v>2015.0</v>
      </c>
      <c r="AV179" s="1">
        <v>602.0</v>
      </c>
      <c r="AW179" s="1" t="s">
        <v>74</v>
      </c>
      <c r="AX179" s="1" t="s">
        <v>74</v>
      </c>
      <c r="AY179" s="1" t="s">
        <v>74</v>
      </c>
      <c r="AZ179" s="1" t="s">
        <v>74</v>
      </c>
      <c r="BA179" s="1" t="s">
        <v>74</v>
      </c>
      <c r="BB179" s="1" t="s">
        <v>74</v>
      </c>
      <c r="BC179" s="1" t="s">
        <v>74</v>
      </c>
      <c r="BD179" s="1">
        <v>12016.0</v>
      </c>
      <c r="BE179" s="1" t="s">
        <v>1989</v>
      </c>
      <c r="BF179" s="2" t="str">
        <f>HYPERLINK("http://dx.doi.org/10.1088/1742-6596/602/1/012016","http://dx.doi.org/10.1088/1742-6596/602/1/012016")</f>
        <v>http://dx.doi.org/10.1088/1742-6596/602/1/012016</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1990</v>
      </c>
      <c r="BT179" s="1" t="str">
        <f>HYPERLINK("https%3A%2F%2Fwww.webofscience.com%2Fwos%2Fwoscc%2Ffull-record%2FWOS:000354704800016","View Full Record in Web of Science")</f>
        <v>View Full Record in Web of Science</v>
      </c>
    </row>
    <row r="180" ht="12.75" customHeight="1">
      <c r="A180" s="1" t="s">
        <v>72</v>
      </c>
      <c r="B180" s="1" t="s">
        <v>1991</v>
      </c>
      <c r="C180" s="1" t="s">
        <v>74</v>
      </c>
      <c r="D180" s="1" t="s">
        <v>74</v>
      </c>
      <c r="E180" s="1" t="s">
        <v>74</v>
      </c>
      <c r="F180" s="1" t="s">
        <v>1992</v>
      </c>
      <c r="G180" s="1" t="s">
        <v>74</v>
      </c>
      <c r="H180" s="1" t="s">
        <v>74</v>
      </c>
      <c r="I180" s="1" t="s">
        <v>1993</v>
      </c>
      <c r="J180" s="1" t="s">
        <v>1994</v>
      </c>
      <c r="K180" s="1" t="s">
        <v>74</v>
      </c>
      <c r="L180" s="1" t="s">
        <v>74</v>
      </c>
      <c r="M180" s="1" t="s">
        <v>74</v>
      </c>
      <c r="N180" s="1" t="s">
        <v>74</v>
      </c>
      <c r="O180" s="1" t="s">
        <v>74</v>
      </c>
      <c r="P180" s="1" t="s">
        <v>74</v>
      </c>
      <c r="Q180" s="1" t="s">
        <v>74</v>
      </c>
      <c r="R180" s="1" t="s">
        <v>74</v>
      </c>
      <c r="S180" s="1" t="s">
        <v>74</v>
      </c>
      <c r="T180" s="1" t="s">
        <v>74</v>
      </c>
      <c r="U180" s="1" t="s">
        <v>74</v>
      </c>
      <c r="V180" s="1" t="s">
        <v>1995</v>
      </c>
      <c r="W180" s="1" t="s">
        <v>74</v>
      </c>
      <c r="X180" s="1" t="s">
        <v>74</v>
      </c>
      <c r="Y180" s="1" t="s">
        <v>74</v>
      </c>
      <c r="Z180" s="1" t="s">
        <v>74</v>
      </c>
      <c r="AA180" s="1" t="s">
        <v>1996</v>
      </c>
      <c r="AB180" s="1" t="s">
        <v>1997</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1998</v>
      </c>
      <c r="AP180" s="1" t="s">
        <v>1999</v>
      </c>
      <c r="AQ180" s="1" t="s">
        <v>74</v>
      </c>
      <c r="AR180" s="1" t="s">
        <v>74</v>
      </c>
      <c r="AS180" s="1" t="s">
        <v>74</v>
      </c>
      <c r="AT180" s="1" t="s">
        <v>2000</v>
      </c>
      <c r="AU180" s="1">
        <v>2014.0</v>
      </c>
      <c r="AV180" s="1">
        <v>93.0</v>
      </c>
      <c r="AW180" s="1">
        <v>12.0</v>
      </c>
      <c r="AX180" s="1" t="s">
        <v>74</v>
      </c>
      <c r="AY180" s="1" t="s">
        <v>74</v>
      </c>
      <c r="AZ180" s="1" t="s">
        <v>74</v>
      </c>
      <c r="BA180" s="1" t="s">
        <v>74</v>
      </c>
      <c r="BB180" s="1">
        <v>2547.0</v>
      </c>
      <c r="BC180" s="1">
        <v>2558.0</v>
      </c>
      <c r="BD180" s="1" t="s">
        <v>74</v>
      </c>
      <c r="BE180" s="1" t="s">
        <v>2001</v>
      </c>
      <c r="BF180" s="2" t="str">
        <f>HYPERLINK("http://dx.doi.org/10.1080/00036811.2013.875161","http://dx.doi.org/10.1080/00036811.2013.875161")</f>
        <v>http://dx.doi.org/10.1080/00036811.2013.875161</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2002</v>
      </c>
      <c r="BT180" s="1" t="str">
        <f>HYPERLINK("https%3A%2F%2Fwww.webofscience.com%2Fwos%2Fwoscc%2Ffull-record%2FWOS:000343907200001","View Full Record in Web of Science")</f>
        <v>View Full Record in Web of Science</v>
      </c>
    </row>
    <row r="181" ht="12.75" customHeight="1">
      <c r="A181" s="1" t="s">
        <v>72</v>
      </c>
      <c r="B181" s="1" t="s">
        <v>2003</v>
      </c>
      <c r="C181" s="1" t="s">
        <v>74</v>
      </c>
      <c r="D181" s="1" t="s">
        <v>74</v>
      </c>
      <c r="E181" s="1" t="s">
        <v>74</v>
      </c>
      <c r="F181" s="1" t="s">
        <v>2004</v>
      </c>
      <c r="G181" s="1" t="s">
        <v>74</v>
      </c>
      <c r="H181" s="1" t="s">
        <v>74</v>
      </c>
      <c r="I181" s="1" t="s">
        <v>2005</v>
      </c>
      <c r="J181" s="1" t="s">
        <v>2006</v>
      </c>
      <c r="K181" s="1" t="s">
        <v>74</v>
      </c>
      <c r="L181" s="1" t="s">
        <v>74</v>
      </c>
      <c r="M181" s="1" t="s">
        <v>74</v>
      </c>
      <c r="N181" s="1" t="s">
        <v>74</v>
      </c>
      <c r="O181" s="1" t="s">
        <v>74</v>
      </c>
      <c r="P181" s="1" t="s">
        <v>74</v>
      </c>
      <c r="Q181" s="1" t="s">
        <v>74</v>
      </c>
      <c r="R181" s="1" t="s">
        <v>74</v>
      </c>
      <c r="S181" s="1" t="s">
        <v>74</v>
      </c>
      <c r="T181" s="1" t="s">
        <v>74</v>
      </c>
      <c r="U181" s="1" t="s">
        <v>74</v>
      </c>
      <c r="V181" s="1" t="s">
        <v>2007</v>
      </c>
      <c r="W181" s="1" t="s">
        <v>74</v>
      </c>
      <c r="X181" s="1" t="s">
        <v>74</v>
      </c>
      <c r="Y181" s="1" t="s">
        <v>74</v>
      </c>
      <c r="Z181" s="1" t="s">
        <v>74</v>
      </c>
      <c r="AA181" s="1" t="s">
        <v>2008</v>
      </c>
      <c r="AB181" s="1" t="s">
        <v>2009</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2010</v>
      </c>
      <c r="AP181" s="1" t="s">
        <v>74</v>
      </c>
      <c r="AQ181" s="1" t="s">
        <v>74</v>
      </c>
      <c r="AR181" s="1" t="s">
        <v>74</v>
      </c>
      <c r="AS181" s="1" t="s">
        <v>74</v>
      </c>
      <c r="AT181" s="1" t="s">
        <v>177</v>
      </c>
      <c r="AU181" s="1">
        <v>2014.0</v>
      </c>
      <c r="AV181" s="1">
        <v>13.0</v>
      </c>
      <c r="AW181" s="1">
        <v>4.0</v>
      </c>
      <c r="AX181" s="1" t="s">
        <v>74</v>
      </c>
      <c r="AY181" s="1" t="s">
        <v>74</v>
      </c>
      <c r="AZ181" s="1" t="s">
        <v>74</v>
      </c>
      <c r="BA181" s="1" t="s">
        <v>74</v>
      </c>
      <c r="BB181" s="1">
        <v>324.0</v>
      </c>
      <c r="BC181" s="1">
        <v>335.0</v>
      </c>
      <c r="BD181" s="1" t="s">
        <v>74</v>
      </c>
      <c r="BE181" s="1" t="s">
        <v>74</v>
      </c>
      <c r="BF181" s="1" t="s">
        <v>74</v>
      </c>
      <c r="BG181" s="1" t="s">
        <v>74</v>
      </c>
      <c r="BH181" s="1" t="s">
        <v>74</v>
      </c>
      <c r="BI181" s="1" t="s">
        <v>74</v>
      </c>
      <c r="BJ181" s="1" t="s">
        <v>74</v>
      </c>
      <c r="BK181" s="1" t="s">
        <v>74</v>
      </c>
      <c r="BL181" s="1" t="s">
        <v>74</v>
      </c>
      <c r="BM181" s="1" t="s">
        <v>74</v>
      </c>
      <c r="BN181" s="1" t="s">
        <v>74</v>
      </c>
      <c r="BO181" s="1" t="s">
        <v>74</v>
      </c>
      <c r="BP181" s="1" t="s">
        <v>74</v>
      </c>
      <c r="BQ181" s="1" t="s">
        <v>74</v>
      </c>
      <c r="BR181" s="1" t="s">
        <v>74</v>
      </c>
      <c r="BS181" s="1" t="s">
        <v>2011</v>
      </c>
      <c r="BT181" s="1" t="str">
        <f>HYPERLINK("https%3A%2F%2Fwww.webofscience.com%2Fwos%2Fwoscc%2Ffull-record%2FWOS:000343600200003","View Full Record in Web of Science")</f>
        <v>View Full Record in Web of Science</v>
      </c>
    </row>
    <row r="182" ht="12.75" customHeight="1">
      <c r="A182" s="1" t="s">
        <v>72</v>
      </c>
      <c r="B182" s="1" t="s">
        <v>2012</v>
      </c>
      <c r="C182" s="1" t="s">
        <v>74</v>
      </c>
      <c r="D182" s="1" t="s">
        <v>74</v>
      </c>
      <c r="E182" s="1" t="s">
        <v>74</v>
      </c>
      <c r="F182" s="1" t="s">
        <v>2013</v>
      </c>
      <c r="G182" s="1" t="s">
        <v>74</v>
      </c>
      <c r="H182" s="1" t="s">
        <v>74</v>
      </c>
      <c r="I182" s="1" t="s">
        <v>2014</v>
      </c>
      <c r="J182" s="1" t="s">
        <v>2015</v>
      </c>
      <c r="K182" s="1" t="s">
        <v>74</v>
      </c>
      <c r="L182" s="1" t="s">
        <v>74</v>
      </c>
      <c r="M182" s="1" t="s">
        <v>74</v>
      </c>
      <c r="N182" s="1" t="s">
        <v>74</v>
      </c>
      <c r="O182" s="1" t="s">
        <v>74</v>
      </c>
      <c r="P182" s="1" t="s">
        <v>74</v>
      </c>
      <c r="Q182" s="1" t="s">
        <v>74</v>
      </c>
      <c r="R182" s="1" t="s">
        <v>74</v>
      </c>
      <c r="S182" s="1" t="s">
        <v>74</v>
      </c>
      <c r="T182" s="1" t="s">
        <v>74</v>
      </c>
      <c r="U182" s="1" t="s">
        <v>74</v>
      </c>
      <c r="V182" s="1" t="s">
        <v>2016</v>
      </c>
      <c r="W182" s="1" t="s">
        <v>74</v>
      </c>
      <c r="X182" s="1" t="s">
        <v>74</v>
      </c>
      <c r="Y182" s="1" t="s">
        <v>74</v>
      </c>
      <c r="Z182" s="1" t="s">
        <v>74</v>
      </c>
      <c r="AA182" s="1" t="s">
        <v>2017</v>
      </c>
      <c r="AB182" s="1" t="s">
        <v>2018</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2019</v>
      </c>
      <c r="AP182" s="1" t="s">
        <v>2020</v>
      </c>
      <c r="AQ182" s="1" t="s">
        <v>74</v>
      </c>
      <c r="AR182" s="1" t="s">
        <v>74</v>
      </c>
      <c r="AS182" s="1" t="s">
        <v>74</v>
      </c>
      <c r="AT182" s="1" t="s">
        <v>271</v>
      </c>
      <c r="AU182" s="1">
        <v>2013.0</v>
      </c>
      <c r="AV182" s="1">
        <v>5.0</v>
      </c>
      <c r="AW182" s="1">
        <v>3.0</v>
      </c>
      <c r="AX182" s="1" t="s">
        <v>74</v>
      </c>
      <c r="AY182" s="1" t="s">
        <v>74</v>
      </c>
      <c r="AZ182" s="1" t="s">
        <v>74</v>
      </c>
      <c r="BA182" s="1" t="s">
        <v>74</v>
      </c>
      <c r="BB182" s="1">
        <v>345.0</v>
      </c>
      <c r="BC182" s="1">
        <v>364.0</v>
      </c>
      <c r="BD182" s="1" t="s">
        <v>74</v>
      </c>
      <c r="BE182" s="1" t="s">
        <v>2021</v>
      </c>
      <c r="BF182" s="2" t="str">
        <f>HYPERLINK("http://dx.doi.org/10.3934/jgm.2013.5.345","http://dx.doi.org/10.3934/jgm.2013.5.345")</f>
        <v>http://dx.doi.org/10.3934/jgm.2013.5.345</v>
      </c>
      <c r="BG182" s="1" t="s">
        <v>74</v>
      </c>
      <c r="BH182" s="1" t="s">
        <v>74</v>
      </c>
      <c r="BI182" s="1" t="s">
        <v>74</v>
      </c>
      <c r="BJ182" s="1" t="s">
        <v>74</v>
      </c>
      <c r="BK182" s="1" t="s">
        <v>74</v>
      </c>
      <c r="BL182" s="1" t="s">
        <v>74</v>
      </c>
      <c r="BM182" s="1" t="s">
        <v>74</v>
      </c>
      <c r="BN182" s="1" t="s">
        <v>74</v>
      </c>
      <c r="BO182" s="1" t="s">
        <v>74</v>
      </c>
      <c r="BP182" s="1" t="s">
        <v>74</v>
      </c>
      <c r="BQ182" s="1" t="s">
        <v>74</v>
      </c>
      <c r="BR182" s="1" t="s">
        <v>74</v>
      </c>
      <c r="BS182" s="1" t="s">
        <v>2022</v>
      </c>
      <c r="BT182" s="1" t="str">
        <f>HYPERLINK("https%3A%2F%2Fwww.webofscience.com%2Fwos%2Fwoscc%2Ffull-record%2FWOS:000325011400005","View Full Record in Web of Science")</f>
        <v>View Full Record in Web of Science</v>
      </c>
    </row>
    <row r="183" ht="12.75" customHeight="1">
      <c r="A183" s="1" t="s">
        <v>72</v>
      </c>
      <c r="B183" s="1" t="s">
        <v>2023</v>
      </c>
      <c r="C183" s="1" t="s">
        <v>74</v>
      </c>
      <c r="D183" s="1" t="s">
        <v>74</v>
      </c>
      <c r="E183" s="1" t="s">
        <v>74</v>
      </c>
      <c r="F183" s="1" t="s">
        <v>2024</v>
      </c>
      <c r="G183" s="1" t="s">
        <v>74</v>
      </c>
      <c r="H183" s="1" t="s">
        <v>74</v>
      </c>
      <c r="I183" s="1" t="s">
        <v>2025</v>
      </c>
      <c r="J183" s="1" t="s">
        <v>2026</v>
      </c>
      <c r="K183" s="1" t="s">
        <v>74</v>
      </c>
      <c r="L183" s="1" t="s">
        <v>74</v>
      </c>
      <c r="M183" s="1" t="s">
        <v>74</v>
      </c>
      <c r="N183" s="1" t="s">
        <v>74</v>
      </c>
      <c r="O183" s="1" t="s">
        <v>74</v>
      </c>
      <c r="P183" s="1" t="s">
        <v>74</v>
      </c>
      <c r="Q183" s="1" t="s">
        <v>74</v>
      </c>
      <c r="R183" s="1" t="s">
        <v>74</v>
      </c>
      <c r="S183" s="1" t="s">
        <v>74</v>
      </c>
      <c r="T183" s="1" t="s">
        <v>74</v>
      </c>
      <c r="U183" s="1" t="s">
        <v>74</v>
      </c>
      <c r="V183" s="1" t="s">
        <v>2027</v>
      </c>
      <c r="W183" s="1" t="s">
        <v>74</v>
      </c>
      <c r="X183" s="1" t="s">
        <v>74</v>
      </c>
      <c r="Y183" s="1" t="s">
        <v>74</v>
      </c>
      <c r="Z183" s="1" t="s">
        <v>74</v>
      </c>
      <c r="AA183" s="1" t="s">
        <v>74</v>
      </c>
      <c r="AB183" s="1" t="s">
        <v>2028</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2029</v>
      </c>
      <c r="AP183" s="1" t="s">
        <v>74</v>
      </c>
      <c r="AQ183" s="1" t="s">
        <v>74</v>
      </c>
      <c r="AR183" s="1" t="s">
        <v>74</v>
      </c>
      <c r="AS183" s="1" t="s">
        <v>74</v>
      </c>
      <c r="AT183" s="1" t="s">
        <v>74</v>
      </c>
      <c r="AU183" s="1">
        <v>2013.0</v>
      </c>
      <c r="AV183" s="1">
        <v>42.0</v>
      </c>
      <c r="AW183" s="1">
        <v>24.0</v>
      </c>
      <c r="AX183" s="1" t="s">
        <v>74</v>
      </c>
      <c r="AY183" s="1" t="s">
        <v>74</v>
      </c>
      <c r="AZ183" s="1" t="s">
        <v>74</v>
      </c>
      <c r="BA183" s="1" t="s">
        <v>74</v>
      </c>
      <c r="BB183" s="1">
        <v>8637.0</v>
      </c>
      <c r="BC183" s="1">
        <v>8643.0</v>
      </c>
      <c r="BD183" s="1" t="s">
        <v>74</v>
      </c>
      <c r="BE183" s="1" t="s">
        <v>2030</v>
      </c>
      <c r="BF183" s="2" t="str">
        <f>HYPERLINK("http://dx.doi.org/10.1039/c3dt50258a","http://dx.doi.org/10.1039/c3dt50258a")</f>
        <v>http://dx.doi.org/10.1039/c3dt50258a</v>
      </c>
      <c r="BG183" s="1" t="s">
        <v>74</v>
      </c>
      <c r="BH183" s="1" t="s">
        <v>74</v>
      </c>
      <c r="BI183" s="1" t="s">
        <v>74</v>
      </c>
      <c r="BJ183" s="1" t="s">
        <v>74</v>
      </c>
      <c r="BK183" s="1" t="s">
        <v>74</v>
      </c>
      <c r="BL183" s="1" t="s">
        <v>74</v>
      </c>
      <c r="BM183" s="1" t="s">
        <v>74</v>
      </c>
      <c r="BN183" s="1">
        <v>2.3632386E7</v>
      </c>
      <c r="BO183" s="1" t="s">
        <v>74</v>
      </c>
      <c r="BP183" s="1" t="s">
        <v>74</v>
      </c>
      <c r="BQ183" s="1" t="s">
        <v>74</v>
      </c>
      <c r="BR183" s="1" t="s">
        <v>74</v>
      </c>
      <c r="BS183" s="1" t="s">
        <v>2031</v>
      </c>
      <c r="BT183" s="1" t="str">
        <f>HYPERLINK("https%3A%2F%2Fwww.webofscience.com%2Fwos%2Fwoscc%2Ffull-record%2FWOS:000319555400015","View Full Record in Web of Science")</f>
        <v>View Full Record in Web of Science</v>
      </c>
    </row>
    <row r="184" ht="12.75" customHeight="1">
      <c r="A184" s="1" t="s">
        <v>72</v>
      </c>
      <c r="B184" s="1" t="s">
        <v>2032</v>
      </c>
      <c r="C184" s="1" t="s">
        <v>74</v>
      </c>
      <c r="D184" s="1" t="s">
        <v>74</v>
      </c>
      <c r="E184" s="1" t="s">
        <v>74</v>
      </c>
      <c r="F184" s="1" t="s">
        <v>2033</v>
      </c>
      <c r="G184" s="1" t="s">
        <v>74</v>
      </c>
      <c r="H184" s="1" t="s">
        <v>74</v>
      </c>
      <c r="I184" s="1" t="s">
        <v>2034</v>
      </c>
      <c r="J184" s="1" t="s">
        <v>2035</v>
      </c>
      <c r="K184" s="1" t="s">
        <v>74</v>
      </c>
      <c r="L184" s="1" t="s">
        <v>74</v>
      </c>
      <c r="M184" s="1" t="s">
        <v>74</v>
      </c>
      <c r="N184" s="1" t="s">
        <v>74</v>
      </c>
      <c r="O184" s="1" t="s">
        <v>74</v>
      </c>
      <c r="P184" s="1" t="s">
        <v>74</v>
      </c>
      <c r="Q184" s="1" t="s">
        <v>74</v>
      </c>
      <c r="R184" s="1" t="s">
        <v>74</v>
      </c>
      <c r="S184" s="1" t="s">
        <v>74</v>
      </c>
      <c r="T184" s="1" t="s">
        <v>74</v>
      </c>
      <c r="U184" s="1" t="s">
        <v>74</v>
      </c>
      <c r="V184" s="1" t="s">
        <v>2036</v>
      </c>
      <c r="W184" s="1" t="s">
        <v>74</v>
      </c>
      <c r="X184" s="1" t="s">
        <v>74</v>
      </c>
      <c r="Y184" s="1" t="s">
        <v>74</v>
      </c>
      <c r="Z184" s="1" t="s">
        <v>74</v>
      </c>
      <c r="AA184" s="1" t="s">
        <v>2037</v>
      </c>
      <c r="AB184" s="1" t="s">
        <v>2038</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2039</v>
      </c>
      <c r="AP184" s="1" t="s">
        <v>2040</v>
      </c>
      <c r="AQ184" s="1" t="s">
        <v>74</v>
      </c>
      <c r="AR184" s="1" t="s">
        <v>74</v>
      </c>
      <c r="AS184" s="1" t="s">
        <v>74</v>
      </c>
      <c r="AT184" s="1" t="s">
        <v>74</v>
      </c>
      <c r="AU184" s="1">
        <v>2012.0</v>
      </c>
      <c r="AV184" s="1" t="s">
        <v>74</v>
      </c>
      <c r="AW184" s="1">
        <v>51.0</v>
      </c>
      <c r="AX184" s="1" t="s">
        <v>74</v>
      </c>
      <c r="AY184" s="1" t="s">
        <v>74</v>
      </c>
      <c r="AZ184" s="1" t="s">
        <v>74</v>
      </c>
      <c r="BA184" s="1" t="s">
        <v>74</v>
      </c>
      <c r="BB184" s="1">
        <v>27.0</v>
      </c>
      <c r="BC184" s="1">
        <v>47.0</v>
      </c>
      <c r="BD184" s="1" t="s">
        <v>74</v>
      </c>
      <c r="BE184" s="1" t="s">
        <v>74</v>
      </c>
      <c r="BF184" s="1" t="s">
        <v>74</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2041</v>
      </c>
      <c r="BT184" s="1" t="str">
        <f>HYPERLINK("https%3A%2F%2Fwww.webofscience.com%2Fwos%2Fwoscc%2Ffull-record%2FWOS:000312977600005","View Full Record in Web of Science")</f>
        <v>View Full Record in Web of Science</v>
      </c>
    </row>
    <row r="185" ht="12.75" customHeight="1">
      <c r="A185" s="1" t="s">
        <v>72</v>
      </c>
      <c r="B185" s="1" t="s">
        <v>2042</v>
      </c>
      <c r="C185" s="1" t="s">
        <v>74</v>
      </c>
      <c r="D185" s="1" t="s">
        <v>74</v>
      </c>
      <c r="E185" s="1" t="s">
        <v>74</v>
      </c>
      <c r="F185" s="1" t="s">
        <v>2043</v>
      </c>
      <c r="G185" s="1" t="s">
        <v>74</v>
      </c>
      <c r="H185" s="1" t="s">
        <v>74</v>
      </c>
      <c r="I185" s="1" t="s">
        <v>2044</v>
      </c>
      <c r="J185" s="1" t="s">
        <v>2045</v>
      </c>
      <c r="K185" s="1" t="s">
        <v>74</v>
      </c>
      <c r="L185" s="1" t="s">
        <v>74</v>
      </c>
      <c r="M185" s="1" t="s">
        <v>74</v>
      </c>
      <c r="N185" s="1" t="s">
        <v>74</v>
      </c>
      <c r="O185" s="1" t="s">
        <v>74</v>
      </c>
      <c r="P185" s="1" t="s">
        <v>74</v>
      </c>
      <c r="Q185" s="1" t="s">
        <v>74</v>
      </c>
      <c r="R185" s="1" t="s">
        <v>74</v>
      </c>
      <c r="S185" s="1" t="s">
        <v>74</v>
      </c>
      <c r="T185" s="1" t="s">
        <v>74</v>
      </c>
      <c r="U185" s="1" t="s">
        <v>74</v>
      </c>
      <c r="V185" s="1" t="s">
        <v>2046</v>
      </c>
      <c r="W185" s="1" t="s">
        <v>74</v>
      </c>
      <c r="X185" s="1" t="s">
        <v>74</v>
      </c>
      <c r="Y185" s="1" t="s">
        <v>74</v>
      </c>
      <c r="Z185" s="1" t="s">
        <v>74</v>
      </c>
      <c r="AA185" s="1" t="s">
        <v>74</v>
      </c>
      <c r="AB185" s="1" t="s">
        <v>74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2047</v>
      </c>
      <c r="AP185" s="1" t="s">
        <v>2048</v>
      </c>
      <c r="AQ185" s="1" t="s">
        <v>74</v>
      </c>
      <c r="AR185" s="1" t="s">
        <v>74</v>
      </c>
      <c r="AS185" s="1" t="s">
        <v>74</v>
      </c>
      <c r="AT185" s="1" t="s">
        <v>74</v>
      </c>
      <c r="AU185" s="1">
        <v>2011.0</v>
      </c>
      <c r="AV185" s="1">
        <v>23.0</v>
      </c>
      <c r="AW185" s="1" t="s">
        <v>74</v>
      </c>
      <c r="AX185" s="1" t="s">
        <v>74</v>
      </c>
      <c r="AY185" s="1" t="s">
        <v>74</v>
      </c>
      <c r="AZ185" s="1" t="s">
        <v>569</v>
      </c>
      <c r="BA185" s="1" t="s">
        <v>74</v>
      </c>
      <c r="BB185" s="1">
        <v>125.0</v>
      </c>
      <c r="BC185" s="1">
        <v>130.0</v>
      </c>
      <c r="BD185" s="1" t="s">
        <v>74</v>
      </c>
      <c r="BE185" s="1" t="s">
        <v>74</v>
      </c>
      <c r="BF185" s="1" t="s">
        <v>74</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2049</v>
      </c>
      <c r="BT185" s="1" t="str">
        <f>HYPERLINK("https%3A%2F%2Fwww.webofscience.com%2Fwos%2Fwoscc%2Ffull-record%2FWOS:000208717100032","View Full Record in Web of Science")</f>
        <v>View Full Record in Web of Science</v>
      </c>
    </row>
    <row r="186" ht="12.75" customHeight="1">
      <c r="A186" s="1" t="s">
        <v>72</v>
      </c>
      <c r="B186" s="1" t="s">
        <v>2050</v>
      </c>
      <c r="C186" s="1" t="s">
        <v>74</v>
      </c>
      <c r="D186" s="1" t="s">
        <v>74</v>
      </c>
      <c r="E186" s="1" t="s">
        <v>74</v>
      </c>
      <c r="F186" s="1" t="s">
        <v>2051</v>
      </c>
      <c r="G186" s="1" t="s">
        <v>74</v>
      </c>
      <c r="H186" s="1" t="s">
        <v>74</v>
      </c>
      <c r="I186" s="1" t="s">
        <v>2052</v>
      </c>
      <c r="J186" s="1" t="s">
        <v>2053</v>
      </c>
      <c r="K186" s="1" t="s">
        <v>74</v>
      </c>
      <c r="L186" s="1" t="s">
        <v>74</v>
      </c>
      <c r="M186" s="1" t="s">
        <v>74</v>
      </c>
      <c r="N186" s="1" t="s">
        <v>74</v>
      </c>
      <c r="O186" s="1" t="s">
        <v>74</v>
      </c>
      <c r="P186" s="1" t="s">
        <v>74</v>
      </c>
      <c r="Q186" s="1" t="s">
        <v>74</v>
      </c>
      <c r="R186" s="1" t="s">
        <v>74</v>
      </c>
      <c r="S186" s="1" t="s">
        <v>74</v>
      </c>
      <c r="T186" s="1" t="s">
        <v>74</v>
      </c>
      <c r="U186" s="1" t="s">
        <v>74</v>
      </c>
      <c r="V186" s="1" t="s">
        <v>2054</v>
      </c>
      <c r="W186" s="1" t="s">
        <v>74</v>
      </c>
      <c r="X186" s="1" t="s">
        <v>74</v>
      </c>
      <c r="Y186" s="1" t="s">
        <v>74</v>
      </c>
      <c r="Z186" s="1" t="s">
        <v>74</v>
      </c>
      <c r="AA186" s="1" t="s">
        <v>2055</v>
      </c>
      <c r="AB186" s="1" t="s">
        <v>2056</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2057</v>
      </c>
      <c r="AP186" s="1" t="s">
        <v>74</v>
      </c>
      <c r="AQ186" s="1" t="s">
        <v>74</v>
      </c>
      <c r="AR186" s="1" t="s">
        <v>74</v>
      </c>
      <c r="AS186" s="1" t="s">
        <v>74</v>
      </c>
      <c r="AT186" s="1" t="s">
        <v>164</v>
      </c>
      <c r="AU186" s="1">
        <v>2010.0</v>
      </c>
      <c r="AV186" s="1">
        <v>48.0</v>
      </c>
      <c r="AW186" s="1">
        <v>12.0</v>
      </c>
      <c r="AX186" s="1" t="s">
        <v>74</v>
      </c>
      <c r="AY186" s="1" t="s">
        <v>74</v>
      </c>
      <c r="AZ186" s="1" t="s">
        <v>74</v>
      </c>
      <c r="BA186" s="1" t="s">
        <v>74</v>
      </c>
      <c r="BB186" s="1">
        <v>1285.0</v>
      </c>
      <c r="BC186" s="1">
        <v>1290.0</v>
      </c>
      <c r="BD186" s="1" t="s">
        <v>74</v>
      </c>
      <c r="BE186" s="1" t="s">
        <v>2058</v>
      </c>
      <c r="BF186" s="2" t="str">
        <f>HYPERLINK("http://dx.doi.org/10.1016/j.optlaseng.2010.06.001","http://dx.doi.org/10.1016/j.optlaseng.2010.06.001")</f>
        <v>http://dx.doi.org/10.1016/j.optlaseng.2010.06.001</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2059</v>
      </c>
      <c r="BT186" s="1" t="str">
        <f>HYPERLINK("https%3A%2F%2Fwww.webofscience.com%2Fwos%2Fwoscc%2Ffull-record%2FWOS:000282456000020","View Full Record in Web of Science")</f>
        <v>View Full Record in Web of Science</v>
      </c>
    </row>
    <row r="187" ht="12.75" customHeight="1">
      <c r="A187" s="1" t="s">
        <v>72</v>
      </c>
      <c r="B187" s="1" t="s">
        <v>2060</v>
      </c>
      <c r="C187" s="1" t="s">
        <v>74</v>
      </c>
      <c r="D187" s="1" t="s">
        <v>74</v>
      </c>
      <c r="E187" s="1" t="s">
        <v>74</v>
      </c>
      <c r="F187" s="1" t="s">
        <v>2061</v>
      </c>
      <c r="G187" s="1" t="s">
        <v>74</v>
      </c>
      <c r="H187" s="1" t="s">
        <v>74</v>
      </c>
      <c r="I187" s="1" t="s">
        <v>2062</v>
      </c>
      <c r="J187" s="1" t="s">
        <v>2063</v>
      </c>
      <c r="K187" s="1" t="s">
        <v>74</v>
      </c>
      <c r="L187" s="1" t="s">
        <v>74</v>
      </c>
      <c r="M187" s="1" t="s">
        <v>74</v>
      </c>
      <c r="N187" s="1" t="s">
        <v>74</v>
      </c>
      <c r="O187" s="1" t="s">
        <v>74</v>
      </c>
      <c r="P187" s="1" t="s">
        <v>74</v>
      </c>
      <c r="Q187" s="1" t="s">
        <v>74</v>
      </c>
      <c r="R187" s="1" t="s">
        <v>74</v>
      </c>
      <c r="S187" s="1" t="s">
        <v>74</v>
      </c>
      <c r="T187" s="1" t="s">
        <v>74</v>
      </c>
      <c r="U187" s="1" t="s">
        <v>74</v>
      </c>
      <c r="V187" s="1" t="s">
        <v>2064</v>
      </c>
      <c r="W187" s="1" t="s">
        <v>74</v>
      </c>
      <c r="X187" s="1" t="s">
        <v>74</v>
      </c>
      <c r="Y187" s="1" t="s">
        <v>74</v>
      </c>
      <c r="Z187" s="1" t="s">
        <v>74</v>
      </c>
      <c r="AA187" s="1" t="s">
        <v>74</v>
      </c>
      <c r="AB187" s="1" t="s">
        <v>2065</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2066</v>
      </c>
      <c r="AP187" s="1" t="s">
        <v>74</v>
      </c>
      <c r="AQ187" s="1" t="s">
        <v>74</v>
      </c>
      <c r="AR187" s="1" t="s">
        <v>74</v>
      </c>
      <c r="AS187" s="1" t="s">
        <v>74</v>
      </c>
      <c r="AT187" s="1" t="s">
        <v>408</v>
      </c>
      <c r="AU187" s="1">
        <v>2010.0</v>
      </c>
      <c r="AV187" s="1">
        <v>27.0</v>
      </c>
      <c r="AW187" s="1">
        <v>3.0</v>
      </c>
      <c r="AX187" s="1" t="s">
        <v>74</v>
      </c>
      <c r="AY187" s="1" t="s">
        <v>74</v>
      </c>
      <c r="AZ187" s="1" t="s">
        <v>74</v>
      </c>
      <c r="BA187" s="1" t="s">
        <v>74</v>
      </c>
      <c r="BB187" s="1">
        <v>203.0</v>
      </c>
      <c r="BC187" s="1">
        <v>210.0</v>
      </c>
      <c r="BD187" s="1" t="s">
        <v>74</v>
      </c>
      <c r="BE187" s="1" t="s">
        <v>2067</v>
      </c>
      <c r="BF187" s="2" t="str">
        <f>HYPERLINK("http://dx.doi.org/10.1590/S1020-49892010000300007","http://dx.doi.org/10.1590/S1020-49892010000300007")</f>
        <v>http://dx.doi.org/10.1590/S1020-49892010000300007</v>
      </c>
      <c r="BG187" s="1" t="s">
        <v>74</v>
      </c>
      <c r="BH187" s="1" t="s">
        <v>74</v>
      </c>
      <c r="BI187" s="1" t="s">
        <v>74</v>
      </c>
      <c r="BJ187" s="1" t="s">
        <v>74</v>
      </c>
      <c r="BK187" s="1" t="s">
        <v>74</v>
      </c>
      <c r="BL187" s="1" t="s">
        <v>74</v>
      </c>
      <c r="BM187" s="1" t="s">
        <v>74</v>
      </c>
      <c r="BN187" s="1">
        <v>2.0414509E7</v>
      </c>
      <c r="BO187" s="1" t="s">
        <v>74</v>
      </c>
      <c r="BP187" s="1" t="s">
        <v>74</v>
      </c>
      <c r="BQ187" s="1" t="s">
        <v>74</v>
      </c>
      <c r="BR187" s="1" t="s">
        <v>74</v>
      </c>
      <c r="BS187" s="1" t="s">
        <v>2068</v>
      </c>
      <c r="BT187" s="1" t="str">
        <f>HYPERLINK("https%3A%2F%2Fwww.webofscience.com%2Fwos%2Fwoscc%2Ffull-record%2FWOS:000276904200006","View Full Record in Web of Science")</f>
        <v>View Full Record in Web of Science</v>
      </c>
    </row>
    <row r="188" ht="12.75" customHeight="1">
      <c r="A188" s="1" t="s">
        <v>72</v>
      </c>
      <c r="B188" s="1" t="s">
        <v>2069</v>
      </c>
      <c r="C188" s="1" t="s">
        <v>74</v>
      </c>
      <c r="D188" s="1" t="s">
        <v>74</v>
      </c>
      <c r="E188" s="1" t="s">
        <v>74</v>
      </c>
      <c r="F188" s="1" t="s">
        <v>2070</v>
      </c>
      <c r="G188" s="1" t="s">
        <v>74</v>
      </c>
      <c r="H188" s="1" t="s">
        <v>74</v>
      </c>
      <c r="I188" s="1" t="s">
        <v>2071</v>
      </c>
      <c r="J188" s="1" t="s">
        <v>2072</v>
      </c>
      <c r="K188" s="1" t="s">
        <v>74</v>
      </c>
      <c r="L188" s="1" t="s">
        <v>74</v>
      </c>
      <c r="M188" s="1" t="s">
        <v>74</v>
      </c>
      <c r="N188" s="1" t="s">
        <v>74</v>
      </c>
      <c r="O188" s="1" t="s">
        <v>74</v>
      </c>
      <c r="P188" s="1" t="s">
        <v>74</v>
      </c>
      <c r="Q188" s="1" t="s">
        <v>74</v>
      </c>
      <c r="R188" s="1" t="s">
        <v>74</v>
      </c>
      <c r="S188" s="1" t="s">
        <v>74</v>
      </c>
      <c r="T188" s="1" t="s">
        <v>74</v>
      </c>
      <c r="U188" s="1" t="s">
        <v>74</v>
      </c>
      <c r="V188" s="1" t="s">
        <v>2073</v>
      </c>
      <c r="W188" s="1" t="s">
        <v>74</v>
      </c>
      <c r="X188" s="1" t="s">
        <v>74</v>
      </c>
      <c r="Y188" s="1" t="s">
        <v>74</v>
      </c>
      <c r="Z188" s="1" t="s">
        <v>74</v>
      </c>
      <c r="AA188" s="1" t="s">
        <v>2074</v>
      </c>
      <c r="AB188" s="1" t="s">
        <v>2075</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2076</v>
      </c>
      <c r="AP188" s="1" t="s">
        <v>2077</v>
      </c>
      <c r="AQ188" s="1" t="s">
        <v>74</v>
      </c>
      <c r="AR188" s="1" t="s">
        <v>74</v>
      </c>
      <c r="AS188" s="1" t="s">
        <v>74</v>
      </c>
      <c r="AT188" s="1" t="s">
        <v>74</v>
      </c>
      <c r="AU188" s="1">
        <v>2010.0</v>
      </c>
      <c r="AV188" s="1">
        <v>63.0</v>
      </c>
      <c r="AW188" s="1">
        <v>1.0</v>
      </c>
      <c r="AX188" s="1" t="s">
        <v>74</v>
      </c>
      <c r="AY188" s="1" t="s">
        <v>74</v>
      </c>
      <c r="AZ188" s="1" t="s">
        <v>74</v>
      </c>
      <c r="BA188" s="1" t="s">
        <v>74</v>
      </c>
      <c r="BB188" s="1">
        <v>68.0</v>
      </c>
      <c r="BC188" s="1">
        <v>74.0</v>
      </c>
      <c r="BD188" s="1" t="s">
        <v>74</v>
      </c>
      <c r="BE188" s="1" t="s">
        <v>2078</v>
      </c>
      <c r="BF188" s="2" t="str">
        <f>HYPERLINK("http://dx.doi.org/10.1071/CH09423","http://dx.doi.org/10.1071/CH09423")</f>
        <v>http://dx.doi.org/10.1071/CH09423</v>
      </c>
      <c r="BG188" s="1" t="s">
        <v>74</v>
      </c>
      <c r="BH188" s="1" t="s">
        <v>74</v>
      </c>
      <c r="BI188" s="1" t="s">
        <v>74</v>
      </c>
      <c r="BJ188" s="1" t="s">
        <v>74</v>
      </c>
      <c r="BK188" s="1" t="s">
        <v>74</v>
      </c>
      <c r="BL188" s="1" t="s">
        <v>74</v>
      </c>
      <c r="BM188" s="1" t="s">
        <v>74</v>
      </c>
      <c r="BN188" s="1" t="s">
        <v>74</v>
      </c>
      <c r="BO188" s="1" t="s">
        <v>74</v>
      </c>
      <c r="BP188" s="1" t="s">
        <v>74</v>
      </c>
      <c r="BQ188" s="1" t="s">
        <v>74</v>
      </c>
      <c r="BR188" s="1" t="s">
        <v>74</v>
      </c>
      <c r="BS188" s="1" t="s">
        <v>2079</v>
      </c>
      <c r="BT188" s="1" t="str">
        <f>HYPERLINK("https%3A%2F%2Fwww.webofscience.com%2Fwos%2Fwoscc%2Ffull-record%2FWOS:000273396200009","View Full Record in Web of Science")</f>
        <v>View Full Record in Web of Science</v>
      </c>
    </row>
    <row r="189" ht="12.75" customHeight="1">
      <c r="A189" s="1" t="s">
        <v>72</v>
      </c>
      <c r="B189" s="1" t="s">
        <v>2080</v>
      </c>
      <c r="C189" s="1" t="s">
        <v>74</v>
      </c>
      <c r="D189" s="1" t="s">
        <v>74</v>
      </c>
      <c r="E189" s="1" t="s">
        <v>74</v>
      </c>
      <c r="F189" s="1" t="s">
        <v>2081</v>
      </c>
      <c r="G189" s="1" t="s">
        <v>74</v>
      </c>
      <c r="H189" s="1" t="s">
        <v>74</v>
      </c>
      <c r="I189" s="1" t="s">
        <v>2082</v>
      </c>
      <c r="J189" s="1" t="s">
        <v>2083</v>
      </c>
      <c r="K189" s="1" t="s">
        <v>74</v>
      </c>
      <c r="L189" s="1" t="s">
        <v>74</v>
      </c>
      <c r="M189" s="1" t="s">
        <v>74</v>
      </c>
      <c r="N189" s="1" t="s">
        <v>74</v>
      </c>
      <c r="O189" s="1" t="s">
        <v>74</v>
      </c>
      <c r="P189" s="1" t="s">
        <v>74</v>
      </c>
      <c r="Q189" s="1" t="s">
        <v>74</v>
      </c>
      <c r="R189" s="1" t="s">
        <v>74</v>
      </c>
      <c r="S189" s="1" t="s">
        <v>74</v>
      </c>
      <c r="T189" s="1" t="s">
        <v>74</v>
      </c>
      <c r="U189" s="1" t="s">
        <v>74</v>
      </c>
      <c r="V189" s="1" t="s">
        <v>2084</v>
      </c>
      <c r="W189" s="1" t="s">
        <v>74</v>
      </c>
      <c r="X189" s="1" t="s">
        <v>74</v>
      </c>
      <c r="Y189" s="1" t="s">
        <v>74</v>
      </c>
      <c r="Z189" s="1" t="s">
        <v>74</v>
      </c>
      <c r="AA189" s="1" t="s">
        <v>2085</v>
      </c>
      <c r="AB189" s="1" t="s">
        <v>2086</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2087</v>
      </c>
      <c r="AP189" s="1" t="s">
        <v>2088</v>
      </c>
      <c r="AQ189" s="1" t="s">
        <v>74</v>
      </c>
      <c r="AR189" s="1" t="s">
        <v>74</v>
      </c>
      <c r="AS189" s="1" t="s">
        <v>74</v>
      </c>
      <c r="AT189" s="1" t="s">
        <v>74</v>
      </c>
      <c r="AU189" s="1">
        <v>2010.0</v>
      </c>
      <c r="AV189" s="1">
        <v>28.0</v>
      </c>
      <c r="AW189" s="1">
        <v>3.0</v>
      </c>
      <c r="AX189" s="1" t="s">
        <v>74</v>
      </c>
      <c r="AY189" s="1" t="s">
        <v>74</v>
      </c>
      <c r="AZ189" s="1" t="s">
        <v>74</v>
      </c>
      <c r="BA189" s="1" t="s">
        <v>74</v>
      </c>
      <c r="BB189" s="1">
        <v>855.0</v>
      </c>
      <c r="BC189" s="1">
        <v>860.0</v>
      </c>
      <c r="BD189" s="1" t="s">
        <v>74</v>
      </c>
      <c r="BE189" s="1" t="s">
        <v>74</v>
      </c>
      <c r="BF189" s="1" t="s">
        <v>74</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2089</v>
      </c>
      <c r="BT189" s="1" t="str">
        <f>HYPERLINK("https%3A%2F%2Fwww.webofscience.com%2Fwos%2Fwoscc%2Ffull-record%2FWOS:000283274500030","View Full Record in Web of Science")</f>
        <v>View Full Record in Web of Science</v>
      </c>
    </row>
    <row r="190" ht="12.75" customHeight="1">
      <c r="A190" s="1" t="s">
        <v>72</v>
      </c>
      <c r="B190" s="1" t="s">
        <v>2090</v>
      </c>
      <c r="C190" s="1" t="s">
        <v>74</v>
      </c>
      <c r="D190" s="1" t="s">
        <v>74</v>
      </c>
      <c r="E190" s="1" t="s">
        <v>74</v>
      </c>
      <c r="F190" s="1" t="s">
        <v>2091</v>
      </c>
      <c r="G190" s="1" t="s">
        <v>74</v>
      </c>
      <c r="H190" s="1" t="s">
        <v>74</v>
      </c>
      <c r="I190" s="1" t="s">
        <v>2092</v>
      </c>
      <c r="J190" s="1" t="s">
        <v>2093</v>
      </c>
      <c r="K190" s="1" t="s">
        <v>74</v>
      </c>
      <c r="L190" s="1" t="s">
        <v>74</v>
      </c>
      <c r="M190" s="1" t="s">
        <v>74</v>
      </c>
      <c r="N190" s="1" t="s">
        <v>74</v>
      </c>
      <c r="O190" s="1" t="s">
        <v>2094</v>
      </c>
      <c r="P190" s="1" t="s">
        <v>2095</v>
      </c>
      <c r="Q190" s="1" t="s">
        <v>2096</v>
      </c>
      <c r="R190" s="1" t="s">
        <v>2097</v>
      </c>
      <c r="S190" s="1" t="s">
        <v>74</v>
      </c>
      <c r="T190" s="1" t="s">
        <v>74</v>
      </c>
      <c r="U190" s="1" t="s">
        <v>74</v>
      </c>
      <c r="V190" s="1" t="s">
        <v>2098</v>
      </c>
      <c r="W190" s="1" t="s">
        <v>74</v>
      </c>
      <c r="X190" s="1" t="s">
        <v>74</v>
      </c>
      <c r="Y190" s="1" t="s">
        <v>74</v>
      </c>
      <c r="Z190" s="1" t="s">
        <v>74</v>
      </c>
      <c r="AA190" s="1" t="s">
        <v>2099</v>
      </c>
      <c r="AB190" s="1" t="s">
        <v>2100</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2101</v>
      </c>
      <c r="AP190" s="1" t="s">
        <v>74</v>
      </c>
      <c r="AQ190" s="1" t="s">
        <v>74</v>
      </c>
      <c r="AR190" s="1" t="s">
        <v>74</v>
      </c>
      <c r="AS190" s="1" t="s">
        <v>74</v>
      </c>
      <c r="AT190" s="1" t="s">
        <v>408</v>
      </c>
      <c r="AU190" s="1">
        <v>2009.0</v>
      </c>
      <c r="AV190" s="1">
        <v>76.0</v>
      </c>
      <c r="AW190" s="1">
        <v>2.0</v>
      </c>
      <c r="AX190" s="1" t="s">
        <v>74</v>
      </c>
      <c r="AY190" s="1" t="s">
        <v>74</v>
      </c>
      <c r="AZ190" s="1" t="s">
        <v>74</v>
      </c>
      <c r="BA190" s="1" t="s">
        <v>74</v>
      </c>
      <c r="BB190" s="1" t="s">
        <v>74</v>
      </c>
      <c r="BC190" s="1" t="s">
        <v>74</v>
      </c>
      <c r="BD190" s="1">
        <v>21202.0</v>
      </c>
      <c r="BE190" s="1" t="s">
        <v>2102</v>
      </c>
      <c r="BF190" s="2" t="str">
        <f>HYPERLINK("http://dx.doi.org/10.1115/1.3057439","http://dx.doi.org/10.1115/1.3057439")</f>
        <v>http://dx.doi.org/10.1115/1.3057439</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2103</v>
      </c>
      <c r="BT190" s="1" t="str">
        <f>HYPERLINK("https%3A%2F%2Fwww.webofscience.com%2Fwos%2Fwoscc%2Ffull-record%2FWOS:000265821600003","View Full Record in Web of Science")</f>
        <v>View Full Record in Web of Science</v>
      </c>
    </row>
    <row r="191" ht="12.75" customHeight="1">
      <c r="A191" s="1" t="s">
        <v>72</v>
      </c>
      <c r="B191" s="1" t="s">
        <v>2104</v>
      </c>
      <c r="C191" s="1" t="s">
        <v>74</v>
      </c>
      <c r="D191" s="1" t="s">
        <v>74</v>
      </c>
      <c r="E191" s="1" t="s">
        <v>74</v>
      </c>
      <c r="F191" s="1" t="s">
        <v>2105</v>
      </c>
      <c r="G191" s="1" t="s">
        <v>74</v>
      </c>
      <c r="H191" s="1" t="s">
        <v>74</v>
      </c>
      <c r="I191" s="1" t="s">
        <v>2106</v>
      </c>
      <c r="J191" s="1" t="s">
        <v>2107</v>
      </c>
      <c r="K191" s="1" t="s">
        <v>74</v>
      </c>
      <c r="L191" s="1" t="s">
        <v>74</v>
      </c>
      <c r="M191" s="1" t="s">
        <v>74</v>
      </c>
      <c r="N191" s="1" t="s">
        <v>74</v>
      </c>
      <c r="O191" s="1" t="s">
        <v>74</v>
      </c>
      <c r="P191" s="1" t="s">
        <v>74</v>
      </c>
      <c r="Q191" s="1" t="s">
        <v>74</v>
      </c>
      <c r="R191" s="1" t="s">
        <v>74</v>
      </c>
      <c r="S191" s="1" t="s">
        <v>74</v>
      </c>
      <c r="T191" s="1" t="s">
        <v>74</v>
      </c>
      <c r="U191" s="1" t="s">
        <v>74</v>
      </c>
      <c r="V191" s="1" t="s">
        <v>2108</v>
      </c>
      <c r="W191" s="1" t="s">
        <v>74</v>
      </c>
      <c r="X191" s="1" t="s">
        <v>74</v>
      </c>
      <c r="Y191" s="1" t="s">
        <v>74</v>
      </c>
      <c r="Z191" s="1" t="s">
        <v>74</v>
      </c>
      <c r="AA191" s="1" t="s">
        <v>2109</v>
      </c>
      <c r="AB191" s="1" t="s">
        <v>2110</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2111</v>
      </c>
      <c r="AP191" s="1" t="s">
        <v>74</v>
      </c>
      <c r="AQ191" s="1" t="s">
        <v>74</v>
      </c>
      <c r="AR191" s="1" t="s">
        <v>74</v>
      </c>
      <c r="AS191" s="1" t="s">
        <v>74</v>
      </c>
      <c r="AT191" s="1" t="s">
        <v>2112</v>
      </c>
      <c r="AU191" s="1">
        <v>2008.0</v>
      </c>
      <c r="AV191" s="1">
        <v>27.0</v>
      </c>
      <c r="AW191" s="1">
        <v>6.0</v>
      </c>
      <c r="AX191" s="1" t="s">
        <v>74</v>
      </c>
      <c r="AY191" s="1" t="s">
        <v>74</v>
      </c>
      <c r="AZ191" s="1" t="s">
        <v>74</v>
      </c>
      <c r="BA191" s="1" t="s">
        <v>74</v>
      </c>
      <c r="BB191" s="1">
        <v>1019.0</v>
      </c>
      <c r="BC191" s="1">
        <v>1021.0</v>
      </c>
      <c r="BD191" s="1" t="s">
        <v>74</v>
      </c>
      <c r="BE191" s="1" t="s">
        <v>2113</v>
      </c>
      <c r="BF191" s="2" t="str">
        <f>HYPERLINK("http://dx.doi.org/10.1021/om700524v","http://dx.doi.org/10.1021/om700524v")</f>
        <v>http://dx.doi.org/10.1021/om700524v</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2114</v>
      </c>
      <c r="BT191" s="1" t="str">
        <f>HYPERLINK("https%3A%2F%2Fwww.webofscience.com%2Fwos%2Fwoscc%2Ffull-record%2FWOS:000254085000001","View Full Record in Web of Science")</f>
        <v>View Full Record in Web of Science</v>
      </c>
    </row>
    <row r="192" ht="12.75" customHeight="1">
      <c r="A192" s="1" t="s">
        <v>72</v>
      </c>
      <c r="B192" s="1" t="s">
        <v>2115</v>
      </c>
      <c r="C192" s="1" t="s">
        <v>74</v>
      </c>
      <c r="D192" s="1" t="s">
        <v>74</v>
      </c>
      <c r="E192" s="1" t="s">
        <v>74</v>
      </c>
      <c r="F192" s="1" t="s">
        <v>2116</v>
      </c>
      <c r="G192" s="1" t="s">
        <v>74</v>
      </c>
      <c r="H192" s="1" t="s">
        <v>74</v>
      </c>
      <c r="I192" s="1" t="s">
        <v>2117</v>
      </c>
      <c r="J192" s="1" t="s">
        <v>2118</v>
      </c>
      <c r="K192" s="1" t="s">
        <v>74</v>
      </c>
      <c r="L192" s="1" t="s">
        <v>74</v>
      </c>
      <c r="M192" s="1" t="s">
        <v>74</v>
      </c>
      <c r="N192" s="1" t="s">
        <v>74</v>
      </c>
      <c r="O192" s="1" t="s">
        <v>74</v>
      </c>
      <c r="P192" s="1" t="s">
        <v>74</v>
      </c>
      <c r="Q192" s="1" t="s">
        <v>74</v>
      </c>
      <c r="R192" s="1" t="s">
        <v>74</v>
      </c>
      <c r="S192" s="1" t="s">
        <v>74</v>
      </c>
      <c r="T192" s="1" t="s">
        <v>74</v>
      </c>
      <c r="U192" s="1" t="s">
        <v>74</v>
      </c>
      <c r="V192" s="1" t="s">
        <v>2119</v>
      </c>
      <c r="W192" s="1" t="s">
        <v>74</v>
      </c>
      <c r="X192" s="1" t="s">
        <v>74</v>
      </c>
      <c r="Y192" s="1" t="s">
        <v>74</v>
      </c>
      <c r="Z192" s="1" t="s">
        <v>74</v>
      </c>
      <c r="AA192" s="1" t="s">
        <v>2120</v>
      </c>
      <c r="AB192" s="1" t="s">
        <v>2121</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2122</v>
      </c>
      <c r="AP192" s="1" t="s">
        <v>2123</v>
      </c>
      <c r="AQ192" s="1" t="s">
        <v>74</v>
      </c>
      <c r="AR192" s="1" t="s">
        <v>74</v>
      </c>
      <c r="AS192" s="1" t="s">
        <v>74</v>
      </c>
      <c r="AT192" s="1" t="s">
        <v>74</v>
      </c>
      <c r="AU192" s="1">
        <v>2008.0</v>
      </c>
      <c r="AV192" s="1">
        <v>7.0</v>
      </c>
      <c r="AW192" s="1">
        <v>6.0</v>
      </c>
      <c r="AX192" s="1" t="s">
        <v>74</v>
      </c>
      <c r="AY192" s="1" t="s">
        <v>74</v>
      </c>
      <c r="AZ192" s="1" t="s">
        <v>74</v>
      </c>
      <c r="BA192" s="1" t="s">
        <v>74</v>
      </c>
      <c r="BB192" s="1">
        <v>718.0</v>
      </c>
      <c r="BC192" s="1">
        <v>724.0</v>
      </c>
      <c r="BD192" s="1" t="s">
        <v>74</v>
      </c>
      <c r="BE192" s="1" t="s">
        <v>2124</v>
      </c>
      <c r="BF192" s="2" t="str">
        <f>HYPERLINK("http://dx.doi.org/10.1039/b719167g","http://dx.doi.org/10.1039/b719167g")</f>
        <v>http://dx.doi.org/10.1039/b719167g</v>
      </c>
      <c r="BG192" s="1" t="s">
        <v>74</v>
      </c>
      <c r="BH192" s="1" t="s">
        <v>74</v>
      </c>
      <c r="BI192" s="1" t="s">
        <v>74</v>
      </c>
      <c r="BJ192" s="1" t="s">
        <v>74</v>
      </c>
      <c r="BK192" s="1" t="s">
        <v>74</v>
      </c>
      <c r="BL192" s="1" t="s">
        <v>74</v>
      </c>
      <c r="BM192" s="1" t="s">
        <v>74</v>
      </c>
      <c r="BN192" s="1">
        <v>1.8528557E7</v>
      </c>
      <c r="BO192" s="1" t="s">
        <v>74</v>
      </c>
      <c r="BP192" s="1" t="s">
        <v>74</v>
      </c>
      <c r="BQ192" s="1" t="s">
        <v>74</v>
      </c>
      <c r="BR192" s="1" t="s">
        <v>74</v>
      </c>
      <c r="BS192" s="1" t="s">
        <v>2125</v>
      </c>
      <c r="BT192" s="1" t="str">
        <f>HYPERLINK("https%3A%2F%2Fwww.webofscience.com%2Fwos%2Fwoscc%2Ffull-record%2FWOS:000256451200010","View Full Record in Web of Science")</f>
        <v>View Full Record in Web of Science</v>
      </c>
    </row>
    <row r="193" ht="12.75" customHeight="1">
      <c r="A193" s="1" t="s">
        <v>72</v>
      </c>
      <c r="B193" s="1" t="s">
        <v>2126</v>
      </c>
      <c r="C193" s="1" t="s">
        <v>74</v>
      </c>
      <c r="D193" s="1" t="s">
        <v>74</v>
      </c>
      <c r="E193" s="1" t="s">
        <v>74</v>
      </c>
      <c r="F193" s="1" t="s">
        <v>2127</v>
      </c>
      <c r="G193" s="1" t="s">
        <v>74</v>
      </c>
      <c r="H193" s="1" t="s">
        <v>74</v>
      </c>
      <c r="I193" s="1" t="s">
        <v>2128</v>
      </c>
      <c r="J193" s="1" t="s">
        <v>2129</v>
      </c>
      <c r="K193" s="1" t="s">
        <v>74</v>
      </c>
      <c r="L193" s="1" t="s">
        <v>74</v>
      </c>
      <c r="M193" s="1" t="s">
        <v>74</v>
      </c>
      <c r="N193" s="1" t="s">
        <v>74</v>
      </c>
      <c r="O193" s="1" t="s">
        <v>74</v>
      </c>
      <c r="P193" s="1" t="s">
        <v>74</v>
      </c>
      <c r="Q193" s="1" t="s">
        <v>74</v>
      </c>
      <c r="R193" s="1" t="s">
        <v>74</v>
      </c>
      <c r="S193" s="1" t="s">
        <v>74</v>
      </c>
      <c r="T193" s="1" t="s">
        <v>74</v>
      </c>
      <c r="U193" s="1" t="s">
        <v>74</v>
      </c>
      <c r="V193" s="1" t="s">
        <v>2130</v>
      </c>
      <c r="W193" s="1" t="s">
        <v>74</v>
      </c>
      <c r="X193" s="1" t="s">
        <v>74</v>
      </c>
      <c r="Y193" s="1" t="s">
        <v>74</v>
      </c>
      <c r="Z193" s="1" t="s">
        <v>74</v>
      </c>
      <c r="AA193" s="1" t="s">
        <v>2131</v>
      </c>
      <c r="AB193" s="1" t="s">
        <v>2132</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2133</v>
      </c>
      <c r="AP193" s="1" t="s">
        <v>74</v>
      </c>
      <c r="AQ193" s="1" t="s">
        <v>74</v>
      </c>
      <c r="AR193" s="1" t="s">
        <v>74</v>
      </c>
      <c r="AS193" s="1" t="s">
        <v>74</v>
      </c>
      <c r="AT193" s="1" t="s">
        <v>282</v>
      </c>
      <c r="AU193" s="1">
        <v>2007.0</v>
      </c>
      <c r="AV193" s="1">
        <v>30.0</v>
      </c>
      <c r="AW193" s="1">
        <v>8.0</v>
      </c>
      <c r="AX193" s="1" t="s">
        <v>74</v>
      </c>
      <c r="AY193" s="1" t="s">
        <v>74</v>
      </c>
      <c r="AZ193" s="1" t="s">
        <v>74</v>
      </c>
      <c r="BA193" s="1" t="s">
        <v>74</v>
      </c>
      <c r="BB193" s="1">
        <v>748.0</v>
      </c>
      <c r="BC193" s="1">
        <v>758.0</v>
      </c>
      <c r="BD193" s="1" t="s">
        <v>74</v>
      </c>
      <c r="BE193" s="1" t="s">
        <v>2134</v>
      </c>
      <c r="BF193" s="2" t="str">
        <f>HYPERLINK("http://dx.doi.org/10.1111/j.1460-2695.2007.01134.x","http://dx.doi.org/10.1111/j.1460-2695.2007.01134.x")</f>
        <v>http://dx.doi.org/10.1111/j.1460-2695.2007.01134.x</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2135</v>
      </c>
      <c r="BT193" s="1" t="str">
        <f>HYPERLINK("https%3A%2F%2Fwww.webofscience.com%2Fwos%2Fwoscc%2Ffull-record%2FWOS:000248685700008","View Full Record in Web of Science")</f>
        <v>View Full Record in Web of Science</v>
      </c>
    </row>
    <row r="194" ht="12.75" customHeight="1">
      <c r="A194" s="1" t="s">
        <v>72</v>
      </c>
      <c r="B194" s="1" t="s">
        <v>2136</v>
      </c>
      <c r="C194" s="1" t="s">
        <v>74</v>
      </c>
      <c r="D194" s="1" t="s">
        <v>74</v>
      </c>
      <c r="E194" s="1" t="s">
        <v>74</v>
      </c>
      <c r="F194" s="1" t="s">
        <v>2137</v>
      </c>
      <c r="G194" s="1" t="s">
        <v>74</v>
      </c>
      <c r="H194" s="1" t="s">
        <v>74</v>
      </c>
      <c r="I194" s="1" t="s">
        <v>2138</v>
      </c>
      <c r="J194" s="1" t="s">
        <v>2139</v>
      </c>
      <c r="K194" s="1" t="s">
        <v>74</v>
      </c>
      <c r="L194" s="1" t="s">
        <v>74</v>
      </c>
      <c r="M194" s="1" t="s">
        <v>74</v>
      </c>
      <c r="N194" s="1" t="s">
        <v>74</v>
      </c>
      <c r="O194" s="1" t="s">
        <v>74</v>
      </c>
      <c r="P194" s="1" t="s">
        <v>74</v>
      </c>
      <c r="Q194" s="1" t="s">
        <v>74</v>
      </c>
      <c r="R194" s="1" t="s">
        <v>74</v>
      </c>
      <c r="S194" s="1" t="s">
        <v>74</v>
      </c>
      <c r="T194" s="1" t="s">
        <v>74</v>
      </c>
      <c r="U194" s="1" t="s">
        <v>74</v>
      </c>
      <c r="V194" s="1" t="s">
        <v>2140</v>
      </c>
      <c r="W194" s="1" t="s">
        <v>74</v>
      </c>
      <c r="X194" s="1" t="s">
        <v>74</v>
      </c>
      <c r="Y194" s="1" t="s">
        <v>74</v>
      </c>
      <c r="Z194" s="1" t="s">
        <v>74</v>
      </c>
      <c r="AA194" s="1" t="s">
        <v>2141</v>
      </c>
      <c r="AB194" s="1" t="s">
        <v>2142</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2143</v>
      </c>
      <c r="AP194" s="1" t="s">
        <v>74</v>
      </c>
      <c r="AQ194" s="1" t="s">
        <v>74</v>
      </c>
      <c r="AR194" s="1" t="s">
        <v>74</v>
      </c>
      <c r="AS194" s="1" t="s">
        <v>74</v>
      </c>
      <c r="AT194" s="1" t="s">
        <v>2144</v>
      </c>
      <c r="AU194" s="1">
        <v>2007.0</v>
      </c>
      <c r="AV194" s="1">
        <v>55.0</v>
      </c>
      <c r="AW194" s="1">
        <v>8.0</v>
      </c>
      <c r="AX194" s="1" t="s">
        <v>74</v>
      </c>
      <c r="AY194" s="1" t="s">
        <v>74</v>
      </c>
      <c r="AZ194" s="1" t="s">
        <v>74</v>
      </c>
      <c r="BA194" s="1" t="s">
        <v>74</v>
      </c>
      <c r="BB194" s="1">
        <v>2956.0</v>
      </c>
      <c r="BC194" s="1">
        <v>2963.0</v>
      </c>
      <c r="BD194" s="1" t="s">
        <v>74</v>
      </c>
      <c r="BE194" s="1" t="s">
        <v>2145</v>
      </c>
      <c r="BF194" s="2" t="str">
        <f>HYPERLINK("http://dx.doi.org/10.1021/jf062186c","http://dx.doi.org/10.1021/jf062186c")</f>
        <v>http://dx.doi.org/10.1021/jf062186c</v>
      </c>
      <c r="BG194" s="1" t="s">
        <v>74</v>
      </c>
      <c r="BH194" s="1" t="s">
        <v>74</v>
      </c>
      <c r="BI194" s="1" t="s">
        <v>74</v>
      </c>
      <c r="BJ194" s="1" t="s">
        <v>74</v>
      </c>
      <c r="BK194" s="1" t="s">
        <v>74</v>
      </c>
      <c r="BL194" s="1" t="s">
        <v>74</v>
      </c>
      <c r="BM194" s="1" t="s">
        <v>74</v>
      </c>
      <c r="BN194" s="1">
        <v>1.7362027E7</v>
      </c>
      <c r="BO194" s="1" t="s">
        <v>74</v>
      </c>
      <c r="BP194" s="1" t="s">
        <v>74</v>
      </c>
      <c r="BQ194" s="1" t="s">
        <v>74</v>
      </c>
      <c r="BR194" s="1" t="s">
        <v>74</v>
      </c>
      <c r="BS194" s="1" t="s">
        <v>2146</v>
      </c>
      <c r="BT194" s="1" t="str">
        <f>HYPERLINK("https%3A%2F%2Fwww.webofscience.com%2Fwos%2Fwoscc%2Ffull-record%2FWOS:000245600300029","View Full Record in Web of Science")</f>
        <v>View Full Record in Web of Science</v>
      </c>
    </row>
    <row r="195" ht="12.75" customHeight="1">
      <c r="A195" s="1" t="s">
        <v>72</v>
      </c>
      <c r="B195" s="1" t="s">
        <v>2147</v>
      </c>
      <c r="C195" s="1" t="s">
        <v>74</v>
      </c>
      <c r="D195" s="1" t="s">
        <v>74</v>
      </c>
      <c r="E195" s="1" t="s">
        <v>74</v>
      </c>
      <c r="F195" s="1" t="s">
        <v>2148</v>
      </c>
      <c r="G195" s="1" t="s">
        <v>74</v>
      </c>
      <c r="H195" s="1" t="s">
        <v>74</v>
      </c>
      <c r="I195" s="1" t="s">
        <v>2149</v>
      </c>
      <c r="J195" s="1" t="s">
        <v>2150</v>
      </c>
      <c r="K195" s="1" t="s">
        <v>74</v>
      </c>
      <c r="L195" s="1" t="s">
        <v>74</v>
      </c>
      <c r="M195" s="1" t="s">
        <v>74</v>
      </c>
      <c r="N195" s="1" t="s">
        <v>74</v>
      </c>
      <c r="O195" s="1" t="s">
        <v>74</v>
      </c>
      <c r="P195" s="1" t="s">
        <v>74</v>
      </c>
      <c r="Q195" s="1" t="s">
        <v>74</v>
      </c>
      <c r="R195" s="1" t="s">
        <v>74</v>
      </c>
      <c r="S195" s="1" t="s">
        <v>74</v>
      </c>
      <c r="T195" s="1" t="s">
        <v>74</v>
      </c>
      <c r="U195" s="1" t="s">
        <v>74</v>
      </c>
      <c r="V195" s="1" t="s">
        <v>74</v>
      </c>
      <c r="W195" s="1" t="s">
        <v>74</v>
      </c>
      <c r="X195" s="1" t="s">
        <v>74</v>
      </c>
      <c r="Y195" s="1" t="s">
        <v>74</v>
      </c>
      <c r="Z195" s="1" t="s">
        <v>74</v>
      </c>
      <c r="AA195" s="1" t="s">
        <v>74</v>
      </c>
      <c r="AB195" s="1" t="s">
        <v>74</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2151</v>
      </c>
      <c r="AP195" s="1" t="s">
        <v>74</v>
      </c>
      <c r="AQ195" s="1" t="s">
        <v>74</v>
      </c>
      <c r="AR195" s="1" t="s">
        <v>74</v>
      </c>
      <c r="AS195" s="1" t="s">
        <v>74</v>
      </c>
      <c r="AT195" s="1" t="s">
        <v>74</v>
      </c>
      <c r="AU195" s="1">
        <v>2007.0</v>
      </c>
      <c r="AV195" s="1">
        <v>199.0</v>
      </c>
      <c r="AW195" s="1">
        <v>2.0</v>
      </c>
      <c r="AX195" s="1" t="s">
        <v>74</v>
      </c>
      <c r="AY195" s="1" t="s">
        <v>74</v>
      </c>
      <c r="AZ195" s="1" t="s">
        <v>74</v>
      </c>
      <c r="BA195" s="1" t="s">
        <v>74</v>
      </c>
      <c r="BB195" s="1">
        <v>199.0</v>
      </c>
      <c r="BC195" s="1">
        <v>262.0</v>
      </c>
      <c r="BD195" s="1" t="s">
        <v>74</v>
      </c>
      <c r="BE195" s="1" t="s">
        <v>2152</v>
      </c>
      <c r="BF195" s="2" t="str">
        <f>HYPERLINK("http://dx.doi.org/10.1007/s11511-007-0020-1","http://dx.doi.org/10.1007/s11511-007-0020-1")</f>
        <v>http://dx.doi.org/10.1007/s11511-007-0020-1</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2153</v>
      </c>
      <c r="BT195" s="1" t="str">
        <f>HYPERLINK("https%3A%2F%2Fwww.webofscience.com%2Fwos%2Fwoscc%2Ffull-record%2FWOS:000252018700002","View Full Record in Web of Science")</f>
        <v>View Full Record in Web of Science</v>
      </c>
    </row>
    <row r="196" ht="12.75" customHeight="1">
      <c r="A196" s="1" t="s">
        <v>72</v>
      </c>
      <c r="B196" s="1" t="s">
        <v>2154</v>
      </c>
      <c r="C196" s="1" t="s">
        <v>74</v>
      </c>
      <c r="D196" s="1" t="s">
        <v>74</v>
      </c>
      <c r="E196" s="1" t="s">
        <v>74</v>
      </c>
      <c r="F196" s="1" t="s">
        <v>2154</v>
      </c>
      <c r="G196" s="1" t="s">
        <v>74</v>
      </c>
      <c r="H196" s="1" t="s">
        <v>74</v>
      </c>
      <c r="I196" s="1" t="s">
        <v>2155</v>
      </c>
      <c r="J196" s="1" t="s">
        <v>2156</v>
      </c>
      <c r="K196" s="1" t="s">
        <v>74</v>
      </c>
      <c r="L196" s="1" t="s">
        <v>74</v>
      </c>
      <c r="M196" s="1" t="s">
        <v>74</v>
      </c>
      <c r="N196" s="1" t="s">
        <v>74</v>
      </c>
      <c r="O196" s="1" t="s">
        <v>74</v>
      </c>
      <c r="P196" s="1" t="s">
        <v>74</v>
      </c>
      <c r="Q196" s="1" t="s">
        <v>74</v>
      </c>
      <c r="R196" s="1" t="s">
        <v>74</v>
      </c>
      <c r="S196" s="1" t="s">
        <v>74</v>
      </c>
      <c r="T196" s="1" t="s">
        <v>74</v>
      </c>
      <c r="U196" s="1" t="s">
        <v>74</v>
      </c>
      <c r="V196" s="1" t="s">
        <v>2157</v>
      </c>
      <c r="W196" s="1" t="s">
        <v>74</v>
      </c>
      <c r="X196" s="1" t="s">
        <v>74</v>
      </c>
      <c r="Y196" s="1" t="s">
        <v>74</v>
      </c>
      <c r="Z196" s="1" t="s">
        <v>74</v>
      </c>
      <c r="AA196" s="1" t="s">
        <v>2158</v>
      </c>
      <c r="AB196" s="1" t="s">
        <v>2159</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2160</v>
      </c>
      <c r="AP196" s="1" t="s">
        <v>2161</v>
      </c>
      <c r="AQ196" s="1" t="s">
        <v>74</v>
      </c>
      <c r="AR196" s="1" t="s">
        <v>74</v>
      </c>
      <c r="AS196" s="1" t="s">
        <v>74</v>
      </c>
      <c r="AT196" s="1" t="s">
        <v>74</v>
      </c>
      <c r="AU196" s="1">
        <v>2002.0</v>
      </c>
      <c r="AV196" s="1">
        <v>12.0</v>
      </c>
      <c r="AW196" s="1">
        <v>2.0</v>
      </c>
      <c r="AX196" s="1" t="s">
        <v>74</v>
      </c>
      <c r="AY196" s="1" t="s">
        <v>74</v>
      </c>
      <c r="AZ196" s="1" t="s">
        <v>74</v>
      </c>
      <c r="BA196" s="1" t="s">
        <v>74</v>
      </c>
      <c r="BB196" s="1">
        <v>225.0</v>
      </c>
      <c r="BC196" s="1">
        <v>232.0</v>
      </c>
      <c r="BD196" s="1" t="s">
        <v>74</v>
      </c>
      <c r="BE196" s="1" t="s">
        <v>2162</v>
      </c>
      <c r="BF196" s="2" t="str">
        <f>HYPERLINK("http://dx.doi.org/10.1039/b106817b","http://dx.doi.org/10.1039/b106817b")</f>
        <v>http://dx.doi.org/10.1039/b106817b</v>
      </c>
      <c r="BG196" s="1" t="s">
        <v>74</v>
      </c>
      <c r="BH196" s="1" t="s">
        <v>74</v>
      </c>
      <c r="BI196" s="1" t="s">
        <v>74</v>
      </c>
      <c r="BJ196" s="1" t="s">
        <v>74</v>
      </c>
      <c r="BK196" s="1" t="s">
        <v>74</v>
      </c>
      <c r="BL196" s="1" t="s">
        <v>74</v>
      </c>
      <c r="BM196" s="1" t="s">
        <v>74</v>
      </c>
      <c r="BN196" s="1" t="s">
        <v>74</v>
      </c>
      <c r="BO196" s="1" t="s">
        <v>74</v>
      </c>
      <c r="BP196" s="1" t="s">
        <v>74</v>
      </c>
      <c r="BQ196" s="1" t="s">
        <v>74</v>
      </c>
      <c r="BR196" s="1" t="s">
        <v>74</v>
      </c>
      <c r="BS196" s="1" t="s">
        <v>2163</v>
      </c>
      <c r="BT196" s="1" t="str">
        <f>HYPERLINK("https%3A%2F%2Fwww.webofscience.com%2Fwos%2Fwoscc%2Ffull-record%2FWOS:000173477300015","View Full Record in Web of Science")</f>
        <v>View Full Record in Web of Science</v>
      </c>
    </row>
    <row r="197" ht="12.75" customHeight="1">
      <c r="A197" s="1" t="s">
        <v>72</v>
      </c>
      <c r="B197" s="1" t="s">
        <v>2164</v>
      </c>
      <c r="C197" s="1" t="s">
        <v>74</v>
      </c>
      <c r="D197" s="1" t="s">
        <v>74</v>
      </c>
      <c r="E197" s="1" t="s">
        <v>74</v>
      </c>
      <c r="F197" s="1" t="s">
        <v>2164</v>
      </c>
      <c r="G197" s="1" t="s">
        <v>74</v>
      </c>
      <c r="H197" s="1" t="s">
        <v>74</v>
      </c>
      <c r="I197" s="1" t="s">
        <v>2165</v>
      </c>
      <c r="J197" s="1" t="s">
        <v>1606</v>
      </c>
      <c r="K197" s="1" t="s">
        <v>74</v>
      </c>
      <c r="L197" s="1" t="s">
        <v>74</v>
      </c>
      <c r="M197" s="1" t="s">
        <v>74</v>
      </c>
      <c r="N197" s="1" t="s">
        <v>74</v>
      </c>
      <c r="O197" s="1" t="s">
        <v>74</v>
      </c>
      <c r="P197" s="1" t="s">
        <v>74</v>
      </c>
      <c r="Q197" s="1" t="s">
        <v>74</v>
      </c>
      <c r="R197" s="1" t="s">
        <v>74</v>
      </c>
      <c r="S197" s="1" t="s">
        <v>74</v>
      </c>
      <c r="T197" s="1" t="s">
        <v>74</v>
      </c>
      <c r="U197" s="1" t="s">
        <v>74</v>
      </c>
      <c r="V197" s="1" t="s">
        <v>2166</v>
      </c>
      <c r="W197" s="1" t="s">
        <v>74</v>
      </c>
      <c r="X197" s="1" t="s">
        <v>74</v>
      </c>
      <c r="Y197" s="1" t="s">
        <v>74</v>
      </c>
      <c r="Z197" s="1" t="s">
        <v>74</v>
      </c>
      <c r="AA197" s="1" t="s">
        <v>2167</v>
      </c>
      <c r="AB197" s="1" t="s">
        <v>2168</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1610</v>
      </c>
      <c r="AP197" s="1" t="s">
        <v>1611</v>
      </c>
      <c r="AQ197" s="1" t="s">
        <v>74</v>
      </c>
      <c r="AR197" s="1" t="s">
        <v>74</v>
      </c>
      <c r="AS197" s="1" t="s">
        <v>74</v>
      </c>
      <c r="AT197" s="1" t="s">
        <v>177</v>
      </c>
      <c r="AU197" s="1">
        <v>2001.0</v>
      </c>
      <c r="AV197" s="1">
        <v>13.0</v>
      </c>
      <c r="AW197" s="1">
        <v>11.0</v>
      </c>
      <c r="AX197" s="1" t="s">
        <v>74</v>
      </c>
      <c r="AY197" s="1" t="s">
        <v>74</v>
      </c>
      <c r="AZ197" s="1" t="s">
        <v>74</v>
      </c>
      <c r="BA197" s="1" t="s">
        <v>74</v>
      </c>
      <c r="BB197" s="1">
        <v>936.0</v>
      </c>
      <c r="BC197" s="1">
        <v>943.0</v>
      </c>
      <c r="BD197" s="1" t="s">
        <v>74</v>
      </c>
      <c r="BE197" s="1" t="s">
        <v>2169</v>
      </c>
      <c r="BF197" s="2" t="str">
        <f>HYPERLINK("http://dx.doi.org/10.1002/1521-4109(200107)13:11&lt;936::AID-ELAN936&gt;3.0.CO;2-9","http://dx.doi.org/10.1002/1521-4109(200107)13:11&lt;936::AID-ELAN936&gt;3.0.CO;2-9")</f>
        <v>http://dx.doi.org/10.1002/1521-4109(200107)13:11&lt;936::AID-ELAN936&gt;3.0.CO;2-9</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2170</v>
      </c>
      <c r="BT197" s="1" t="str">
        <f>HYPERLINK("https%3A%2F%2Fwww.webofscience.com%2Fwos%2Fwoscc%2Ffull-record%2FWOS:000170524600008","View Full Record in Web of Science")</f>
        <v>View Full Record in Web of Science</v>
      </c>
    </row>
    <row r="198" ht="12.75" customHeight="1">
      <c r="A198" s="1" t="s">
        <v>72</v>
      </c>
      <c r="B198" s="1" t="s">
        <v>2171</v>
      </c>
      <c r="C198" s="1" t="s">
        <v>74</v>
      </c>
      <c r="D198" s="1" t="s">
        <v>74</v>
      </c>
      <c r="E198" s="1" t="s">
        <v>74</v>
      </c>
      <c r="F198" s="1" t="s">
        <v>2171</v>
      </c>
      <c r="G198" s="1" t="s">
        <v>74</v>
      </c>
      <c r="H198" s="1" t="s">
        <v>74</v>
      </c>
      <c r="I198" s="1" t="s">
        <v>2172</v>
      </c>
      <c r="J198" s="1" t="s">
        <v>2173</v>
      </c>
      <c r="K198" s="1" t="s">
        <v>74</v>
      </c>
      <c r="L198" s="1" t="s">
        <v>74</v>
      </c>
      <c r="M198" s="1" t="s">
        <v>74</v>
      </c>
      <c r="N198" s="1" t="s">
        <v>74</v>
      </c>
      <c r="O198" s="1" t="s">
        <v>74</v>
      </c>
      <c r="P198" s="1" t="s">
        <v>74</v>
      </c>
      <c r="Q198" s="1" t="s">
        <v>74</v>
      </c>
      <c r="R198" s="1" t="s">
        <v>74</v>
      </c>
      <c r="S198" s="1" t="s">
        <v>74</v>
      </c>
      <c r="T198" s="1" t="s">
        <v>74</v>
      </c>
      <c r="U198" s="1" t="s">
        <v>74</v>
      </c>
      <c r="V198" s="1" t="s">
        <v>2174</v>
      </c>
      <c r="W198" s="1" t="s">
        <v>74</v>
      </c>
      <c r="X198" s="1" t="s">
        <v>74</v>
      </c>
      <c r="Y198" s="1" t="s">
        <v>74</v>
      </c>
      <c r="Z198" s="1" t="s">
        <v>74</v>
      </c>
      <c r="AA198" s="1" t="s">
        <v>2175</v>
      </c>
      <c r="AB198" s="1" t="s">
        <v>2176</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2177</v>
      </c>
      <c r="AP198" s="1" t="s">
        <v>2178</v>
      </c>
      <c r="AQ198" s="1" t="s">
        <v>74</v>
      </c>
      <c r="AR198" s="1" t="s">
        <v>74</v>
      </c>
      <c r="AS198" s="1" t="s">
        <v>74</v>
      </c>
      <c r="AT198" s="1" t="s">
        <v>2179</v>
      </c>
      <c r="AU198" s="1">
        <v>2001.0</v>
      </c>
      <c r="AV198" s="1">
        <v>497.0</v>
      </c>
      <c r="AW198" s="1" t="s">
        <v>409</v>
      </c>
      <c r="AX198" s="1" t="s">
        <v>74</v>
      </c>
      <c r="AY198" s="1" t="s">
        <v>74</v>
      </c>
      <c r="AZ198" s="1" t="s">
        <v>74</v>
      </c>
      <c r="BA198" s="1" t="s">
        <v>74</v>
      </c>
      <c r="BB198" s="1">
        <v>75.0</v>
      </c>
      <c r="BC198" s="1">
        <v>83.0</v>
      </c>
      <c r="BD198" s="1" t="s">
        <v>74</v>
      </c>
      <c r="BE198" s="1" t="s">
        <v>2180</v>
      </c>
      <c r="BF198" s="2" t="str">
        <f>HYPERLINK("http://dx.doi.org/10.1016/S0022-0728(00)00454-X","http://dx.doi.org/10.1016/S0022-0728(00)00454-X")</f>
        <v>http://dx.doi.org/10.1016/S0022-0728(00)00454-X</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2181</v>
      </c>
      <c r="BT198" s="1" t="str">
        <f>HYPERLINK("https%3A%2F%2Fwww.webofscience.com%2Fwos%2Fwoscc%2Ffull-record%2FWOS:000167193100009","View Full Record in Web of Science")</f>
        <v>View Full Record in Web of Science</v>
      </c>
    </row>
    <row r="199" ht="12.75" customHeight="1">
      <c r="A199" s="1" t="s">
        <v>72</v>
      </c>
      <c r="B199" s="1" t="s">
        <v>2182</v>
      </c>
      <c r="C199" s="1" t="s">
        <v>74</v>
      </c>
      <c r="D199" s="1" t="s">
        <v>74</v>
      </c>
      <c r="E199" s="1" t="s">
        <v>74</v>
      </c>
      <c r="F199" s="1" t="s">
        <v>2182</v>
      </c>
      <c r="G199" s="1" t="s">
        <v>74</v>
      </c>
      <c r="H199" s="1" t="s">
        <v>74</v>
      </c>
      <c r="I199" s="1" t="s">
        <v>2183</v>
      </c>
      <c r="J199" s="1" t="s">
        <v>2184</v>
      </c>
      <c r="K199" s="1" t="s">
        <v>74</v>
      </c>
      <c r="L199" s="1" t="s">
        <v>74</v>
      </c>
      <c r="M199" s="1" t="s">
        <v>74</v>
      </c>
      <c r="N199" s="1" t="s">
        <v>74</v>
      </c>
      <c r="O199" s="1" t="s">
        <v>74</v>
      </c>
      <c r="P199" s="1" t="s">
        <v>74</v>
      </c>
      <c r="Q199" s="1" t="s">
        <v>74</v>
      </c>
      <c r="R199" s="1" t="s">
        <v>74</v>
      </c>
      <c r="S199" s="1" t="s">
        <v>74</v>
      </c>
      <c r="T199" s="1" t="s">
        <v>74</v>
      </c>
      <c r="U199" s="1" t="s">
        <v>74</v>
      </c>
      <c r="V199" s="1" t="s">
        <v>2185</v>
      </c>
      <c r="W199" s="1" t="s">
        <v>74</v>
      </c>
      <c r="X199" s="1" t="s">
        <v>74</v>
      </c>
      <c r="Y199" s="1" t="s">
        <v>74</v>
      </c>
      <c r="Z199" s="1" t="s">
        <v>74</v>
      </c>
      <c r="AA199" s="1" t="s">
        <v>2186</v>
      </c>
      <c r="AB199" s="1" t="s">
        <v>2187</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2188</v>
      </c>
      <c r="AP199" s="1" t="s">
        <v>74</v>
      </c>
      <c r="AQ199" s="1" t="s">
        <v>74</v>
      </c>
      <c r="AR199" s="1" t="s">
        <v>74</v>
      </c>
      <c r="AS199" s="1" t="s">
        <v>74</v>
      </c>
      <c r="AT199" s="1" t="s">
        <v>2189</v>
      </c>
      <c r="AU199" s="1">
        <v>1999.0</v>
      </c>
      <c r="AV199" s="1">
        <v>401.0</v>
      </c>
      <c r="AW199" s="1">
        <v>6748.0</v>
      </c>
      <c r="AX199" s="1" t="s">
        <v>74</v>
      </c>
      <c r="AY199" s="1" t="s">
        <v>74</v>
      </c>
      <c r="AZ199" s="1" t="s">
        <v>74</v>
      </c>
      <c r="BA199" s="1" t="s">
        <v>74</v>
      </c>
      <c r="BB199" s="1">
        <v>46.0</v>
      </c>
      <c r="BC199" s="1">
        <v>49.0</v>
      </c>
      <c r="BD199" s="1" t="s">
        <v>74</v>
      </c>
      <c r="BE199" s="1" t="s">
        <v>2190</v>
      </c>
      <c r="BF199" s="2" t="str">
        <f>HYPERLINK("http://dx.doi.org/10.1038/43395","http://dx.doi.org/10.1038/43395")</f>
        <v>http://dx.doi.org/10.1038/43395</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2191</v>
      </c>
      <c r="BT199" s="1" t="str">
        <f>HYPERLINK("https%3A%2F%2Fwww.webofscience.com%2Fwos%2Fwoscc%2Ffull-record%2FWOS:000082374400035","View Full Record in Web of Science")</f>
        <v>View Full Record in Web of Science</v>
      </c>
    </row>
    <row r="200" ht="12.75" customHeight="1">
      <c r="A200" s="1" t="s">
        <v>72</v>
      </c>
      <c r="B200" s="1" t="s">
        <v>2192</v>
      </c>
      <c r="C200" s="1" t="s">
        <v>74</v>
      </c>
      <c r="D200" s="1" t="s">
        <v>74</v>
      </c>
      <c r="E200" s="1" t="s">
        <v>74</v>
      </c>
      <c r="F200" s="1" t="s">
        <v>2192</v>
      </c>
      <c r="G200" s="1" t="s">
        <v>74</v>
      </c>
      <c r="H200" s="1" t="s">
        <v>74</v>
      </c>
      <c r="I200" s="1" t="s">
        <v>2193</v>
      </c>
      <c r="J200" s="1" t="s">
        <v>2194</v>
      </c>
      <c r="K200" s="1" t="s">
        <v>74</v>
      </c>
      <c r="L200" s="1" t="s">
        <v>74</v>
      </c>
      <c r="M200" s="1" t="s">
        <v>74</v>
      </c>
      <c r="N200" s="1" t="s">
        <v>74</v>
      </c>
      <c r="O200" s="1" t="s">
        <v>74</v>
      </c>
      <c r="P200" s="1" t="s">
        <v>74</v>
      </c>
      <c r="Q200" s="1" t="s">
        <v>74</v>
      </c>
      <c r="R200" s="1" t="s">
        <v>74</v>
      </c>
      <c r="S200" s="1" t="s">
        <v>74</v>
      </c>
      <c r="T200" s="1" t="s">
        <v>74</v>
      </c>
      <c r="U200" s="1" t="s">
        <v>74</v>
      </c>
      <c r="V200" s="1" t="s">
        <v>2195</v>
      </c>
      <c r="W200" s="1" t="s">
        <v>74</v>
      </c>
      <c r="X200" s="1" t="s">
        <v>74</v>
      </c>
      <c r="Y200" s="1" t="s">
        <v>74</v>
      </c>
      <c r="Z200" s="1" t="s">
        <v>74</v>
      </c>
      <c r="AA200" s="1" t="s">
        <v>2196</v>
      </c>
      <c r="AB200" s="1" t="s">
        <v>2197</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2198</v>
      </c>
      <c r="AP200" s="1" t="s">
        <v>74</v>
      </c>
      <c r="AQ200" s="1" t="s">
        <v>74</v>
      </c>
      <c r="AR200" s="1" t="s">
        <v>74</v>
      </c>
      <c r="AS200" s="1" t="s">
        <v>74</v>
      </c>
      <c r="AT200" s="1" t="s">
        <v>408</v>
      </c>
      <c r="AU200" s="1">
        <v>1996.0</v>
      </c>
      <c r="AV200" s="1">
        <v>12.0</v>
      </c>
      <c r="AW200" s="1">
        <v>1.0</v>
      </c>
      <c r="AX200" s="1" t="s">
        <v>74</v>
      </c>
      <c r="AY200" s="1" t="s">
        <v>74</v>
      </c>
      <c r="AZ200" s="1" t="s">
        <v>74</v>
      </c>
      <c r="BA200" s="1" t="s">
        <v>74</v>
      </c>
      <c r="BB200" s="1">
        <v>31.0</v>
      </c>
      <c r="BC200" s="1">
        <v>45.0</v>
      </c>
      <c r="BD200" s="1" t="s">
        <v>74</v>
      </c>
      <c r="BE200" s="1" t="s">
        <v>2199</v>
      </c>
      <c r="BF200" s="2" t="str">
        <f>HYPERLINK("http://dx.doi.org/10.1007/BF01798115","http://dx.doi.org/10.1007/BF01798115")</f>
        <v>http://dx.doi.org/10.1007/BF01798115</v>
      </c>
      <c r="BG200" s="1" t="s">
        <v>74</v>
      </c>
      <c r="BH200" s="1" t="s">
        <v>74</v>
      </c>
      <c r="BI200" s="1" t="s">
        <v>74</v>
      </c>
      <c r="BJ200" s="1" t="s">
        <v>74</v>
      </c>
      <c r="BK200" s="1" t="s">
        <v>74</v>
      </c>
      <c r="BL200" s="1" t="s">
        <v>74</v>
      </c>
      <c r="BM200" s="1" t="s">
        <v>74</v>
      </c>
      <c r="BN200" s="1">
        <v>8847453.0</v>
      </c>
      <c r="BO200" s="1" t="s">
        <v>74</v>
      </c>
      <c r="BP200" s="1" t="s">
        <v>74</v>
      </c>
      <c r="BQ200" s="1" t="s">
        <v>74</v>
      </c>
      <c r="BR200" s="1" t="s">
        <v>74</v>
      </c>
      <c r="BS200" s="1" t="s">
        <v>2200</v>
      </c>
      <c r="BT200" s="1" t="str">
        <f>HYPERLINK("https%3A%2F%2Fwww.webofscience.com%2Fwos%2Fwoscc%2Ffull-record%2FWOS:A1996UE14100005","View Full Record in Web of Science")</f>
        <v>View Full Record in Web of Science</v>
      </c>
    </row>
    <row r="201" ht="12.75" customHeight="1">
      <c r="A201" s="1" t="s">
        <v>72</v>
      </c>
      <c r="B201" s="1" t="s">
        <v>2201</v>
      </c>
      <c r="C201" s="1" t="s">
        <v>74</v>
      </c>
      <c r="D201" s="1" t="s">
        <v>74</v>
      </c>
      <c r="E201" s="1" t="s">
        <v>74</v>
      </c>
      <c r="F201" s="1" t="s">
        <v>2201</v>
      </c>
      <c r="G201" s="1" t="s">
        <v>74</v>
      </c>
      <c r="H201" s="1" t="s">
        <v>74</v>
      </c>
      <c r="I201" s="1" t="s">
        <v>2202</v>
      </c>
      <c r="J201" s="1" t="s">
        <v>2203</v>
      </c>
      <c r="K201" s="1" t="s">
        <v>74</v>
      </c>
      <c r="L201" s="1" t="s">
        <v>74</v>
      </c>
      <c r="M201" s="1" t="s">
        <v>74</v>
      </c>
      <c r="N201" s="1" t="s">
        <v>74</v>
      </c>
      <c r="O201" s="1" t="s">
        <v>74</v>
      </c>
      <c r="P201" s="1" t="s">
        <v>74</v>
      </c>
      <c r="Q201" s="1" t="s">
        <v>74</v>
      </c>
      <c r="R201" s="1" t="s">
        <v>74</v>
      </c>
      <c r="S201" s="1" t="s">
        <v>74</v>
      </c>
      <c r="T201" s="1" t="s">
        <v>74</v>
      </c>
      <c r="U201" s="1" t="s">
        <v>74</v>
      </c>
      <c r="V201" s="1" t="s">
        <v>2204</v>
      </c>
      <c r="W201" s="1" t="s">
        <v>74</v>
      </c>
      <c r="X201" s="1" t="s">
        <v>74</v>
      </c>
      <c r="Y201" s="1" t="s">
        <v>74</v>
      </c>
      <c r="Z201" s="1" t="s">
        <v>74</v>
      </c>
      <c r="AA201" s="1" t="s">
        <v>2205</v>
      </c>
      <c r="AB201" s="1" t="s">
        <v>2206</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2207</v>
      </c>
      <c r="AP201" s="1" t="s">
        <v>74</v>
      </c>
      <c r="AQ201" s="1" t="s">
        <v>74</v>
      </c>
      <c r="AR201" s="1" t="s">
        <v>74</v>
      </c>
      <c r="AS201" s="1" t="s">
        <v>74</v>
      </c>
      <c r="AT201" s="1" t="s">
        <v>2208</v>
      </c>
      <c r="AU201" s="1">
        <v>1996.0</v>
      </c>
      <c r="AV201" s="1">
        <v>18.0</v>
      </c>
      <c r="AW201" s="1">
        <v>1.0</v>
      </c>
      <c r="AX201" s="1" t="s">
        <v>74</v>
      </c>
      <c r="AY201" s="1" t="s">
        <v>74</v>
      </c>
      <c r="AZ201" s="1" t="s">
        <v>74</v>
      </c>
      <c r="BA201" s="1" t="s">
        <v>74</v>
      </c>
      <c r="BB201" s="1">
        <v>49.0</v>
      </c>
      <c r="BC201" s="1">
        <v>53.0</v>
      </c>
      <c r="BD201" s="1" t="s">
        <v>74</v>
      </c>
      <c r="BE201" s="1" t="s">
        <v>74</v>
      </c>
      <c r="BF201" s="1" t="s">
        <v>74</v>
      </c>
      <c r="BG201" s="1" t="s">
        <v>74</v>
      </c>
      <c r="BH201" s="1" t="s">
        <v>74</v>
      </c>
      <c r="BI201" s="1" t="s">
        <v>74</v>
      </c>
      <c r="BJ201" s="1" t="s">
        <v>74</v>
      </c>
      <c r="BK201" s="1" t="s">
        <v>74</v>
      </c>
      <c r="BL201" s="1" t="s">
        <v>74</v>
      </c>
      <c r="BM201" s="1" t="s">
        <v>74</v>
      </c>
      <c r="BN201" s="1">
        <v>8721256.0</v>
      </c>
      <c r="BO201" s="1" t="s">
        <v>74</v>
      </c>
      <c r="BP201" s="1" t="s">
        <v>74</v>
      </c>
      <c r="BQ201" s="1" t="s">
        <v>74</v>
      </c>
      <c r="BR201" s="1" t="s">
        <v>74</v>
      </c>
      <c r="BS201" s="1" t="s">
        <v>2209</v>
      </c>
      <c r="BT201" s="1" t="str">
        <f>HYPERLINK("https%3A%2F%2Fwww.webofscience.com%2Fwos%2Fwoscc%2Ffull-record%2FWOS:A1996UA18700007","View Full Record in Web of Science")</f>
        <v>View Full Record in Web of Science</v>
      </c>
    </row>
    <row r="202" ht="12.75" customHeight="1">
      <c r="A202" s="1" t="s">
        <v>72</v>
      </c>
      <c r="B202" s="1" t="s">
        <v>2210</v>
      </c>
      <c r="C202" s="1" t="s">
        <v>74</v>
      </c>
      <c r="D202" s="1" t="s">
        <v>74</v>
      </c>
      <c r="E202" s="1" t="s">
        <v>74</v>
      </c>
      <c r="F202" s="1" t="s">
        <v>2210</v>
      </c>
      <c r="G202" s="1" t="s">
        <v>74</v>
      </c>
      <c r="H202" s="1" t="s">
        <v>74</v>
      </c>
      <c r="I202" s="1" t="s">
        <v>2211</v>
      </c>
      <c r="J202" s="1" t="s">
        <v>2212</v>
      </c>
      <c r="K202" s="1" t="s">
        <v>74</v>
      </c>
      <c r="L202" s="1" t="s">
        <v>74</v>
      </c>
      <c r="M202" s="1" t="s">
        <v>74</v>
      </c>
      <c r="N202" s="1" t="s">
        <v>74</v>
      </c>
      <c r="O202" s="1" t="s">
        <v>74</v>
      </c>
      <c r="P202" s="1" t="s">
        <v>74</v>
      </c>
      <c r="Q202" s="1" t="s">
        <v>74</v>
      </c>
      <c r="R202" s="1" t="s">
        <v>74</v>
      </c>
      <c r="S202" s="1" t="s">
        <v>74</v>
      </c>
      <c r="T202" s="1" t="s">
        <v>74</v>
      </c>
      <c r="U202" s="1" t="s">
        <v>74</v>
      </c>
      <c r="V202" s="1" t="s">
        <v>2213</v>
      </c>
      <c r="W202" s="1" t="s">
        <v>74</v>
      </c>
      <c r="X202" s="1" t="s">
        <v>74</v>
      </c>
      <c r="Y202" s="1" t="s">
        <v>74</v>
      </c>
      <c r="Z202" s="1" t="s">
        <v>74</v>
      </c>
      <c r="AA202" s="1" t="s">
        <v>2214</v>
      </c>
      <c r="AB202" s="1" t="s">
        <v>2215</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2216</v>
      </c>
      <c r="AP202" s="1" t="s">
        <v>74</v>
      </c>
      <c r="AQ202" s="1" t="s">
        <v>74</v>
      </c>
      <c r="AR202" s="1" t="s">
        <v>74</v>
      </c>
      <c r="AS202" s="1" t="s">
        <v>74</v>
      </c>
      <c r="AT202" s="1" t="s">
        <v>408</v>
      </c>
      <c r="AU202" s="1">
        <v>1995.0</v>
      </c>
      <c r="AV202" s="1">
        <v>40.0</v>
      </c>
      <c r="AW202" s="1">
        <v>1.0</v>
      </c>
      <c r="AX202" s="1" t="s">
        <v>74</v>
      </c>
      <c r="AY202" s="1" t="s">
        <v>74</v>
      </c>
      <c r="AZ202" s="1" t="s">
        <v>74</v>
      </c>
      <c r="BA202" s="1" t="s">
        <v>74</v>
      </c>
      <c r="BB202" s="1">
        <v>65.0</v>
      </c>
      <c r="BC202" s="1">
        <v>70.0</v>
      </c>
      <c r="BD202" s="1" t="s">
        <v>74</v>
      </c>
      <c r="BE202" s="1" t="s">
        <v>74</v>
      </c>
      <c r="BF202" s="1" t="s">
        <v>74</v>
      </c>
      <c r="BG202" s="1" t="s">
        <v>74</v>
      </c>
      <c r="BH202" s="1" t="s">
        <v>74</v>
      </c>
      <c r="BI202" s="1" t="s">
        <v>74</v>
      </c>
      <c r="BJ202" s="1" t="s">
        <v>74</v>
      </c>
      <c r="BK202" s="1" t="s">
        <v>74</v>
      </c>
      <c r="BL202" s="1" t="s">
        <v>74</v>
      </c>
      <c r="BM202" s="1" t="s">
        <v>74</v>
      </c>
      <c r="BN202" s="1" t="s">
        <v>74</v>
      </c>
      <c r="BO202" s="1" t="s">
        <v>74</v>
      </c>
      <c r="BP202" s="1" t="s">
        <v>74</v>
      </c>
      <c r="BQ202" s="1" t="s">
        <v>74</v>
      </c>
      <c r="BR202" s="1" t="s">
        <v>74</v>
      </c>
      <c r="BS202" s="1" t="s">
        <v>2217</v>
      </c>
      <c r="BT202" s="1" t="str">
        <f>HYPERLINK("https%3A%2F%2Fwww.webofscience.com%2Fwos%2Fwoscc%2Ffull-record%2FWOS:A1995QV98900009","View Full Record in Web of Science")</f>
        <v>View Full Record in Web of Science</v>
      </c>
    </row>
    <row r="203" ht="12.75" customHeight="1">
      <c r="A203" s="1" t="s">
        <v>72</v>
      </c>
      <c r="B203" s="1" t="s">
        <v>2218</v>
      </c>
      <c r="C203" s="1" t="s">
        <v>74</v>
      </c>
      <c r="D203" s="1" t="s">
        <v>74</v>
      </c>
      <c r="E203" s="1" t="s">
        <v>74</v>
      </c>
      <c r="F203" s="1" t="s">
        <v>2218</v>
      </c>
      <c r="G203" s="1" t="s">
        <v>74</v>
      </c>
      <c r="H203" s="1" t="s">
        <v>74</v>
      </c>
      <c r="I203" s="1" t="s">
        <v>2219</v>
      </c>
      <c r="J203" s="1" t="s">
        <v>2220</v>
      </c>
      <c r="K203" s="1" t="s">
        <v>74</v>
      </c>
      <c r="L203" s="1" t="s">
        <v>74</v>
      </c>
      <c r="M203" s="1" t="s">
        <v>74</v>
      </c>
      <c r="N203" s="1" t="s">
        <v>74</v>
      </c>
      <c r="O203" s="1" t="s">
        <v>74</v>
      </c>
      <c r="P203" s="1" t="s">
        <v>74</v>
      </c>
      <c r="Q203" s="1" t="s">
        <v>74</v>
      </c>
      <c r="R203" s="1" t="s">
        <v>74</v>
      </c>
      <c r="S203" s="1" t="s">
        <v>74</v>
      </c>
      <c r="T203" s="1" t="s">
        <v>74</v>
      </c>
      <c r="U203" s="1" t="s">
        <v>74</v>
      </c>
      <c r="V203" s="1" t="s">
        <v>2221</v>
      </c>
      <c r="W203" s="1" t="s">
        <v>74</v>
      </c>
      <c r="X203" s="1" t="s">
        <v>74</v>
      </c>
      <c r="Y203" s="1" t="s">
        <v>74</v>
      </c>
      <c r="Z203" s="1" t="s">
        <v>74</v>
      </c>
      <c r="AA203" s="1" t="s">
        <v>2222</v>
      </c>
      <c r="AB203" s="1" t="s">
        <v>2223</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2224</v>
      </c>
      <c r="AP203" s="1" t="s">
        <v>74</v>
      </c>
      <c r="AQ203" s="1" t="s">
        <v>74</v>
      </c>
      <c r="AR203" s="1" t="s">
        <v>74</v>
      </c>
      <c r="AS203" s="1" t="s">
        <v>74</v>
      </c>
      <c r="AT203" s="1" t="s">
        <v>94</v>
      </c>
      <c r="AU203" s="1">
        <v>1992.0</v>
      </c>
      <c r="AV203" s="1">
        <v>55.0</v>
      </c>
      <c r="AW203" s="1">
        <v>6.0</v>
      </c>
      <c r="AX203" s="1" t="s">
        <v>74</v>
      </c>
      <c r="AY203" s="1" t="s">
        <v>74</v>
      </c>
      <c r="AZ203" s="1" t="s">
        <v>74</v>
      </c>
      <c r="BA203" s="1" t="s">
        <v>74</v>
      </c>
      <c r="BB203" s="1">
        <v>800.0</v>
      </c>
      <c r="BC203" s="1">
        <v>803.0</v>
      </c>
      <c r="BD203" s="1" t="s">
        <v>74</v>
      </c>
      <c r="BE203" s="1" t="s">
        <v>2225</v>
      </c>
      <c r="BF203" s="2" t="str">
        <f>HYPERLINK("http://dx.doi.org/10.1021/np50084a015","http://dx.doi.org/10.1021/np50084a015")</f>
        <v>http://dx.doi.org/10.1021/np50084a015</v>
      </c>
      <c r="BG203" s="1" t="s">
        <v>74</v>
      </c>
      <c r="BH203" s="1" t="s">
        <v>74</v>
      </c>
      <c r="BI203" s="1" t="s">
        <v>74</v>
      </c>
      <c r="BJ203" s="1" t="s">
        <v>74</v>
      </c>
      <c r="BK203" s="1" t="s">
        <v>74</v>
      </c>
      <c r="BL203" s="1" t="s">
        <v>74</v>
      </c>
      <c r="BM203" s="1" t="s">
        <v>74</v>
      </c>
      <c r="BN203" s="1">
        <v>1522421.0</v>
      </c>
      <c r="BO203" s="1" t="s">
        <v>74</v>
      </c>
      <c r="BP203" s="1" t="s">
        <v>74</v>
      </c>
      <c r="BQ203" s="1" t="s">
        <v>74</v>
      </c>
      <c r="BR203" s="1" t="s">
        <v>74</v>
      </c>
      <c r="BS203" s="1" t="s">
        <v>2226</v>
      </c>
      <c r="BT203" s="1" t="str">
        <f>HYPERLINK("https%3A%2F%2Fwww.webofscience.com%2Fwos%2Fwoscc%2Ffull-record%2FWOS:A1992HX56600015","View Full Record in Web of Science")</f>
        <v>View Full Record in Web of Science</v>
      </c>
    </row>
    <row r="204" ht="12.75" customHeight="1">
      <c r="A204" s="1" t="s">
        <v>72</v>
      </c>
      <c r="B204" s="1" t="s">
        <v>2227</v>
      </c>
      <c r="C204" s="1" t="s">
        <v>74</v>
      </c>
      <c r="D204" s="1" t="s">
        <v>74</v>
      </c>
      <c r="E204" s="1" t="s">
        <v>74</v>
      </c>
      <c r="F204" s="1" t="s">
        <v>2227</v>
      </c>
      <c r="G204" s="1" t="s">
        <v>74</v>
      </c>
      <c r="H204" s="1" t="s">
        <v>74</v>
      </c>
      <c r="I204" s="1" t="s">
        <v>2228</v>
      </c>
      <c r="J204" s="1" t="s">
        <v>1073</v>
      </c>
      <c r="K204" s="1" t="s">
        <v>74</v>
      </c>
      <c r="L204" s="1" t="s">
        <v>74</v>
      </c>
      <c r="M204" s="1" t="s">
        <v>74</v>
      </c>
      <c r="N204" s="1" t="s">
        <v>74</v>
      </c>
      <c r="O204" s="1" t="s">
        <v>74</v>
      </c>
      <c r="P204" s="1" t="s">
        <v>74</v>
      </c>
      <c r="Q204" s="1" t="s">
        <v>74</v>
      </c>
      <c r="R204" s="1" t="s">
        <v>74</v>
      </c>
      <c r="S204" s="1" t="s">
        <v>74</v>
      </c>
      <c r="T204" s="1" t="s">
        <v>74</v>
      </c>
      <c r="U204" s="1" t="s">
        <v>74</v>
      </c>
      <c r="V204" s="1" t="s">
        <v>74</v>
      </c>
      <c r="W204" s="1" t="s">
        <v>74</v>
      </c>
      <c r="X204" s="1" t="s">
        <v>74</v>
      </c>
      <c r="Y204" s="1" t="s">
        <v>74</v>
      </c>
      <c r="Z204" s="1" t="s">
        <v>74</v>
      </c>
      <c r="AA204" s="1" t="s">
        <v>74</v>
      </c>
      <c r="AB204" s="1" t="s">
        <v>74</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1076</v>
      </c>
      <c r="AP204" s="1" t="s">
        <v>74</v>
      </c>
      <c r="AQ204" s="1" t="s">
        <v>74</v>
      </c>
      <c r="AR204" s="1" t="s">
        <v>74</v>
      </c>
      <c r="AS204" s="1" t="s">
        <v>74</v>
      </c>
      <c r="AT204" s="1" t="s">
        <v>74</v>
      </c>
      <c r="AU204" s="1">
        <v>1988.0</v>
      </c>
      <c r="AV204" s="1">
        <v>7.0</v>
      </c>
      <c r="AW204" s="1">
        <v>6.0</v>
      </c>
      <c r="AX204" s="1" t="s">
        <v>74</v>
      </c>
      <c r="AY204" s="1" t="s">
        <v>74</v>
      </c>
      <c r="AZ204" s="1" t="s">
        <v>74</v>
      </c>
      <c r="BA204" s="1" t="s">
        <v>74</v>
      </c>
      <c r="BB204" s="1">
        <v>489.0</v>
      </c>
      <c r="BC204" s="1">
        <v>494.0</v>
      </c>
      <c r="BD204" s="1" t="s">
        <v>74</v>
      </c>
      <c r="BE204" s="1" t="s">
        <v>2229</v>
      </c>
      <c r="BF204" s="2" t="str">
        <f>HYPERLINK("http://dx.doi.org/10.1016/S0277-5387(00)81196-1","http://dx.doi.org/10.1016/S0277-5387(00)81196-1")</f>
        <v>http://dx.doi.org/10.1016/S0277-5387(00)81196-1</v>
      </c>
      <c r="BG204" s="1" t="s">
        <v>74</v>
      </c>
      <c r="BH204" s="1" t="s">
        <v>74</v>
      </c>
      <c r="BI204" s="1" t="s">
        <v>74</v>
      </c>
      <c r="BJ204" s="1" t="s">
        <v>74</v>
      </c>
      <c r="BK204" s="1" t="s">
        <v>74</v>
      </c>
      <c r="BL204" s="1" t="s">
        <v>74</v>
      </c>
      <c r="BM204" s="1" t="s">
        <v>74</v>
      </c>
      <c r="BN204" s="1" t="s">
        <v>74</v>
      </c>
      <c r="BO204" s="1" t="s">
        <v>74</v>
      </c>
      <c r="BP204" s="1" t="s">
        <v>74</v>
      </c>
      <c r="BQ204" s="1" t="s">
        <v>74</v>
      </c>
      <c r="BR204" s="1" t="s">
        <v>74</v>
      </c>
      <c r="BS204" s="1" t="s">
        <v>2230</v>
      </c>
      <c r="BT204" s="1" t="str">
        <f>HYPERLINK("https%3A%2F%2Fwww.webofscience.com%2Fwos%2Fwoscc%2Ffull-record%2FWOS:A1988M804100010","View Full Record in Web of Science")</f>
        <v>View Full Record in Web of Science</v>
      </c>
    </row>
    <row r="205" ht="12.75" customHeight="1">
      <c r="A205" s="1" t="s">
        <v>72</v>
      </c>
      <c r="B205" s="1" t="s">
        <v>2231</v>
      </c>
      <c r="C205" s="1" t="s">
        <v>74</v>
      </c>
      <c r="D205" s="1" t="s">
        <v>74</v>
      </c>
      <c r="E205" s="1" t="s">
        <v>74</v>
      </c>
      <c r="F205" s="1" t="s">
        <v>2232</v>
      </c>
      <c r="G205" s="1" t="s">
        <v>74</v>
      </c>
      <c r="H205" s="1" t="s">
        <v>74</v>
      </c>
      <c r="I205" s="1" t="s">
        <v>2233</v>
      </c>
      <c r="J205" s="1" t="s">
        <v>1606</v>
      </c>
      <c r="K205" s="1" t="s">
        <v>74</v>
      </c>
      <c r="L205" s="1" t="s">
        <v>74</v>
      </c>
      <c r="M205" s="1" t="s">
        <v>74</v>
      </c>
      <c r="N205" s="1" t="s">
        <v>74</v>
      </c>
      <c r="O205" s="1" t="s">
        <v>74</v>
      </c>
      <c r="P205" s="1" t="s">
        <v>74</v>
      </c>
      <c r="Q205" s="1" t="s">
        <v>74</v>
      </c>
      <c r="R205" s="1" t="s">
        <v>74</v>
      </c>
      <c r="S205" s="1" t="s">
        <v>74</v>
      </c>
      <c r="T205" s="1" t="s">
        <v>74</v>
      </c>
      <c r="U205" s="1" t="s">
        <v>74</v>
      </c>
      <c r="V205" s="1" t="s">
        <v>2234</v>
      </c>
      <c r="W205" s="1" t="s">
        <v>74</v>
      </c>
      <c r="X205" s="1" t="s">
        <v>74</v>
      </c>
      <c r="Y205" s="1" t="s">
        <v>74</v>
      </c>
      <c r="Z205" s="1" t="s">
        <v>74</v>
      </c>
      <c r="AA205" s="1" t="s">
        <v>2235</v>
      </c>
      <c r="AB205" s="1" t="s">
        <v>2236</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1610</v>
      </c>
      <c r="AP205" s="1" t="s">
        <v>1611</v>
      </c>
      <c r="AQ205" s="1" t="s">
        <v>74</v>
      </c>
      <c r="AR205" s="1" t="s">
        <v>74</v>
      </c>
      <c r="AS205" s="1" t="s">
        <v>74</v>
      </c>
      <c r="AT205" s="1" t="s">
        <v>294</v>
      </c>
      <c r="AU205" s="1">
        <v>2025.0</v>
      </c>
      <c r="AV205" s="1">
        <v>37.0</v>
      </c>
      <c r="AW205" s="1">
        <v>2.0</v>
      </c>
      <c r="AX205" s="1" t="s">
        <v>74</v>
      </c>
      <c r="AY205" s="1" t="s">
        <v>74</v>
      </c>
      <c r="AZ205" s="1" t="s">
        <v>74</v>
      </c>
      <c r="BA205" s="1" t="s">
        <v>74</v>
      </c>
      <c r="BB205" s="1" t="s">
        <v>74</v>
      </c>
      <c r="BC205" s="1" t="s">
        <v>74</v>
      </c>
      <c r="BD205" s="1" t="s">
        <v>2237</v>
      </c>
      <c r="BE205" s="1" t="s">
        <v>2238</v>
      </c>
      <c r="BF205" s="2" t="str">
        <f>HYPERLINK("http://dx.doi.org/10.1002/elan.12028","http://dx.doi.org/10.1002/elan.12028")</f>
        <v>http://dx.doi.org/10.1002/elan.12028</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2239</v>
      </c>
      <c r="BT205" s="1" t="str">
        <f>HYPERLINK("https%3A%2F%2Fwww.webofscience.com%2Fwos%2Fwoscc%2Ffull-record%2FWOS:001421409400001","View Full Record in Web of Science")</f>
        <v>View Full Record in Web of Science</v>
      </c>
    </row>
    <row r="206" ht="12.75" customHeight="1">
      <c r="A206" s="1" t="s">
        <v>72</v>
      </c>
      <c r="B206" s="1" t="s">
        <v>2240</v>
      </c>
      <c r="C206" s="1" t="s">
        <v>74</v>
      </c>
      <c r="D206" s="1" t="s">
        <v>74</v>
      </c>
      <c r="E206" s="1" t="s">
        <v>74</v>
      </c>
      <c r="F206" s="1" t="s">
        <v>2241</v>
      </c>
      <c r="G206" s="1" t="s">
        <v>74</v>
      </c>
      <c r="H206" s="1" t="s">
        <v>74</v>
      </c>
      <c r="I206" s="1" t="s">
        <v>2242</v>
      </c>
      <c r="J206" s="1" t="s">
        <v>2243</v>
      </c>
      <c r="K206" s="1" t="s">
        <v>74</v>
      </c>
      <c r="L206" s="1" t="s">
        <v>74</v>
      </c>
      <c r="M206" s="1" t="s">
        <v>74</v>
      </c>
      <c r="N206" s="1" t="s">
        <v>74</v>
      </c>
      <c r="O206" s="1" t="s">
        <v>74</v>
      </c>
      <c r="P206" s="1" t="s">
        <v>74</v>
      </c>
      <c r="Q206" s="1" t="s">
        <v>74</v>
      </c>
      <c r="R206" s="1" t="s">
        <v>74</v>
      </c>
      <c r="S206" s="1" t="s">
        <v>74</v>
      </c>
      <c r="T206" s="1" t="s">
        <v>74</v>
      </c>
      <c r="U206" s="1" t="s">
        <v>74</v>
      </c>
      <c r="V206" s="1" t="s">
        <v>2244</v>
      </c>
      <c r="W206" s="1" t="s">
        <v>74</v>
      </c>
      <c r="X206" s="1" t="s">
        <v>74</v>
      </c>
      <c r="Y206" s="1" t="s">
        <v>74</v>
      </c>
      <c r="Z206" s="1" t="s">
        <v>74</v>
      </c>
      <c r="AA206" s="1" t="s">
        <v>2245</v>
      </c>
      <c r="AB206" s="1" t="s">
        <v>74</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2246</v>
      </c>
      <c r="AP206" s="1" t="s">
        <v>2247</v>
      </c>
      <c r="AQ206" s="1" t="s">
        <v>74</v>
      </c>
      <c r="AR206" s="1" t="s">
        <v>74</v>
      </c>
      <c r="AS206" s="1" t="s">
        <v>74</v>
      </c>
      <c r="AT206" s="1" t="s">
        <v>164</v>
      </c>
      <c r="AU206" s="1">
        <v>2024.0</v>
      </c>
      <c r="AV206" s="1">
        <v>26.0</v>
      </c>
      <c r="AW206" s="1">
        <v>4.0</v>
      </c>
      <c r="AX206" s="1" t="s">
        <v>74</v>
      </c>
      <c r="AY206" s="1" t="s">
        <v>74</v>
      </c>
      <c r="AZ206" s="1" t="s">
        <v>74</v>
      </c>
      <c r="BA206" s="1" t="s">
        <v>74</v>
      </c>
      <c r="BB206" s="1" t="s">
        <v>74</v>
      </c>
      <c r="BC206" s="1" t="s">
        <v>74</v>
      </c>
      <c r="BD206" s="1">
        <v>55.0</v>
      </c>
      <c r="BE206" s="1" t="s">
        <v>2248</v>
      </c>
      <c r="BF206" s="2" t="str">
        <f>HYPERLINK("http://dx.doi.org/10.1007/s11784-024-01146-3","http://dx.doi.org/10.1007/s11784-024-01146-3")</f>
        <v>http://dx.doi.org/10.1007/s11784-024-01146-3</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2249</v>
      </c>
      <c r="BT206" s="1" t="str">
        <f>HYPERLINK("https%3A%2F%2Fwww.webofscience.com%2Fwos%2Fwoscc%2Ffull-record%2FWOS:001347696400001","View Full Record in Web of Science")</f>
        <v>View Full Record in Web of Science</v>
      </c>
    </row>
    <row r="207" ht="12.75" customHeight="1">
      <c r="A207" s="1" t="s">
        <v>72</v>
      </c>
      <c r="B207" s="1" t="s">
        <v>2250</v>
      </c>
      <c r="C207" s="1" t="s">
        <v>74</v>
      </c>
      <c r="D207" s="1" t="s">
        <v>74</v>
      </c>
      <c r="E207" s="1" t="s">
        <v>74</v>
      </c>
      <c r="F207" s="1" t="s">
        <v>2251</v>
      </c>
      <c r="G207" s="1" t="s">
        <v>74</v>
      </c>
      <c r="H207" s="1" t="s">
        <v>74</v>
      </c>
      <c r="I207" s="1" t="s">
        <v>2252</v>
      </c>
      <c r="J207" s="1" t="s">
        <v>1274</v>
      </c>
      <c r="K207" s="1" t="s">
        <v>74</v>
      </c>
      <c r="L207" s="1" t="s">
        <v>74</v>
      </c>
      <c r="M207" s="1" t="s">
        <v>74</v>
      </c>
      <c r="N207" s="1" t="s">
        <v>74</v>
      </c>
      <c r="O207" s="1" t="s">
        <v>74</v>
      </c>
      <c r="P207" s="1" t="s">
        <v>74</v>
      </c>
      <c r="Q207" s="1" t="s">
        <v>74</v>
      </c>
      <c r="R207" s="1" t="s">
        <v>74</v>
      </c>
      <c r="S207" s="1" t="s">
        <v>74</v>
      </c>
      <c r="T207" s="1" t="s">
        <v>74</v>
      </c>
      <c r="U207" s="1" t="s">
        <v>74</v>
      </c>
      <c r="V207" s="1" t="s">
        <v>2253</v>
      </c>
      <c r="W207" s="1" t="s">
        <v>74</v>
      </c>
      <c r="X207" s="1" t="s">
        <v>74</v>
      </c>
      <c r="Y207" s="1" t="s">
        <v>74</v>
      </c>
      <c r="Z207" s="1" t="s">
        <v>74</v>
      </c>
      <c r="AA207" s="1" t="s">
        <v>2254</v>
      </c>
      <c r="AB207" s="1" t="s">
        <v>2255</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2256</v>
      </c>
      <c r="AP207" s="1" t="s">
        <v>1278</v>
      </c>
      <c r="AQ207" s="1" t="s">
        <v>74</v>
      </c>
      <c r="AR207" s="1" t="s">
        <v>74</v>
      </c>
      <c r="AS207" s="1" t="s">
        <v>74</v>
      </c>
      <c r="AT207" s="1" t="s">
        <v>82</v>
      </c>
      <c r="AU207" s="1">
        <v>2024.0</v>
      </c>
      <c r="AV207" s="1">
        <v>12.0</v>
      </c>
      <c r="AW207" s="1">
        <v>5.0</v>
      </c>
      <c r="AX207" s="1" t="s">
        <v>74</v>
      </c>
      <c r="AY207" s="1" t="s">
        <v>74</v>
      </c>
      <c r="AZ207" s="1" t="s">
        <v>74</v>
      </c>
      <c r="BA207" s="1" t="s">
        <v>74</v>
      </c>
      <c r="BB207" s="1" t="s">
        <v>74</v>
      </c>
      <c r="BC207" s="1" t="s">
        <v>74</v>
      </c>
      <c r="BD207" s="1">
        <v>113764.0</v>
      </c>
      <c r="BE207" s="1" t="s">
        <v>2257</v>
      </c>
      <c r="BF207" s="2" t="str">
        <f>HYPERLINK("http://dx.doi.org/10.1016/j.jece.2024.113764","http://dx.doi.org/10.1016/j.jece.2024.113764")</f>
        <v>http://dx.doi.org/10.1016/j.jece.2024.113764</v>
      </c>
      <c r="BG207" s="1" t="s">
        <v>74</v>
      </c>
      <c r="BH207" s="1" t="s">
        <v>548</v>
      </c>
      <c r="BI207" s="1" t="s">
        <v>74</v>
      </c>
      <c r="BJ207" s="1" t="s">
        <v>74</v>
      </c>
      <c r="BK207" s="1" t="s">
        <v>74</v>
      </c>
      <c r="BL207" s="1" t="s">
        <v>74</v>
      </c>
      <c r="BM207" s="1" t="s">
        <v>74</v>
      </c>
      <c r="BN207" s="1" t="s">
        <v>74</v>
      </c>
      <c r="BO207" s="1" t="s">
        <v>74</v>
      </c>
      <c r="BP207" s="1" t="s">
        <v>74</v>
      </c>
      <c r="BQ207" s="1" t="s">
        <v>74</v>
      </c>
      <c r="BR207" s="1" t="s">
        <v>74</v>
      </c>
      <c r="BS207" s="1" t="s">
        <v>2258</v>
      </c>
      <c r="BT207" s="1" t="str">
        <f>HYPERLINK("https%3A%2F%2Fwww.webofscience.com%2Fwos%2Fwoscc%2Ffull-record%2FWOS:001297075100001","View Full Record in Web of Science")</f>
        <v>View Full Record in Web of Science</v>
      </c>
    </row>
    <row r="208" ht="12.75" customHeight="1">
      <c r="A208" s="1" t="s">
        <v>72</v>
      </c>
      <c r="B208" s="1" t="s">
        <v>2259</v>
      </c>
      <c r="C208" s="1" t="s">
        <v>74</v>
      </c>
      <c r="D208" s="1" t="s">
        <v>74</v>
      </c>
      <c r="E208" s="1" t="s">
        <v>74</v>
      </c>
      <c r="F208" s="1" t="s">
        <v>2260</v>
      </c>
      <c r="G208" s="1" t="s">
        <v>74</v>
      </c>
      <c r="H208" s="1" t="s">
        <v>74</v>
      </c>
      <c r="I208" s="1" t="s">
        <v>2261</v>
      </c>
      <c r="J208" s="1" t="s">
        <v>2262</v>
      </c>
      <c r="K208" s="1" t="s">
        <v>74</v>
      </c>
      <c r="L208" s="1" t="s">
        <v>74</v>
      </c>
      <c r="M208" s="1" t="s">
        <v>74</v>
      </c>
      <c r="N208" s="1" t="s">
        <v>74</v>
      </c>
      <c r="O208" s="1" t="s">
        <v>74</v>
      </c>
      <c r="P208" s="1" t="s">
        <v>74</v>
      </c>
      <c r="Q208" s="1" t="s">
        <v>74</v>
      </c>
      <c r="R208" s="1" t="s">
        <v>74</v>
      </c>
      <c r="S208" s="1" t="s">
        <v>74</v>
      </c>
      <c r="T208" s="1" t="s">
        <v>74</v>
      </c>
      <c r="U208" s="1" t="s">
        <v>74</v>
      </c>
      <c r="V208" s="1" t="s">
        <v>2263</v>
      </c>
      <c r="W208" s="1" t="s">
        <v>74</v>
      </c>
      <c r="X208" s="1" t="s">
        <v>74</v>
      </c>
      <c r="Y208" s="1" t="s">
        <v>74</v>
      </c>
      <c r="Z208" s="1" t="s">
        <v>74</v>
      </c>
      <c r="AA208" s="1" t="s">
        <v>2264</v>
      </c>
      <c r="AB208" s="1" t="s">
        <v>2265</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2266</v>
      </c>
      <c r="AP208" s="1" t="s">
        <v>2267</v>
      </c>
      <c r="AQ208" s="1" t="s">
        <v>74</v>
      </c>
      <c r="AR208" s="1" t="s">
        <v>74</v>
      </c>
      <c r="AS208" s="1" t="s">
        <v>74</v>
      </c>
      <c r="AT208" s="1" t="s">
        <v>1363</v>
      </c>
      <c r="AU208" s="1">
        <v>2024.0</v>
      </c>
      <c r="AV208" s="1">
        <v>395.0</v>
      </c>
      <c r="AW208" s="1" t="s">
        <v>74</v>
      </c>
      <c r="AX208" s="1" t="s">
        <v>74</v>
      </c>
      <c r="AY208" s="1" t="s">
        <v>74</v>
      </c>
      <c r="AZ208" s="1" t="s">
        <v>74</v>
      </c>
      <c r="BA208" s="1" t="s">
        <v>74</v>
      </c>
      <c r="BB208" s="1" t="s">
        <v>74</v>
      </c>
      <c r="BC208" s="1" t="s">
        <v>74</v>
      </c>
      <c r="BD208" s="1">
        <v>123909.0</v>
      </c>
      <c r="BE208" s="1" t="s">
        <v>2268</v>
      </c>
      <c r="BF208" s="2" t="str">
        <f>HYPERLINK("http://dx.doi.org/10.1016/j.molliq.2023.123909","http://dx.doi.org/10.1016/j.molliq.2023.123909")</f>
        <v>http://dx.doi.org/10.1016/j.molliq.2023.123909</v>
      </c>
      <c r="BG208" s="1" t="s">
        <v>74</v>
      </c>
      <c r="BH208" s="1" t="s">
        <v>1158</v>
      </c>
      <c r="BI208" s="1" t="s">
        <v>74</v>
      </c>
      <c r="BJ208" s="1" t="s">
        <v>74</v>
      </c>
      <c r="BK208" s="1" t="s">
        <v>74</v>
      </c>
      <c r="BL208" s="1" t="s">
        <v>74</v>
      </c>
      <c r="BM208" s="1" t="s">
        <v>74</v>
      </c>
      <c r="BN208" s="1" t="s">
        <v>74</v>
      </c>
      <c r="BO208" s="1" t="s">
        <v>74</v>
      </c>
      <c r="BP208" s="1" t="s">
        <v>74</v>
      </c>
      <c r="BQ208" s="1" t="s">
        <v>74</v>
      </c>
      <c r="BR208" s="1" t="s">
        <v>74</v>
      </c>
      <c r="BS208" s="1" t="s">
        <v>2269</v>
      </c>
      <c r="BT208" s="1" t="str">
        <f>HYPERLINK("https%3A%2F%2Fwww.webofscience.com%2Fwos%2Fwoscc%2Ffull-record%2FWOS:001158011100001","View Full Record in Web of Science")</f>
        <v>View Full Record in Web of Science</v>
      </c>
    </row>
    <row r="209" ht="12.75" customHeight="1">
      <c r="A209" s="1" t="s">
        <v>72</v>
      </c>
      <c r="B209" s="1" t="s">
        <v>2270</v>
      </c>
      <c r="C209" s="1" t="s">
        <v>74</v>
      </c>
      <c r="D209" s="1" t="s">
        <v>74</v>
      </c>
      <c r="E209" s="1" t="s">
        <v>74</v>
      </c>
      <c r="F209" s="1" t="s">
        <v>2271</v>
      </c>
      <c r="G209" s="1" t="s">
        <v>74</v>
      </c>
      <c r="H209" s="1" t="s">
        <v>74</v>
      </c>
      <c r="I209" s="1" t="s">
        <v>2272</v>
      </c>
      <c r="J209" s="1" t="s">
        <v>2273</v>
      </c>
      <c r="K209" s="1" t="s">
        <v>74</v>
      </c>
      <c r="L209" s="1" t="s">
        <v>74</v>
      </c>
      <c r="M209" s="1" t="s">
        <v>74</v>
      </c>
      <c r="N209" s="1" t="s">
        <v>74</v>
      </c>
      <c r="O209" s="1" t="s">
        <v>74</v>
      </c>
      <c r="P209" s="1" t="s">
        <v>74</v>
      </c>
      <c r="Q209" s="1" t="s">
        <v>74</v>
      </c>
      <c r="R209" s="1" t="s">
        <v>74</v>
      </c>
      <c r="S209" s="1" t="s">
        <v>74</v>
      </c>
      <c r="T209" s="1" t="s">
        <v>74</v>
      </c>
      <c r="U209" s="1" t="s">
        <v>74</v>
      </c>
      <c r="V209" s="1" t="s">
        <v>2274</v>
      </c>
      <c r="W209" s="1" t="s">
        <v>74</v>
      </c>
      <c r="X209" s="1" t="s">
        <v>74</v>
      </c>
      <c r="Y209" s="1" t="s">
        <v>74</v>
      </c>
      <c r="Z209" s="1" t="s">
        <v>74</v>
      </c>
      <c r="AA209" s="1" t="s">
        <v>2275</v>
      </c>
      <c r="AB209" s="1" t="s">
        <v>2276</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2277</v>
      </c>
      <c r="AP209" s="1" t="s">
        <v>2278</v>
      </c>
      <c r="AQ209" s="1" t="s">
        <v>74</v>
      </c>
      <c r="AR209" s="1" t="s">
        <v>74</v>
      </c>
      <c r="AS209" s="1" t="s">
        <v>74</v>
      </c>
      <c r="AT209" s="1" t="s">
        <v>1106</v>
      </c>
      <c r="AU209" s="1">
        <v>2024.0</v>
      </c>
      <c r="AV209" s="1">
        <v>125.0</v>
      </c>
      <c r="AW209" s="1" t="s">
        <v>74</v>
      </c>
      <c r="AX209" s="1" t="s">
        <v>2279</v>
      </c>
      <c r="AY209" s="1" t="s">
        <v>74</v>
      </c>
      <c r="AZ209" s="1" t="s">
        <v>74</v>
      </c>
      <c r="BA209" s="1" t="s">
        <v>74</v>
      </c>
      <c r="BB209" s="1">
        <v>59.0</v>
      </c>
      <c r="BC209" s="1">
        <v>81.0</v>
      </c>
      <c r="BD209" s="1" t="s">
        <v>74</v>
      </c>
      <c r="BE209" s="1" t="s">
        <v>2280</v>
      </c>
      <c r="BF209" s="2" t="str">
        <f>HYPERLINK("http://dx.doi.org/10.1016/j.apm.2023.08.028","http://dx.doi.org/10.1016/j.apm.2023.08.028")</f>
        <v>http://dx.doi.org/10.1016/j.apm.2023.08.028</v>
      </c>
      <c r="BG209" s="1" t="s">
        <v>74</v>
      </c>
      <c r="BH209" s="1" t="s">
        <v>1177</v>
      </c>
      <c r="BI209" s="1" t="s">
        <v>74</v>
      </c>
      <c r="BJ209" s="1" t="s">
        <v>74</v>
      </c>
      <c r="BK209" s="1" t="s">
        <v>74</v>
      </c>
      <c r="BL209" s="1" t="s">
        <v>74</v>
      </c>
      <c r="BM209" s="1" t="s">
        <v>74</v>
      </c>
      <c r="BN209" s="1" t="s">
        <v>74</v>
      </c>
      <c r="BO209" s="1" t="s">
        <v>74</v>
      </c>
      <c r="BP209" s="1" t="s">
        <v>74</v>
      </c>
      <c r="BQ209" s="1" t="s">
        <v>74</v>
      </c>
      <c r="BR209" s="1" t="s">
        <v>74</v>
      </c>
      <c r="BS209" s="1" t="s">
        <v>2281</v>
      </c>
      <c r="BT209" s="1" t="str">
        <f>HYPERLINK("https%3A%2F%2Fwww.webofscience.com%2Fwos%2Fwoscc%2Ffull-record%2FWOS:001078967700001","View Full Record in Web of Science")</f>
        <v>View Full Record in Web of Science</v>
      </c>
    </row>
    <row r="210" ht="12.75" customHeight="1">
      <c r="A210" s="1" t="s">
        <v>72</v>
      </c>
      <c r="B210" s="1" t="s">
        <v>2282</v>
      </c>
      <c r="C210" s="1" t="s">
        <v>74</v>
      </c>
      <c r="D210" s="1" t="s">
        <v>74</v>
      </c>
      <c r="E210" s="1" t="s">
        <v>74</v>
      </c>
      <c r="F210" s="1" t="s">
        <v>2283</v>
      </c>
      <c r="G210" s="1" t="s">
        <v>74</v>
      </c>
      <c r="H210" s="1" t="s">
        <v>74</v>
      </c>
      <c r="I210" s="1" t="s">
        <v>2284</v>
      </c>
      <c r="J210" s="1" t="s">
        <v>1065</v>
      </c>
      <c r="K210" s="1" t="s">
        <v>74</v>
      </c>
      <c r="L210" s="1" t="s">
        <v>74</v>
      </c>
      <c r="M210" s="1" t="s">
        <v>74</v>
      </c>
      <c r="N210" s="1" t="s">
        <v>74</v>
      </c>
      <c r="O210" s="1" t="s">
        <v>74</v>
      </c>
      <c r="P210" s="1" t="s">
        <v>74</v>
      </c>
      <c r="Q210" s="1" t="s">
        <v>74</v>
      </c>
      <c r="R210" s="1" t="s">
        <v>74</v>
      </c>
      <c r="S210" s="1" t="s">
        <v>74</v>
      </c>
      <c r="T210" s="1" t="s">
        <v>74</v>
      </c>
      <c r="U210" s="1" t="s">
        <v>74</v>
      </c>
      <c r="V210" s="1" t="s">
        <v>2285</v>
      </c>
      <c r="W210" s="1" t="s">
        <v>74</v>
      </c>
      <c r="X210" s="1" t="s">
        <v>74</v>
      </c>
      <c r="Y210" s="1" t="s">
        <v>74</v>
      </c>
      <c r="Z210" s="1" t="s">
        <v>74</v>
      </c>
      <c r="AA210" s="1" t="s">
        <v>2286</v>
      </c>
      <c r="AB210" s="1" t="s">
        <v>2287</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1068</v>
      </c>
      <c r="AP210" s="1" t="s">
        <v>2288</v>
      </c>
      <c r="AQ210" s="1" t="s">
        <v>74</v>
      </c>
      <c r="AR210" s="1" t="s">
        <v>74</v>
      </c>
      <c r="AS210" s="1" t="s">
        <v>74</v>
      </c>
      <c r="AT210" s="1" t="s">
        <v>2289</v>
      </c>
      <c r="AU210" s="1">
        <v>2023.0</v>
      </c>
      <c r="AV210" s="1">
        <v>459.0</v>
      </c>
      <c r="AW210" s="1" t="s">
        <v>74</v>
      </c>
      <c r="AX210" s="1" t="s">
        <v>74</v>
      </c>
      <c r="AY210" s="1" t="s">
        <v>74</v>
      </c>
      <c r="AZ210" s="1" t="s">
        <v>74</v>
      </c>
      <c r="BA210" s="1" t="s">
        <v>74</v>
      </c>
      <c r="BB210" s="1" t="s">
        <v>74</v>
      </c>
      <c r="BC210" s="1" t="s">
        <v>74</v>
      </c>
      <c r="BD210" s="1">
        <v>142544.0</v>
      </c>
      <c r="BE210" s="1" t="s">
        <v>2290</v>
      </c>
      <c r="BF210" s="2" t="str">
        <f>HYPERLINK("http://dx.doi.org/10.1016/j.electacta.2023.142544","http://dx.doi.org/10.1016/j.electacta.2023.142544")</f>
        <v>http://dx.doi.org/10.1016/j.electacta.2023.142544</v>
      </c>
      <c r="BG210" s="1" t="s">
        <v>74</v>
      </c>
      <c r="BH210" s="1" t="s">
        <v>2291</v>
      </c>
      <c r="BI210" s="1" t="s">
        <v>74</v>
      </c>
      <c r="BJ210" s="1" t="s">
        <v>74</v>
      </c>
      <c r="BK210" s="1" t="s">
        <v>74</v>
      </c>
      <c r="BL210" s="1" t="s">
        <v>74</v>
      </c>
      <c r="BM210" s="1" t="s">
        <v>74</v>
      </c>
      <c r="BN210" s="1" t="s">
        <v>74</v>
      </c>
      <c r="BO210" s="1" t="s">
        <v>74</v>
      </c>
      <c r="BP210" s="1" t="s">
        <v>74</v>
      </c>
      <c r="BQ210" s="1" t="s">
        <v>74</v>
      </c>
      <c r="BR210" s="1" t="s">
        <v>74</v>
      </c>
      <c r="BS210" s="1" t="s">
        <v>2292</v>
      </c>
      <c r="BT210" s="1" t="str">
        <f>HYPERLINK("https%3A%2F%2Fwww.webofscience.com%2Fwos%2Fwoscc%2Ffull-record%2FWOS:000999154500001","View Full Record in Web of Science")</f>
        <v>View Full Record in Web of Science</v>
      </c>
    </row>
    <row r="211" ht="12.75" customHeight="1">
      <c r="A211" s="1" t="s">
        <v>72</v>
      </c>
      <c r="B211" s="1" t="s">
        <v>2293</v>
      </c>
      <c r="C211" s="1" t="s">
        <v>74</v>
      </c>
      <c r="D211" s="1" t="s">
        <v>74</v>
      </c>
      <c r="E211" s="1" t="s">
        <v>74</v>
      </c>
      <c r="F211" s="1" t="s">
        <v>2294</v>
      </c>
      <c r="G211" s="1" t="s">
        <v>74</v>
      </c>
      <c r="H211" s="1" t="s">
        <v>74</v>
      </c>
      <c r="I211" s="1" t="s">
        <v>2295</v>
      </c>
      <c r="J211" s="1" t="s">
        <v>2296</v>
      </c>
      <c r="K211" s="1" t="s">
        <v>74</v>
      </c>
      <c r="L211" s="1" t="s">
        <v>74</v>
      </c>
      <c r="M211" s="1" t="s">
        <v>74</v>
      </c>
      <c r="N211" s="1" t="s">
        <v>74</v>
      </c>
      <c r="O211" s="1" t="s">
        <v>74</v>
      </c>
      <c r="P211" s="1" t="s">
        <v>74</v>
      </c>
      <c r="Q211" s="1" t="s">
        <v>74</v>
      </c>
      <c r="R211" s="1" t="s">
        <v>74</v>
      </c>
      <c r="S211" s="1" t="s">
        <v>74</v>
      </c>
      <c r="T211" s="1" t="s">
        <v>74</v>
      </c>
      <c r="U211" s="1" t="s">
        <v>74</v>
      </c>
      <c r="V211" s="1" t="s">
        <v>2297</v>
      </c>
      <c r="W211" s="1" t="s">
        <v>74</v>
      </c>
      <c r="X211" s="1" t="s">
        <v>74</v>
      </c>
      <c r="Y211" s="1" t="s">
        <v>74</v>
      </c>
      <c r="Z211" s="1" t="s">
        <v>74</v>
      </c>
      <c r="AA211" s="1" t="s">
        <v>2298</v>
      </c>
      <c r="AB211" s="1" t="s">
        <v>2299</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74</v>
      </c>
      <c r="AP211" s="1" t="s">
        <v>2300</v>
      </c>
      <c r="AQ211" s="1" t="s">
        <v>74</v>
      </c>
      <c r="AR211" s="1" t="s">
        <v>74</v>
      </c>
      <c r="AS211" s="1" t="s">
        <v>74</v>
      </c>
      <c r="AT211" s="1" t="s">
        <v>1279</v>
      </c>
      <c r="AU211" s="1">
        <v>2023.0</v>
      </c>
      <c r="AV211" s="1">
        <v>15.0</v>
      </c>
      <c r="AW211" s="1">
        <v>8.0</v>
      </c>
      <c r="AX211" s="1" t="s">
        <v>74</v>
      </c>
      <c r="AY211" s="1" t="s">
        <v>74</v>
      </c>
      <c r="AZ211" s="1" t="s">
        <v>74</v>
      </c>
      <c r="BA211" s="1" t="s">
        <v>74</v>
      </c>
      <c r="BB211" s="1" t="s">
        <v>74</v>
      </c>
      <c r="BC211" s="1" t="s">
        <v>74</v>
      </c>
      <c r="BD211" s="1">
        <v>1626.0</v>
      </c>
      <c r="BE211" s="1" t="s">
        <v>2301</v>
      </c>
      <c r="BF211" s="2" t="str">
        <f>HYPERLINK("http://dx.doi.org/10.3390/w15081626","http://dx.doi.org/10.3390/w15081626")</f>
        <v>http://dx.doi.org/10.3390/w15081626</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2302</v>
      </c>
      <c r="BT211" s="1" t="str">
        <f>HYPERLINK("https%3A%2F%2Fwww.webofscience.com%2Fwos%2Fwoscc%2Ffull-record%2FWOS:000979586900001","View Full Record in Web of Science")</f>
        <v>View Full Record in Web of Science</v>
      </c>
    </row>
    <row r="212" ht="12.75" customHeight="1">
      <c r="A212" s="1" t="s">
        <v>72</v>
      </c>
      <c r="B212" s="1" t="s">
        <v>2303</v>
      </c>
      <c r="C212" s="1" t="s">
        <v>74</v>
      </c>
      <c r="D212" s="1" t="s">
        <v>74</v>
      </c>
      <c r="E212" s="1" t="s">
        <v>74</v>
      </c>
      <c r="F212" s="1" t="s">
        <v>2304</v>
      </c>
      <c r="G212" s="1" t="s">
        <v>74</v>
      </c>
      <c r="H212" s="1" t="s">
        <v>74</v>
      </c>
      <c r="I212" s="1" t="s">
        <v>2305</v>
      </c>
      <c r="J212" s="1" t="s">
        <v>665</v>
      </c>
      <c r="K212" s="1" t="s">
        <v>74</v>
      </c>
      <c r="L212" s="1" t="s">
        <v>74</v>
      </c>
      <c r="M212" s="1" t="s">
        <v>74</v>
      </c>
      <c r="N212" s="1" t="s">
        <v>74</v>
      </c>
      <c r="O212" s="1" t="s">
        <v>74</v>
      </c>
      <c r="P212" s="1" t="s">
        <v>74</v>
      </c>
      <c r="Q212" s="1" t="s">
        <v>74</v>
      </c>
      <c r="R212" s="1" t="s">
        <v>74</v>
      </c>
      <c r="S212" s="1" t="s">
        <v>74</v>
      </c>
      <c r="T212" s="1" t="s">
        <v>74</v>
      </c>
      <c r="U212" s="1" t="s">
        <v>74</v>
      </c>
      <c r="V212" s="1" t="s">
        <v>2306</v>
      </c>
      <c r="W212" s="1" t="s">
        <v>74</v>
      </c>
      <c r="X212" s="1" t="s">
        <v>74</v>
      </c>
      <c r="Y212" s="1" t="s">
        <v>74</v>
      </c>
      <c r="Z212" s="1" t="s">
        <v>74</v>
      </c>
      <c r="AA212" s="1" t="s">
        <v>2307</v>
      </c>
      <c r="AB212" s="1" t="s">
        <v>2308</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74</v>
      </c>
      <c r="AP212" s="1" t="s">
        <v>669</v>
      </c>
      <c r="AQ212" s="1" t="s">
        <v>74</v>
      </c>
      <c r="AR212" s="1" t="s">
        <v>74</v>
      </c>
      <c r="AS212" s="1" t="s">
        <v>74</v>
      </c>
      <c r="AT212" s="1" t="s">
        <v>164</v>
      </c>
      <c r="AU212" s="1">
        <v>2022.0</v>
      </c>
      <c r="AV212" s="1">
        <v>27.0</v>
      </c>
      <c r="AW212" s="1">
        <v>23.0</v>
      </c>
      <c r="AX212" s="1" t="s">
        <v>74</v>
      </c>
      <c r="AY212" s="1" t="s">
        <v>74</v>
      </c>
      <c r="AZ212" s="1" t="s">
        <v>74</v>
      </c>
      <c r="BA212" s="1" t="s">
        <v>74</v>
      </c>
      <c r="BB212" s="1" t="s">
        <v>74</v>
      </c>
      <c r="BC212" s="1" t="s">
        <v>74</v>
      </c>
      <c r="BD212" s="1">
        <v>8345.0</v>
      </c>
      <c r="BE212" s="1" t="s">
        <v>2309</v>
      </c>
      <c r="BF212" s="2" t="str">
        <f>HYPERLINK("http://dx.doi.org/10.3390/molecules27238345","http://dx.doi.org/10.3390/molecules27238345")</f>
        <v>http://dx.doi.org/10.3390/molecules27238345</v>
      </c>
      <c r="BG212" s="1" t="s">
        <v>74</v>
      </c>
      <c r="BH212" s="1" t="s">
        <v>74</v>
      </c>
      <c r="BI212" s="1" t="s">
        <v>74</v>
      </c>
      <c r="BJ212" s="1" t="s">
        <v>74</v>
      </c>
      <c r="BK212" s="1" t="s">
        <v>74</v>
      </c>
      <c r="BL212" s="1" t="s">
        <v>74</v>
      </c>
      <c r="BM212" s="1" t="s">
        <v>74</v>
      </c>
      <c r="BN212" s="1">
        <v>3.6500438E7</v>
      </c>
      <c r="BO212" s="1" t="s">
        <v>74</v>
      </c>
      <c r="BP212" s="1" t="s">
        <v>74</v>
      </c>
      <c r="BQ212" s="1" t="s">
        <v>74</v>
      </c>
      <c r="BR212" s="1" t="s">
        <v>74</v>
      </c>
      <c r="BS212" s="1" t="s">
        <v>2310</v>
      </c>
      <c r="BT212" s="1" t="str">
        <f>HYPERLINK("https%3A%2F%2Fwww.webofscience.com%2Fwos%2Fwoscc%2Ffull-record%2FWOS:000897348200001","View Full Record in Web of Science")</f>
        <v>View Full Record in Web of Science</v>
      </c>
    </row>
    <row r="213" ht="12.75" customHeight="1">
      <c r="A213" s="1" t="s">
        <v>72</v>
      </c>
      <c r="B213" s="1" t="s">
        <v>2311</v>
      </c>
      <c r="C213" s="1" t="s">
        <v>74</v>
      </c>
      <c r="D213" s="1" t="s">
        <v>74</v>
      </c>
      <c r="E213" s="1" t="s">
        <v>74</v>
      </c>
      <c r="F213" s="1" t="s">
        <v>2312</v>
      </c>
      <c r="G213" s="1" t="s">
        <v>74</v>
      </c>
      <c r="H213" s="1" t="s">
        <v>74</v>
      </c>
      <c r="I213" s="1" t="s">
        <v>2313</v>
      </c>
      <c r="J213" s="1" t="s">
        <v>2314</v>
      </c>
      <c r="K213" s="1" t="s">
        <v>74</v>
      </c>
      <c r="L213" s="1" t="s">
        <v>74</v>
      </c>
      <c r="M213" s="1" t="s">
        <v>74</v>
      </c>
      <c r="N213" s="1" t="s">
        <v>74</v>
      </c>
      <c r="O213" s="1" t="s">
        <v>74</v>
      </c>
      <c r="P213" s="1" t="s">
        <v>74</v>
      </c>
      <c r="Q213" s="1" t="s">
        <v>74</v>
      </c>
      <c r="R213" s="1" t="s">
        <v>74</v>
      </c>
      <c r="S213" s="1" t="s">
        <v>74</v>
      </c>
      <c r="T213" s="1" t="s">
        <v>74</v>
      </c>
      <c r="U213" s="1" t="s">
        <v>74</v>
      </c>
      <c r="V213" s="1" t="s">
        <v>2315</v>
      </c>
      <c r="W213" s="1" t="s">
        <v>74</v>
      </c>
      <c r="X213" s="1" t="s">
        <v>74</v>
      </c>
      <c r="Y213" s="1" t="s">
        <v>74</v>
      </c>
      <c r="Z213" s="1" t="s">
        <v>74</v>
      </c>
      <c r="AA213" s="1" t="s">
        <v>2316</v>
      </c>
      <c r="AB213" s="1" t="s">
        <v>2317</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2318</v>
      </c>
      <c r="AP213" s="1" t="s">
        <v>2319</v>
      </c>
      <c r="AQ213" s="1" t="s">
        <v>74</v>
      </c>
      <c r="AR213" s="1" t="s">
        <v>74</v>
      </c>
      <c r="AS213" s="1" t="s">
        <v>74</v>
      </c>
      <c r="AT213" s="1" t="s">
        <v>177</v>
      </c>
      <c r="AU213" s="1">
        <v>2023.0</v>
      </c>
      <c r="AV213" s="1">
        <v>49.0</v>
      </c>
      <c r="AW213" s="1" t="s">
        <v>2320</v>
      </c>
      <c r="AX213" s="1" t="s">
        <v>74</v>
      </c>
      <c r="AY213" s="1" t="s">
        <v>74</v>
      </c>
      <c r="AZ213" s="1" t="s">
        <v>74</v>
      </c>
      <c r="BA213" s="1" t="s">
        <v>74</v>
      </c>
      <c r="BB213" s="1">
        <v>707.0</v>
      </c>
      <c r="BC213" s="1">
        <v>723.0</v>
      </c>
      <c r="BD213" s="1">
        <v>8.969205221100268E15</v>
      </c>
      <c r="BE213" s="1" t="s">
        <v>2321</v>
      </c>
      <c r="BF213" s="2" t="str">
        <f>HYPERLINK("http://dx.doi.org/10.1177/08969205221100268","http://dx.doi.org/10.1177/08969205221100268")</f>
        <v>http://dx.doi.org/10.1177/08969205221100268</v>
      </c>
      <c r="BG213" s="1" t="s">
        <v>74</v>
      </c>
      <c r="BH213" s="1" t="s">
        <v>2322</v>
      </c>
      <c r="BI213" s="1" t="s">
        <v>74</v>
      </c>
      <c r="BJ213" s="1" t="s">
        <v>74</v>
      </c>
      <c r="BK213" s="1" t="s">
        <v>74</v>
      </c>
      <c r="BL213" s="1" t="s">
        <v>74</v>
      </c>
      <c r="BM213" s="1" t="s">
        <v>74</v>
      </c>
      <c r="BN213" s="1" t="s">
        <v>74</v>
      </c>
      <c r="BO213" s="1" t="s">
        <v>74</v>
      </c>
      <c r="BP213" s="1" t="s">
        <v>74</v>
      </c>
      <c r="BQ213" s="1" t="s">
        <v>74</v>
      </c>
      <c r="BR213" s="1" t="s">
        <v>74</v>
      </c>
      <c r="BS213" s="1" t="s">
        <v>2323</v>
      </c>
      <c r="BT213" s="1" t="str">
        <f>HYPERLINK("https%3A%2F%2Fwww.webofscience.com%2Fwos%2Fwoscc%2Ffull-record%2FWOS:000808358400001","View Full Record in Web of Science")</f>
        <v>View Full Record in Web of Science</v>
      </c>
    </row>
    <row r="214" ht="12.75" customHeight="1">
      <c r="A214" s="1" t="s">
        <v>72</v>
      </c>
      <c r="B214" s="1" t="s">
        <v>2324</v>
      </c>
      <c r="C214" s="1" t="s">
        <v>74</v>
      </c>
      <c r="D214" s="1" t="s">
        <v>74</v>
      </c>
      <c r="E214" s="1" t="s">
        <v>74</v>
      </c>
      <c r="F214" s="1" t="s">
        <v>2325</v>
      </c>
      <c r="G214" s="1" t="s">
        <v>74</v>
      </c>
      <c r="H214" s="1" t="s">
        <v>74</v>
      </c>
      <c r="I214" s="1" t="s">
        <v>2326</v>
      </c>
      <c r="J214" s="1" t="s">
        <v>2327</v>
      </c>
      <c r="K214" s="1" t="s">
        <v>74</v>
      </c>
      <c r="L214" s="1" t="s">
        <v>74</v>
      </c>
      <c r="M214" s="1" t="s">
        <v>74</v>
      </c>
      <c r="N214" s="1" t="s">
        <v>74</v>
      </c>
      <c r="O214" s="1" t="s">
        <v>74</v>
      </c>
      <c r="P214" s="1" t="s">
        <v>74</v>
      </c>
      <c r="Q214" s="1" t="s">
        <v>74</v>
      </c>
      <c r="R214" s="1" t="s">
        <v>74</v>
      </c>
      <c r="S214" s="1" t="s">
        <v>74</v>
      </c>
      <c r="T214" s="1" t="s">
        <v>74</v>
      </c>
      <c r="U214" s="1" t="s">
        <v>74</v>
      </c>
      <c r="V214" s="1" t="s">
        <v>2328</v>
      </c>
      <c r="W214" s="1" t="s">
        <v>74</v>
      </c>
      <c r="X214" s="1" t="s">
        <v>74</v>
      </c>
      <c r="Y214" s="1" t="s">
        <v>74</v>
      </c>
      <c r="Z214" s="1" t="s">
        <v>74</v>
      </c>
      <c r="AA214" s="1" t="s">
        <v>2329</v>
      </c>
      <c r="AB214" s="1" t="s">
        <v>2330</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2331</v>
      </c>
      <c r="AP214" s="1" t="s">
        <v>74</v>
      </c>
      <c r="AQ214" s="1" t="s">
        <v>74</v>
      </c>
      <c r="AR214" s="1" t="s">
        <v>74</v>
      </c>
      <c r="AS214" s="1" t="s">
        <v>74</v>
      </c>
      <c r="AT214" s="1" t="s">
        <v>2332</v>
      </c>
      <c r="AU214" s="1">
        <v>2022.0</v>
      </c>
      <c r="AV214" s="1">
        <v>7.0</v>
      </c>
      <c r="AW214" s="1">
        <v>20.0</v>
      </c>
      <c r="AX214" s="1" t="s">
        <v>74</v>
      </c>
      <c r="AY214" s="1" t="s">
        <v>74</v>
      </c>
      <c r="AZ214" s="1" t="s">
        <v>74</v>
      </c>
      <c r="BA214" s="1" t="s">
        <v>74</v>
      </c>
      <c r="BB214" s="1" t="s">
        <v>74</v>
      </c>
      <c r="BC214" s="1" t="s">
        <v>74</v>
      </c>
      <c r="BD214" s="1" t="s">
        <v>2333</v>
      </c>
      <c r="BE214" s="1" t="s">
        <v>2334</v>
      </c>
      <c r="BF214" s="2" t="str">
        <f>HYPERLINK("http://dx.doi.org/10.1002/slct.202200220","http://dx.doi.org/10.1002/slct.202200220")</f>
        <v>http://dx.doi.org/10.1002/slct.202200220</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2335</v>
      </c>
      <c r="BT214" s="1" t="str">
        <f>HYPERLINK("https%3A%2F%2Fwww.webofscience.com%2Fwos%2Fwoscc%2Ffull-record%2FWOS:000797943200001","View Full Record in Web of Science")</f>
        <v>View Full Record in Web of Science</v>
      </c>
    </row>
    <row r="215" ht="12.75" customHeight="1">
      <c r="A215" s="1" t="s">
        <v>72</v>
      </c>
      <c r="B215" s="1" t="s">
        <v>2336</v>
      </c>
      <c r="C215" s="1" t="s">
        <v>74</v>
      </c>
      <c r="D215" s="1" t="s">
        <v>74</v>
      </c>
      <c r="E215" s="1" t="s">
        <v>74</v>
      </c>
      <c r="F215" s="1" t="s">
        <v>2337</v>
      </c>
      <c r="G215" s="1" t="s">
        <v>74</v>
      </c>
      <c r="H215" s="1" t="s">
        <v>74</v>
      </c>
      <c r="I215" s="1" t="s">
        <v>2338</v>
      </c>
      <c r="J215" s="1" t="s">
        <v>2339</v>
      </c>
      <c r="K215" s="1" t="s">
        <v>74</v>
      </c>
      <c r="L215" s="1" t="s">
        <v>74</v>
      </c>
      <c r="M215" s="1" t="s">
        <v>74</v>
      </c>
      <c r="N215" s="1" t="s">
        <v>74</v>
      </c>
      <c r="O215" s="1" t="s">
        <v>74</v>
      </c>
      <c r="P215" s="1" t="s">
        <v>74</v>
      </c>
      <c r="Q215" s="1" t="s">
        <v>74</v>
      </c>
      <c r="R215" s="1" t="s">
        <v>74</v>
      </c>
      <c r="S215" s="1" t="s">
        <v>74</v>
      </c>
      <c r="T215" s="1" t="s">
        <v>74</v>
      </c>
      <c r="U215" s="1" t="s">
        <v>74</v>
      </c>
      <c r="V215" s="1" t="s">
        <v>2340</v>
      </c>
      <c r="W215" s="1" t="s">
        <v>74</v>
      </c>
      <c r="X215" s="1" t="s">
        <v>74</v>
      </c>
      <c r="Y215" s="1" t="s">
        <v>74</v>
      </c>
      <c r="Z215" s="1" t="s">
        <v>74</v>
      </c>
      <c r="AA215" s="1" t="s">
        <v>2341</v>
      </c>
      <c r="AB215" s="1" t="s">
        <v>2342</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2343</v>
      </c>
      <c r="AP215" s="1" t="s">
        <v>2344</v>
      </c>
      <c r="AQ215" s="1" t="s">
        <v>74</v>
      </c>
      <c r="AR215" s="1" t="s">
        <v>74</v>
      </c>
      <c r="AS215" s="1" t="s">
        <v>74</v>
      </c>
      <c r="AT215" s="1" t="s">
        <v>164</v>
      </c>
      <c r="AU215" s="1">
        <v>2021.0</v>
      </c>
      <c r="AV215" s="1">
        <v>136.0</v>
      </c>
      <c r="AW215" s="1">
        <v>6.0</v>
      </c>
      <c r="AX215" s="1" t="s">
        <v>74</v>
      </c>
      <c r="AY215" s="1" t="s">
        <v>74</v>
      </c>
      <c r="AZ215" s="1" t="s">
        <v>74</v>
      </c>
      <c r="BA215" s="1" t="s">
        <v>74</v>
      </c>
      <c r="BB215" s="1" t="s">
        <v>74</v>
      </c>
      <c r="BC215" s="1" t="s">
        <v>74</v>
      </c>
      <c r="BD215" s="1">
        <v>68003.0</v>
      </c>
      <c r="BE215" s="1" t="s">
        <v>2345</v>
      </c>
      <c r="BF215" s="2" t="str">
        <f>HYPERLINK("http://dx.doi.org/10.1209/0295-5075/ac39ee","http://dx.doi.org/10.1209/0295-5075/ac39ee")</f>
        <v>http://dx.doi.org/10.1209/0295-5075/ac39ee</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2346</v>
      </c>
      <c r="BT215" s="1" t="str">
        <f>HYPERLINK("https%3A%2F%2Fwww.webofscience.com%2Fwos%2Fwoscc%2Ffull-record%2FWOS:000773440900003","View Full Record in Web of Science")</f>
        <v>View Full Record in Web of Science</v>
      </c>
    </row>
    <row r="216" ht="12.75" customHeight="1">
      <c r="A216" s="1" t="s">
        <v>72</v>
      </c>
      <c r="B216" s="1" t="s">
        <v>2347</v>
      </c>
      <c r="C216" s="1" t="s">
        <v>74</v>
      </c>
      <c r="D216" s="1" t="s">
        <v>74</v>
      </c>
      <c r="E216" s="1" t="s">
        <v>74</v>
      </c>
      <c r="F216" s="1" t="s">
        <v>2348</v>
      </c>
      <c r="G216" s="1" t="s">
        <v>74</v>
      </c>
      <c r="H216" s="1" t="s">
        <v>74</v>
      </c>
      <c r="I216" s="1" t="s">
        <v>2349</v>
      </c>
      <c r="J216" s="1" t="s">
        <v>2350</v>
      </c>
      <c r="K216" s="1" t="s">
        <v>74</v>
      </c>
      <c r="L216" s="1" t="s">
        <v>74</v>
      </c>
      <c r="M216" s="1" t="s">
        <v>74</v>
      </c>
      <c r="N216" s="1" t="s">
        <v>74</v>
      </c>
      <c r="O216" s="1" t="s">
        <v>74</v>
      </c>
      <c r="P216" s="1" t="s">
        <v>74</v>
      </c>
      <c r="Q216" s="1" t="s">
        <v>74</v>
      </c>
      <c r="R216" s="1" t="s">
        <v>74</v>
      </c>
      <c r="S216" s="1" t="s">
        <v>74</v>
      </c>
      <c r="T216" s="1" t="s">
        <v>74</v>
      </c>
      <c r="U216" s="1" t="s">
        <v>74</v>
      </c>
      <c r="V216" s="1" t="s">
        <v>2351</v>
      </c>
      <c r="W216" s="1" t="s">
        <v>74</v>
      </c>
      <c r="X216" s="1" t="s">
        <v>74</v>
      </c>
      <c r="Y216" s="1" t="s">
        <v>74</v>
      </c>
      <c r="Z216" s="1" t="s">
        <v>74</v>
      </c>
      <c r="AA216" s="1" t="s">
        <v>2352</v>
      </c>
      <c r="AB216" s="1" t="s">
        <v>2353</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2354</v>
      </c>
      <c r="AP216" s="1" t="s">
        <v>2355</v>
      </c>
      <c r="AQ216" s="1" t="s">
        <v>74</v>
      </c>
      <c r="AR216" s="1" t="s">
        <v>74</v>
      </c>
      <c r="AS216" s="1" t="s">
        <v>74</v>
      </c>
      <c r="AT216" s="1" t="s">
        <v>1175</v>
      </c>
      <c r="AU216" s="1">
        <v>2021.0</v>
      </c>
      <c r="AV216" s="1">
        <v>342.0</v>
      </c>
      <c r="AW216" s="1" t="s">
        <v>74</v>
      </c>
      <c r="AX216" s="1" t="s">
        <v>74</v>
      </c>
      <c r="AY216" s="1" t="s">
        <v>74</v>
      </c>
      <c r="AZ216" s="1" t="s">
        <v>74</v>
      </c>
      <c r="BA216" s="1" t="s">
        <v>74</v>
      </c>
      <c r="BB216" s="1">
        <v>1.0</v>
      </c>
      <c r="BC216" s="1">
        <v>12.0</v>
      </c>
      <c r="BD216" s="1" t="s">
        <v>74</v>
      </c>
      <c r="BE216" s="1" t="s">
        <v>2356</v>
      </c>
      <c r="BF216" s="2" t="str">
        <f>HYPERLINK("http://dx.doi.org/10.1016/j.jbiotec.2021.09.021","http://dx.doi.org/10.1016/j.jbiotec.2021.09.021")</f>
        <v>http://dx.doi.org/10.1016/j.jbiotec.2021.09.021</v>
      </c>
      <c r="BG216" s="1" t="s">
        <v>74</v>
      </c>
      <c r="BH216" s="1" t="s">
        <v>2357</v>
      </c>
      <c r="BI216" s="1" t="s">
        <v>74</v>
      </c>
      <c r="BJ216" s="1" t="s">
        <v>74</v>
      </c>
      <c r="BK216" s="1" t="s">
        <v>74</v>
      </c>
      <c r="BL216" s="1" t="s">
        <v>74</v>
      </c>
      <c r="BM216" s="1" t="s">
        <v>74</v>
      </c>
      <c r="BN216" s="1">
        <v>3.4648892E7</v>
      </c>
      <c r="BO216" s="1" t="s">
        <v>74</v>
      </c>
      <c r="BP216" s="1" t="s">
        <v>74</v>
      </c>
      <c r="BQ216" s="1" t="s">
        <v>74</v>
      </c>
      <c r="BR216" s="1" t="s">
        <v>74</v>
      </c>
      <c r="BS216" s="1" t="s">
        <v>2358</v>
      </c>
      <c r="BT216" s="1" t="str">
        <f>HYPERLINK("https%3A%2F%2Fwww.webofscience.com%2Fwos%2Fwoscc%2Ffull-record%2FWOS:000712543200001","View Full Record in Web of Science")</f>
        <v>View Full Record in Web of Science</v>
      </c>
    </row>
    <row r="217" ht="12.75" customHeight="1">
      <c r="A217" s="1" t="s">
        <v>72</v>
      </c>
      <c r="B217" s="1" t="s">
        <v>2359</v>
      </c>
      <c r="C217" s="1" t="s">
        <v>74</v>
      </c>
      <c r="D217" s="1" t="s">
        <v>74</v>
      </c>
      <c r="E217" s="1" t="s">
        <v>74</v>
      </c>
      <c r="F217" s="1" t="s">
        <v>2360</v>
      </c>
      <c r="G217" s="1" t="s">
        <v>74</v>
      </c>
      <c r="H217" s="1" t="s">
        <v>74</v>
      </c>
      <c r="I217" s="1" t="s">
        <v>2361</v>
      </c>
      <c r="J217" s="1" t="s">
        <v>2362</v>
      </c>
      <c r="K217" s="1" t="s">
        <v>74</v>
      </c>
      <c r="L217" s="1" t="s">
        <v>74</v>
      </c>
      <c r="M217" s="1" t="s">
        <v>74</v>
      </c>
      <c r="N217" s="1" t="s">
        <v>74</v>
      </c>
      <c r="O217" s="1" t="s">
        <v>74</v>
      </c>
      <c r="P217" s="1" t="s">
        <v>74</v>
      </c>
      <c r="Q217" s="1" t="s">
        <v>74</v>
      </c>
      <c r="R217" s="1" t="s">
        <v>74</v>
      </c>
      <c r="S217" s="1" t="s">
        <v>74</v>
      </c>
      <c r="T217" s="1" t="s">
        <v>74</v>
      </c>
      <c r="U217" s="1" t="s">
        <v>74</v>
      </c>
      <c r="V217" s="1" t="s">
        <v>2363</v>
      </c>
      <c r="W217" s="1" t="s">
        <v>74</v>
      </c>
      <c r="X217" s="1" t="s">
        <v>74</v>
      </c>
      <c r="Y217" s="1" t="s">
        <v>74</v>
      </c>
      <c r="Z217" s="1" t="s">
        <v>74</v>
      </c>
      <c r="AA217" s="1" t="s">
        <v>2364</v>
      </c>
      <c r="AB217" s="1" t="s">
        <v>74</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2365</v>
      </c>
      <c r="AP217" s="1" t="s">
        <v>74</v>
      </c>
      <c r="AQ217" s="1" t="s">
        <v>74</v>
      </c>
      <c r="AR217" s="1" t="s">
        <v>74</v>
      </c>
      <c r="AS217" s="1" t="s">
        <v>74</v>
      </c>
      <c r="AT217" s="1" t="s">
        <v>2366</v>
      </c>
      <c r="AU217" s="1">
        <v>2021.0</v>
      </c>
      <c r="AV217" s="1">
        <v>16.0</v>
      </c>
      <c r="AW217" s="1">
        <v>31.0</v>
      </c>
      <c r="AX217" s="1" t="s">
        <v>74</v>
      </c>
      <c r="AY217" s="1" t="s">
        <v>74</v>
      </c>
      <c r="AZ217" s="1" t="s">
        <v>74</v>
      </c>
      <c r="BA217" s="1" t="s">
        <v>74</v>
      </c>
      <c r="BB217" s="1">
        <v>26.0</v>
      </c>
      <c r="BC217" s="1">
        <v>34.0</v>
      </c>
      <c r="BD217" s="1" t="s">
        <v>74</v>
      </c>
      <c r="BE217" s="1" t="s">
        <v>2367</v>
      </c>
      <c r="BF217" s="2" t="str">
        <f>HYPERLINK("http://dx.doi.org/10.26507/rei.v16n31.1161","http://dx.doi.org/10.26507/rei.v16n31.1161")</f>
        <v>http://dx.doi.org/10.26507/rei.v16n31.1161</v>
      </c>
      <c r="BG217" s="1" t="s">
        <v>74</v>
      </c>
      <c r="BH217" s="1" t="s">
        <v>74</v>
      </c>
      <c r="BI217" s="1" t="s">
        <v>74</v>
      </c>
      <c r="BJ217" s="1" t="s">
        <v>74</v>
      </c>
      <c r="BK217" s="1" t="s">
        <v>74</v>
      </c>
      <c r="BL217" s="1" t="s">
        <v>74</v>
      </c>
      <c r="BM217" s="1" t="s">
        <v>74</v>
      </c>
      <c r="BN217" s="1" t="s">
        <v>74</v>
      </c>
      <c r="BO217" s="1" t="s">
        <v>74</v>
      </c>
      <c r="BP217" s="1" t="s">
        <v>74</v>
      </c>
      <c r="BQ217" s="1" t="s">
        <v>74</v>
      </c>
      <c r="BR217" s="1" t="s">
        <v>74</v>
      </c>
      <c r="BS217" s="1" t="s">
        <v>2368</v>
      </c>
      <c r="BT217" s="1" t="str">
        <f>HYPERLINK("https%3A%2F%2Fwww.webofscience.com%2Fwos%2Fwoscc%2Ffull-record%2FWOS:000637332100004","View Full Record in Web of Science")</f>
        <v>View Full Record in Web of Science</v>
      </c>
    </row>
    <row r="218" ht="12.75" customHeight="1">
      <c r="A218" s="1" t="s">
        <v>72</v>
      </c>
      <c r="B218" s="1" t="s">
        <v>2369</v>
      </c>
      <c r="C218" s="1" t="s">
        <v>74</v>
      </c>
      <c r="D218" s="1" t="s">
        <v>74</v>
      </c>
      <c r="E218" s="1" t="s">
        <v>74</v>
      </c>
      <c r="F218" s="1" t="s">
        <v>2370</v>
      </c>
      <c r="G218" s="1" t="s">
        <v>74</v>
      </c>
      <c r="H218" s="1" t="s">
        <v>74</v>
      </c>
      <c r="I218" s="1" t="s">
        <v>2371</v>
      </c>
      <c r="J218" s="1" t="s">
        <v>2372</v>
      </c>
      <c r="K218" s="1" t="s">
        <v>74</v>
      </c>
      <c r="L218" s="1" t="s">
        <v>74</v>
      </c>
      <c r="M218" s="1" t="s">
        <v>74</v>
      </c>
      <c r="N218" s="1" t="s">
        <v>74</v>
      </c>
      <c r="O218" s="1" t="s">
        <v>74</v>
      </c>
      <c r="P218" s="1" t="s">
        <v>74</v>
      </c>
      <c r="Q218" s="1" t="s">
        <v>74</v>
      </c>
      <c r="R218" s="1" t="s">
        <v>74</v>
      </c>
      <c r="S218" s="1" t="s">
        <v>74</v>
      </c>
      <c r="T218" s="1" t="s">
        <v>74</v>
      </c>
      <c r="U218" s="1" t="s">
        <v>74</v>
      </c>
      <c r="V218" s="1" t="s">
        <v>2373</v>
      </c>
      <c r="W218" s="1" t="s">
        <v>74</v>
      </c>
      <c r="X218" s="1" t="s">
        <v>74</v>
      </c>
      <c r="Y218" s="1" t="s">
        <v>74</v>
      </c>
      <c r="Z218" s="1" t="s">
        <v>74</v>
      </c>
      <c r="AA218" s="1" t="s">
        <v>2374</v>
      </c>
      <c r="AB218" s="1" t="s">
        <v>2375</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74</v>
      </c>
      <c r="AP218" s="1" t="s">
        <v>2376</v>
      </c>
      <c r="AQ218" s="1" t="s">
        <v>74</v>
      </c>
      <c r="AR218" s="1" t="s">
        <v>74</v>
      </c>
      <c r="AS218" s="1" t="s">
        <v>74</v>
      </c>
      <c r="AT218" s="1" t="s">
        <v>282</v>
      </c>
      <c r="AU218" s="1">
        <v>2021.0</v>
      </c>
      <c r="AV218" s="1">
        <v>9.0</v>
      </c>
      <c r="AW218" s="1">
        <v>8.0</v>
      </c>
      <c r="AX218" s="1" t="s">
        <v>74</v>
      </c>
      <c r="AY218" s="1" t="s">
        <v>74</v>
      </c>
      <c r="AZ218" s="1" t="s">
        <v>74</v>
      </c>
      <c r="BA218" s="1" t="s">
        <v>74</v>
      </c>
      <c r="BB218" s="1" t="s">
        <v>74</v>
      </c>
      <c r="BC218" s="1" t="s">
        <v>74</v>
      </c>
      <c r="BD218" s="1">
        <v>229.0</v>
      </c>
      <c r="BE218" s="1" t="s">
        <v>2377</v>
      </c>
      <c r="BF218" s="2" t="str">
        <f>HYPERLINK("http://dx.doi.org/10.3390/chemosensors9080229","http://dx.doi.org/10.3390/chemosensors9080229")</f>
        <v>http://dx.doi.org/10.3390/chemosensors9080229</v>
      </c>
      <c r="BG218" s="1" t="s">
        <v>74</v>
      </c>
      <c r="BH218" s="1" t="s">
        <v>74</v>
      </c>
      <c r="BI218" s="1" t="s">
        <v>74</v>
      </c>
      <c r="BJ218" s="1" t="s">
        <v>74</v>
      </c>
      <c r="BK218" s="1" t="s">
        <v>74</v>
      </c>
      <c r="BL218" s="1" t="s">
        <v>74</v>
      </c>
      <c r="BM218" s="1" t="s">
        <v>74</v>
      </c>
      <c r="BN218" s="1" t="s">
        <v>74</v>
      </c>
      <c r="BO218" s="1" t="s">
        <v>74</v>
      </c>
      <c r="BP218" s="1" t="s">
        <v>74</v>
      </c>
      <c r="BQ218" s="1" t="s">
        <v>74</v>
      </c>
      <c r="BR218" s="1" t="s">
        <v>74</v>
      </c>
      <c r="BS218" s="1" t="s">
        <v>2378</v>
      </c>
      <c r="BT218" s="1" t="str">
        <f>HYPERLINK("https%3A%2F%2Fwww.webofscience.com%2Fwos%2Fwoscc%2Ffull-record%2FWOS:000688863600001","View Full Record in Web of Science")</f>
        <v>View Full Record in Web of Science</v>
      </c>
    </row>
    <row r="219" ht="12.75" customHeight="1">
      <c r="A219" s="1" t="s">
        <v>72</v>
      </c>
      <c r="B219" s="1" t="s">
        <v>2379</v>
      </c>
      <c r="C219" s="1" t="s">
        <v>74</v>
      </c>
      <c r="D219" s="1" t="s">
        <v>74</v>
      </c>
      <c r="E219" s="1" t="s">
        <v>74</v>
      </c>
      <c r="F219" s="1" t="s">
        <v>2380</v>
      </c>
      <c r="G219" s="1" t="s">
        <v>74</v>
      </c>
      <c r="H219" s="1" t="s">
        <v>74</v>
      </c>
      <c r="I219" s="1" t="s">
        <v>2381</v>
      </c>
      <c r="J219" s="1" t="s">
        <v>1831</v>
      </c>
      <c r="K219" s="1" t="s">
        <v>74</v>
      </c>
      <c r="L219" s="1" t="s">
        <v>74</v>
      </c>
      <c r="M219" s="1" t="s">
        <v>74</v>
      </c>
      <c r="N219" s="1" t="s">
        <v>74</v>
      </c>
      <c r="O219" s="1" t="s">
        <v>74</v>
      </c>
      <c r="P219" s="1" t="s">
        <v>74</v>
      </c>
      <c r="Q219" s="1" t="s">
        <v>74</v>
      </c>
      <c r="R219" s="1" t="s">
        <v>74</v>
      </c>
      <c r="S219" s="1" t="s">
        <v>74</v>
      </c>
      <c r="T219" s="1" t="s">
        <v>74</v>
      </c>
      <c r="U219" s="1" t="s">
        <v>74</v>
      </c>
      <c r="V219" s="1" t="s">
        <v>2382</v>
      </c>
      <c r="W219" s="1" t="s">
        <v>74</v>
      </c>
      <c r="X219" s="1" t="s">
        <v>74</v>
      </c>
      <c r="Y219" s="1" t="s">
        <v>74</v>
      </c>
      <c r="Z219" s="1" t="s">
        <v>74</v>
      </c>
      <c r="AA219" s="1" t="s">
        <v>2383</v>
      </c>
      <c r="AB219" s="1" t="s">
        <v>2384</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1835</v>
      </c>
      <c r="AP219" s="1" t="s">
        <v>1836</v>
      </c>
      <c r="AQ219" s="1" t="s">
        <v>74</v>
      </c>
      <c r="AR219" s="1" t="s">
        <v>74</v>
      </c>
      <c r="AS219" s="1" t="s">
        <v>74</v>
      </c>
      <c r="AT219" s="1" t="s">
        <v>2385</v>
      </c>
      <c r="AU219" s="1">
        <v>2021.0</v>
      </c>
      <c r="AV219" s="1">
        <v>299.0</v>
      </c>
      <c r="AW219" s="1" t="s">
        <v>74</v>
      </c>
      <c r="AX219" s="1" t="s">
        <v>74</v>
      </c>
      <c r="AY219" s="1" t="s">
        <v>74</v>
      </c>
      <c r="AZ219" s="1" t="s">
        <v>74</v>
      </c>
      <c r="BA219" s="1" t="s">
        <v>74</v>
      </c>
      <c r="BB219" s="1">
        <v>256.0</v>
      </c>
      <c r="BC219" s="1">
        <v>283.0</v>
      </c>
      <c r="BD219" s="1" t="s">
        <v>74</v>
      </c>
      <c r="BE219" s="1" t="s">
        <v>2386</v>
      </c>
      <c r="BF219" s="2" t="str">
        <f>HYPERLINK("http://dx.doi.org/10.1016/j.jde.2021.07.012","http://dx.doi.org/10.1016/j.jde.2021.07.012")</f>
        <v>http://dx.doi.org/10.1016/j.jde.2021.07.012</v>
      </c>
      <c r="BG219" s="1" t="s">
        <v>74</v>
      </c>
      <c r="BH219" s="1" t="s">
        <v>2387</v>
      </c>
      <c r="BI219" s="1" t="s">
        <v>74</v>
      </c>
      <c r="BJ219" s="1" t="s">
        <v>74</v>
      </c>
      <c r="BK219" s="1" t="s">
        <v>74</v>
      </c>
      <c r="BL219" s="1" t="s">
        <v>74</v>
      </c>
      <c r="BM219" s="1" t="s">
        <v>74</v>
      </c>
      <c r="BN219" s="1" t="s">
        <v>74</v>
      </c>
      <c r="BO219" s="1" t="s">
        <v>74</v>
      </c>
      <c r="BP219" s="1" t="s">
        <v>74</v>
      </c>
      <c r="BQ219" s="1" t="s">
        <v>74</v>
      </c>
      <c r="BR219" s="1" t="s">
        <v>74</v>
      </c>
      <c r="BS219" s="1" t="s">
        <v>2388</v>
      </c>
      <c r="BT219" s="1" t="str">
        <f>HYPERLINK("https%3A%2F%2Fwww.webofscience.com%2Fwos%2Fwoscc%2Ffull-record%2FWOS:000686058600009","View Full Record in Web of Science")</f>
        <v>View Full Record in Web of Science</v>
      </c>
    </row>
    <row r="220" ht="12.75" customHeight="1">
      <c r="A220" s="1" t="s">
        <v>72</v>
      </c>
      <c r="B220" s="1" t="s">
        <v>2389</v>
      </c>
      <c r="C220" s="1" t="s">
        <v>74</v>
      </c>
      <c r="D220" s="1" t="s">
        <v>74</v>
      </c>
      <c r="E220" s="1" t="s">
        <v>74</v>
      </c>
      <c r="F220" s="1" t="s">
        <v>2390</v>
      </c>
      <c r="G220" s="1" t="s">
        <v>74</v>
      </c>
      <c r="H220" s="1" t="s">
        <v>74</v>
      </c>
      <c r="I220" s="1" t="s">
        <v>2391</v>
      </c>
      <c r="J220" s="1" t="s">
        <v>2392</v>
      </c>
      <c r="K220" s="1" t="s">
        <v>74</v>
      </c>
      <c r="L220" s="1" t="s">
        <v>74</v>
      </c>
      <c r="M220" s="1" t="s">
        <v>74</v>
      </c>
      <c r="N220" s="1" t="s">
        <v>74</v>
      </c>
      <c r="O220" s="1" t="s">
        <v>74</v>
      </c>
      <c r="P220" s="1" t="s">
        <v>74</v>
      </c>
      <c r="Q220" s="1" t="s">
        <v>74</v>
      </c>
      <c r="R220" s="1" t="s">
        <v>74</v>
      </c>
      <c r="S220" s="1" t="s">
        <v>74</v>
      </c>
      <c r="T220" s="1" t="s">
        <v>74</v>
      </c>
      <c r="U220" s="1" t="s">
        <v>74</v>
      </c>
      <c r="V220" s="1" t="s">
        <v>2393</v>
      </c>
      <c r="W220" s="1" t="s">
        <v>74</v>
      </c>
      <c r="X220" s="1" t="s">
        <v>74</v>
      </c>
      <c r="Y220" s="1" t="s">
        <v>74</v>
      </c>
      <c r="Z220" s="1" t="s">
        <v>74</v>
      </c>
      <c r="AA220" s="1" t="s">
        <v>2394</v>
      </c>
      <c r="AB220" s="1" t="s">
        <v>74</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2395</v>
      </c>
      <c r="AP220" s="1" t="s">
        <v>74</v>
      </c>
      <c r="AQ220" s="1" t="s">
        <v>74</v>
      </c>
      <c r="AR220" s="1" t="s">
        <v>74</v>
      </c>
      <c r="AS220" s="1" t="s">
        <v>74</v>
      </c>
      <c r="AT220" s="1" t="s">
        <v>271</v>
      </c>
      <c r="AU220" s="1">
        <v>2021.0</v>
      </c>
      <c r="AV220" s="1">
        <v>29.0</v>
      </c>
      <c r="AW220" s="1" t="s">
        <v>74</v>
      </c>
      <c r="AX220" s="1" t="s">
        <v>74</v>
      </c>
      <c r="AY220" s="1" t="s">
        <v>74</v>
      </c>
      <c r="AZ220" s="1" t="s">
        <v>74</v>
      </c>
      <c r="BA220" s="1" t="s">
        <v>74</v>
      </c>
      <c r="BB220" s="1" t="s">
        <v>74</v>
      </c>
      <c r="BC220" s="1" t="s">
        <v>74</v>
      </c>
      <c r="BD220" s="1" t="s">
        <v>2396</v>
      </c>
      <c r="BE220" s="1" t="s">
        <v>2397</v>
      </c>
      <c r="BF220" s="2" t="str">
        <f>HYPERLINK("http://dx.doi.org/10.1016/j.susmat.2021.e00320","http://dx.doi.org/10.1016/j.susmat.2021.e00320")</f>
        <v>http://dx.doi.org/10.1016/j.susmat.2021.e00320</v>
      </c>
      <c r="BG220" s="1" t="s">
        <v>74</v>
      </c>
      <c r="BH220" s="1" t="s">
        <v>2387</v>
      </c>
      <c r="BI220" s="1" t="s">
        <v>74</v>
      </c>
      <c r="BJ220" s="1" t="s">
        <v>74</v>
      </c>
      <c r="BK220" s="1" t="s">
        <v>74</v>
      </c>
      <c r="BL220" s="1" t="s">
        <v>74</v>
      </c>
      <c r="BM220" s="1" t="s">
        <v>74</v>
      </c>
      <c r="BN220" s="1" t="s">
        <v>74</v>
      </c>
      <c r="BO220" s="1" t="s">
        <v>74</v>
      </c>
      <c r="BP220" s="1" t="s">
        <v>74</v>
      </c>
      <c r="BQ220" s="1" t="s">
        <v>74</v>
      </c>
      <c r="BR220" s="1" t="s">
        <v>74</v>
      </c>
      <c r="BS220" s="1" t="s">
        <v>2398</v>
      </c>
      <c r="BT220" s="1" t="str">
        <f>HYPERLINK("https%3A%2F%2Fwww.webofscience.com%2Fwos%2Fwoscc%2Ffull-record%2FWOS:000692534100006","View Full Record in Web of Science")</f>
        <v>View Full Record in Web of Science</v>
      </c>
    </row>
    <row r="221" ht="12.75" customHeight="1">
      <c r="A221" s="1" t="s">
        <v>72</v>
      </c>
      <c r="B221" s="1" t="s">
        <v>2399</v>
      </c>
      <c r="C221" s="1" t="s">
        <v>74</v>
      </c>
      <c r="D221" s="1" t="s">
        <v>74</v>
      </c>
      <c r="E221" s="1" t="s">
        <v>74</v>
      </c>
      <c r="F221" s="1" t="s">
        <v>2400</v>
      </c>
      <c r="G221" s="1" t="s">
        <v>74</v>
      </c>
      <c r="H221" s="1" t="s">
        <v>74</v>
      </c>
      <c r="I221" s="1" t="s">
        <v>2401</v>
      </c>
      <c r="J221" s="1" t="s">
        <v>2402</v>
      </c>
      <c r="K221" s="1" t="s">
        <v>74</v>
      </c>
      <c r="L221" s="1" t="s">
        <v>74</v>
      </c>
      <c r="M221" s="1" t="s">
        <v>74</v>
      </c>
      <c r="N221" s="1" t="s">
        <v>74</v>
      </c>
      <c r="O221" s="1" t="s">
        <v>74</v>
      </c>
      <c r="P221" s="1" t="s">
        <v>74</v>
      </c>
      <c r="Q221" s="1" t="s">
        <v>74</v>
      </c>
      <c r="R221" s="1" t="s">
        <v>74</v>
      </c>
      <c r="S221" s="1" t="s">
        <v>74</v>
      </c>
      <c r="T221" s="1" t="s">
        <v>74</v>
      </c>
      <c r="U221" s="1" t="s">
        <v>74</v>
      </c>
      <c r="V221" s="1" t="s">
        <v>2403</v>
      </c>
      <c r="W221" s="1" t="s">
        <v>74</v>
      </c>
      <c r="X221" s="1" t="s">
        <v>74</v>
      </c>
      <c r="Y221" s="1" t="s">
        <v>74</v>
      </c>
      <c r="Z221" s="1" t="s">
        <v>74</v>
      </c>
      <c r="AA221" s="1" t="s">
        <v>2404</v>
      </c>
      <c r="AB221" s="1" t="s">
        <v>2405</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2406</v>
      </c>
      <c r="AP221" s="1" t="s">
        <v>2407</v>
      </c>
      <c r="AQ221" s="1" t="s">
        <v>74</v>
      </c>
      <c r="AR221" s="1" t="s">
        <v>74</v>
      </c>
      <c r="AS221" s="1" t="s">
        <v>74</v>
      </c>
      <c r="AT221" s="1" t="s">
        <v>94</v>
      </c>
      <c r="AU221" s="1">
        <v>2021.0</v>
      </c>
      <c r="AV221" s="1">
        <v>22.0</v>
      </c>
      <c r="AW221" s="1">
        <v>11.0</v>
      </c>
      <c r="AX221" s="1" t="s">
        <v>74</v>
      </c>
      <c r="AY221" s="1" t="s">
        <v>74</v>
      </c>
      <c r="AZ221" s="1" t="s">
        <v>74</v>
      </c>
      <c r="BA221" s="1" t="s">
        <v>74</v>
      </c>
      <c r="BB221" s="1" t="s">
        <v>74</v>
      </c>
      <c r="BC221" s="1" t="s">
        <v>74</v>
      </c>
      <c r="BD221" s="1">
        <v>5472.0</v>
      </c>
      <c r="BE221" s="1" t="s">
        <v>2408</v>
      </c>
      <c r="BF221" s="2" t="str">
        <f>HYPERLINK("http://dx.doi.org/10.3390/ijms22115472","http://dx.doi.org/10.3390/ijms22115472")</f>
        <v>http://dx.doi.org/10.3390/ijms22115472</v>
      </c>
      <c r="BG221" s="1" t="s">
        <v>74</v>
      </c>
      <c r="BH221" s="1" t="s">
        <v>74</v>
      </c>
      <c r="BI221" s="1" t="s">
        <v>74</v>
      </c>
      <c r="BJ221" s="1" t="s">
        <v>74</v>
      </c>
      <c r="BK221" s="1" t="s">
        <v>74</v>
      </c>
      <c r="BL221" s="1" t="s">
        <v>74</v>
      </c>
      <c r="BM221" s="1" t="s">
        <v>74</v>
      </c>
      <c r="BN221" s="1">
        <v>3.4067346E7</v>
      </c>
      <c r="BO221" s="1" t="s">
        <v>74</v>
      </c>
      <c r="BP221" s="1" t="s">
        <v>74</v>
      </c>
      <c r="BQ221" s="1" t="s">
        <v>74</v>
      </c>
      <c r="BR221" s="1" t="s">
        <v>74</v>
      </c>
      <c r="BS221" s="1" t="s">
        <v>2409</v>
      </c>
      <c r="BT221" s="1" t="str">
        <f>HYPERLINK("https%3A%2F%2Fwww.webofscience.com%2Fwos%2Fwoscc%2Ffull-record%2FWOS:000660238900001","View Full Record in Web of Science")</f>
        <v>View Full Record in Web of Science</v>
      </c>
    </row>
    <row r="222" ht="12.75" customHeight="1">
      <c r="A222" s="1" t="s">
        <v>72</v>
      </c>
      <c r="B222" s="1" t="s">
        <v>2410</v>
      </c>
      <c r="C222" s="1" t="s">
        <v>74</v>
      </c>
      <c r="D222" s="1" t="s">
        <v>74</v>
      </c>
      <c r="E222" s="1" t="s">
        <v>74</v>
      </c>
      <c r="F222" s="1" t="s">
        <v>2411</v>
      </c>
      <c r="G222" s="1" t="s">
        <v>74</v>
      </c>
      <c r="H222" s="1" t="s">
        <v>74</v>
      </c>
      <c r="I222" s="1" t="s">
        <v>2412</v>
      </c>
      <c r="J222" s="1" t="s">
        <v>2413</v>
      </c>
      <c r="K222" s="1" t="s">
        <v>74</v>
      </c>
      <c r="L222" s="1" t="s">
        <v>74</v>
      </c>
      <c r="M222" s="1" t="s">
        <v>74</v>
      </c>
      <c r="N222" s="1" t="s">
        <v>74</v>
      </c>
      <c r="O222" s="1" t="s">
        <v>74</v>
      </c>
      <c r="P222" s="1" t="s">
        <v>74</v>
      </c>
      <c r="Q222" s="1" t="s">
        <v>74</v>
      </c>
      <c r="R222" s="1" t="s">
        <v>74</v>
      </c>
      <c r="S222" s="1" t="s">
        <v>74</v>
      </c>
      <c r="T222" s="1" t="s">
        <v>74</v>
      </c>
      <c r="U222" s="1" t="s">
        <v>74</v>
      </c>
      <c r="V222" s="1" t="s">
        <v>2414</v>
      </c>
      <c r="W222" s="1" t="s">
        <v>74</v>
      </c>
      <c r="X222" s="1" t="s">
        <v>74</v>
      </c>
      <c r="Y222" s="1" t="s">
        <v>74</v>
      </c>
      <c r="Z222" s="1" t="s">
        <v>74</v>
      </c>
      <c r="AA222" s="1" t="s">
        <v>2415</v>
      </c>
      <c r="AB222" s="1" t="s">
        <v>2416</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2417</v>
      </c>
      <c r="AP222" s="1" t="s">
        <v>2418</v>
      </c>
      <c r="AQ222" s="1" t="s">
        <v>74</v>
      </c>
      <c r="AR222" s="1" t="s">
        <v>74</v>
      </c>
      <c r="AS222" s="1" t="s">
        <v>74</v>
      </c>
      <c r="AT222" s="1" t="s">
        <v>82</v>
      </c>
      <c r="AU222" s="1">
        <v>2021.0</v>
      </c>
      <c r="AV222" s="1">
        <v>35.0</v>
      </c>
      <c r="AW222" s="1">
        <v>5.0</v>
      </c>
      <c r="AX222" s="1" t="s">
        <v>74</v>
      </c>
      <c r="AY222" s="1" t="s">
        <v>74</v>
      </c>
      <c r="AZ222" s="1" t="s">
        <v>74</v>
      </c>
      <c r="BA222" s="1" t="s">
        <v>74</v>
      </c>
      <c r="BB222" s="1">
        <v>1663.0</v>
      </c>
      <c r="BC222" s="1">
        <v>1672.0</v>
      </c>
      <c r="BD222" s="1" t="s">
        <v>74</v>
      </c>
      <c r="BE222" s="1" t="s">
        <v>2419</v>
      </c>
      <c r="BF222" s="2" t="str">
        <f>HYPERLINK("http://dx.doi.org/10.1007/s00468-021-02144-5","http://dx.doi.org/10.1007/s00468-021-02144-5")</f>
        <v>http://dx.doi.org/10.1007/s00468-021-02144-5</v>
      </c>
      <c r="BG222" s="1" t="s">
        <v>74</v>
      </c>
      <c r="BH222" s="1" t="s">
        <v>2420</v>
      </c>
      <c r="BI222" s="1" t="s">
        <v>74</v>
      </c>
      <c r="BJ222" s="1" t="s">
        <v>74</v>
      </c>
      <c r="BK222" s="1" t="s">
        <v>74</v>
      </c>
      <c r="BL222" s="1" t="s">
        <v>74</v>
      </c>
      <c r="BM222" s="1" t="s">
        <v>74</v>
      </c>
      <c r="BN222" s="1" t="s">
        <v>74</v>
      </c>
      <c r="BO222" s="1" t="s">
        <v>74</v>
      </c>
      <c r="BP222" s="1" t="s">
        <v>74</v>
      </c>
      <c r="BQ222" s="1" t="s">
        <v>74</v>
      </c>
      <c r="BR222" s="1" t="s">
        <v>74</v>
      </c>
      <c r="BS222" s="1" t="s">
        <v>2421</v>
      </c>
      <c r="BT222" s="1" t="str">
        <f>HYPERLINK("https%3A%2F%2Fwww.webofscience.com%2Fwos%2Fwoscc%2Ffull-record%2FWOS:000655941200002","View Full Record in Web of Science")</f>
        <v>View Full Record in Web of Science</v>
      </c>
    </row>
    <row r="223" ht="12.75" customHeight="1">
      <c r="A223" s="1" t="s">
        <v>72</v>
      </c>
      <c r="B223" s="1" t="s">
        <v>2422</v>
      </c>
      <c r="C223" s="1" t="s">
        <v>74</v>
      </c>
      <c r="D223" s="1" t="s">
        <v>74</v>
      </c>
      <c r="E223" s="1" t="s">
        <v>74</v>
      </c>
      <c r="F223" s="1" t="s">
        <v>2423</v>
      </c>
      <c r="G223" s="1" t="s">
        <v>74</v>
      </c>
      <c r="H223" s="1" t="s">
        <v>74</v>
      </c>
      <c r="I223" s="1" t="s">
        <v>2424</v>
      </c>
      <c r="J223" s="1" t="s">
        <v>675</v>
      </c>
      <c r="K223" s="1" t="s">
        <v>74</v>
      </c>
      <c r="L223" s="1" t="s">
        <v>74</v>
      </c>
      <c r="M223" s="1" t="s">
        <v>74</v>
      </c>
      <c r="N223" s="1" t="s">
        <v>74</v>
      </c>
      <c r="O223" s="1" t="s">
        <v>74</v>
      </c>
      <c r="P223" s="1" t="s">
        <v>74</v>
      </c>
      <c r="Q223" s="1" t="s">
        <v>74</v>
      </c>
      <c r="R223" s="1" t="s">
        <v>74</v>
      </c>
      <c r="S223" s="1" t="s">
        <v>74</v>
      </c>
      <c r="T223" s="1" t="s">
        <v>74</v>
      </c>
      <c r="U223" s="1" t="s">
        <v>74</v>
      </c>
      <c r="V223" s="1" t="s">
        <v>74</v>
      </c>
      <c r="W223" s="1" t="s">
        <v>74</v>
      </c>
      <c r="X223" s="1" t="s">
        <v>74</v>
      </c>
      <c r="Y223" s="1" t="s">
        <v>74</v>
      </c>
      <c r="Z223" s="1" t="s">
        <v>74</v>
      </c>
      <c r="AA223" s="1" t="s">
        <v>2425</v>
      </c>
      <c r="AB223" s="1" t="s">
        <v>74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679</v>
      </c>
      <c r="AP223" s="1" t="s">
        <v>680</v>
      </c>
      <c r="AQ223" s="1" t="s">
        <v>74</v>
      </c>
      <c r="AR223" s="1" t="s">
        <v>74</v>
      </c>
      <c r="AS223" s="1" t="s">
        <v>74</v>
      </c>
      <c r="AT223" s="1" t="s">
        <v>271</v>
      </c>
      <c r="AU223" s="1">
        <v>2021.0</v>
      </c>
      <c r="AV223" s="1">
        <v>279.0</v>
      </c>
      <c r="AW223" s="1" t="s">
        <v>74</v>
      </c>
      <c r="AX223" s="1" t="s">
        <v>74</v>
      </c>
      <c r="AY223" s="1" t="s">
        <v>74</v>
      </c>
      <c r="AZ223" s="1" t="s">
        <v>74</v>
      </c>
      <c r="BA223" s="1" t="s">
        <v>74</v>
      </c>
      <c r="BB223" s="1" t="s">
        <v>74</v>
      </c>
      <c r="BC223" s="1" t="s">
        <v>74</v>
      </c>
      <c r="BD223" s="1">
        <v>130581.0</v>
      </c>
      <c r="BE223" s="1" t="s">
        <v>2426</v>
      </c>
      <c r="BF223" s="2" t="str">
        <f>HYPERLINK("http://dx.doi.org/10.1016/j.chemosphere.2021.130581","http://dx.doi.org/10.1016/j.chemosphere.2021.130581")</f>
        <v>http://dx.doi.org/10.1016/j.chemosphere.2021.130581</v>
      </c>
      <c r="BG223" s="1" t="s">
        <v>74</v>
      </c>
      <c r="BH223" s="1" t="s">
        <v>2427</v>
      </c>
      <c r="BI223" s="1" t="s">
        <v>74</v>
      </c>
      <c r="BJ223" s="1" t="s">
        <v>74</v>
      </c>
      <c r="BK223" s="1" t="s">
        <v>74</v>
      </c>
      <c r="BL223" s="1" t="s">
        <v>74</v>
      </c>
      <c r="BM223" s="1" t="s">
        <v>74</v>
      </c>
      <c r="BN223" s="1">
        <v>3.413441E7</v>
      </c>
      <c r="BO223" s="1" t="s">
        <v>74</v>
      </c>
      <c r="BP223" s="1" t="s">
        <v>74</v>
      </c>
      <c r="BQ223" s="1" t="s">
        <v>74</v>
      </c>
      <c r="BR223" s="1" t="s">
        <v>74</v>
      </c>
      <c r="BS223" s="1" t="s">
        <v>2428</v>
      </c>
      <c r="BT223" s="1" t="str">
        <f>HYPERLINK("https%3A%2F%2Fwww.webofscience.com%2Fwos%2Fwoscc%2Ffull-record%2FWOS:000659971200097","View Full Record in Web of Science")</f>
        <v>View Full Record in Web of Science</v>
      </c>
    </row>
    <row r="224" ht="12.75" customHeight="1">
      <c r="A224" s="1" t="s">
        <v>72</v>
      </c>
      <c r="B224" s="1" t="s">
        <v>2429</v>
      </c>
      <c r="C224" s="1" t="s">
        <v>74</v>
      </c>
      <c r="D224" s="1" t="s">
        <v>74</v>
      </c>
      <c r="E224" s="1" t="s">
        <v>74</v>
      </c>
      <c r="F224" s="1" t="s">
        <v>2430</v>
      </c>
      <c r="G224" s="1" t="s">
        <v>74</v>
      </c>
      <c r="H224" s="1" t="s">
        <v>74</v>
      </c>
      <c r="I224" s="1" t="s">
        <v>2431</v>
      </c>
      <c r="J224" s="1" t="s">
        <v>2432</v>
      </c>
      <c r="K224" s="1" t="s">
        <v>74</v>
      </c>
      <c r="L224" s="1" t="s">
        <v>74</v>
      </c>
      <c r="M224" s="1" t="s">
        <v>74</v>
      </c>
      <c r="N224" s="1" t="s">
        <v>74</v>
      </c>
      <c r="O224" s="1" t="s">
        <v>74</v>
      </c>
      <c r="P224" s="1" t="s">
        <v>74</v>
      </c>
      <c r="Q224" s="1" t="s">
        <v>74</v>
      </c>
      <c r="R224" s="1" t="s">
        <v>74</v>
      </c>
      <c r="S224" s="1" t="s">
        <v>74</v>
      </c>
      <c r="T224" s="1" t="s">
        <v>74</v>
      </c>
      <c r="U224" s="1" t="s">
        <v>74</v>
      </c>
      <c r="V224" s="1" t="s">
        <v>2433</v>
      </c>
      <c r="W224" s="1" t="s">
        <v>74</v>
      </c>
      <c r="X224" s="1" t="s">
        <v>74</v>
      </c>
      <c r="Y224" s="1" t="s">
        <v>74</v>
      </c>
      <c r="Z224" s="1" t="s">
        <v>74</v>
      </c>
      <c r="AA224" s="1" t="s">
        <v>2434</v>
      </c>
      <c r="AB224" s="1" t="s">
        <v>2435</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2436</v>
      </c>
      <c r="AP224" s="1" t="s">
        <v>2437</v>
      </c>
      <c r="AQ224" s="1" t="s">
        <v>74</v>
      </c>
      <c r="AR224" s="1" t="s">
        <v>74</v>
      </c>
      <c r="AS224" s="1" t="s">
        <v>74</v>
      </c>
      <c r="AT224" s="1" t="s">
        <v>177</v>
      </c>
      <c r="AU224" s="1">
        <v>2021.0</v>
      </c>
      <c r="AV224" s="1">
        <v>126.0</v>
      </c>
      <c r="AW224" s="1" t="s">
        <v>74</v>
      </c>
      <c r="AX224" s="1" t="s">
        <v>74</v>
      </c>
      <c r="AY224" s="1" t="s">
        <v>74</v>
      </c>
      <c r="AZ224" s="1" t="s">
        <v>74</v>
      </c>
      <c r="BA224" s="1" t="s">
        <v>74</v>
      </c>
      <c r="BB224" s="1" t="s">
        <v>74</v>
      </c>
      <c r="BC224" s="1" t="s">
        <v>74</v>
      </c>
      <c r="BD224" s="1">
        <v>107634.0</v>
      </c>
      <c r="BE224" s="1" t="s">
        <v>2438</v>
      </c>
      <c r="BF224" s="2" t="str">
        <f>HYPERLINK("http://dx.doi.org/10.1016/j.ecolind.2021.107634","http://dx.doi.org/10.1016/j.ecolind.2021.107634")</f>
        <v>http://dx.doi.org/10.1016/j.ecolind.2021.107634</v>
      </c>
      <c r="BG224" s="1" t="s">
        <v>74</v>
      </c>
      <c r="BH224" s="1" t="s">
        <v>2439</v>
      </c>
      <c r="BI224" s="1" t="s">
        <v>74</v>
      </c>
      <c r="BJ224" s="1" t="s">
        <v>74</v>
      </c>
      <c r="BK224" s="1" t="s">
        <v>74</v>
      </c>
      <c r="BL224" s="1" t="s">
        <v>74</v>
      </c>
      <c r="BM224" s="1" t="s">
        <v>74</v>
      </c>
      <c r="BN224" s="1" t="s">
        <v>74</v>
      </c>
      <c r="BO224" s="1" t="s">
        <v>74</v>
      </c>
      <c r="BP224" s="1" t="s">
        <v>74</v>
      </c>
      <c r="BQ224" s="1" t="s">
        <v>74</v>
      </c>
      <c r="BR224" s="1" t="s">
        <v>74</v>
      </c>
      <c r="BS224" s="1" t="s">
        <v>2440</v>
      </c>
      <c r="BT224" s="1" t="str">
        <f>HYPERLINK("https%3A%2F%2Fwww.webofscience.com%2Fwos%2Fwoscc%2Ffull-record%2FWOS:000647802900002","View Full Record in Web of Science")</f>
        <v>View Full Record in Web of Science</v>
      </c>
    </row>
    <row r="225" ht="12.75" customHeight="1">
      <c r="A225" s="1" t="s">
        <v>207</v>
      </c>
      <c r="B225" s="1" t="s">
        <v>2441</v>
      </c>
      <c r="C225" s="1" t="s">
        <v>74</v>
      </c>
      <c r="D225" s="1" t="s">
        <v>74</v>
      </c>
      <c r="E225" s="1" t="s">
        <v>224</v>
      </c>
      <c r="F225" s="1" t="s">
        <v>2442</v>
      </c>
      <c r="G225" s="1" t="s">
        <v>74</v>
      </c>
      <c r="H225" s="1" t="s">
        <v>74</v>
      </c>
      <c r="I225" s="1" t="s">
        <v>2443</v>
      </c>
      <c r="J225" s="1" t="s">
        <v>2444</v>
      </c>
      <c r="K225" s="1" t="s">
        <v>2445</v>
      </c>
      <c r="L225" s="1" t="s">
        <v>74</v>
      </c>
      <c r="M225" s="1" t="s">
        <v>74</v>
      </c>
      <c r="N225" s="1" t="s">
        <v>74</v>
      </c>
      <c r="O225" s="1" t="s">
        <v>2446</v>
      </c>
      <c r="P225" s="1" t="s">
        <v>2447</v>
      </c>
      <c r="Q225" s="1" t="s">
        <v>1799</v>
      </c>
      <c r="R225" s="1" t="s">
        <v>2448</v>
      </c>
      <c r="S225" s="1" t="s">
        <v>74</v>
      </c>
      <c r="T225" s="1" t="s">
        <v>74</v>
      </c>
      <c r="U225" s="1" t="s">
        <v>74</v>
      </c>
      <c r="V225" s="1" t="s">
        <v>2449</v>
      </c>
      <c r="W225" s="1" t="s">
        <v>74</v>
      </c>
      <c r="X225" s="1" t="s">
        <v>74</v>
      </c>
      <c r="Y225" s="1" t="s">
        <v>74</v>
      </c>
      <c r="Z225" s="1" t="s">
        <v>74</v>
      </c>
      <c r="AA225" s="1" t="s">
        <v>2450</v>
      </c>
      <c r="AB225" s="1" t="s">
        <v>2451</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2452</v>
      </c>
      <c r="AP225" s="1" t="s">
        <v>2453</v>
      </c>
      <c r="AQ225" s="1" t="s">
        <v>2454</v>
      </c>
      <c r="AR225" s="1" t="s">
        <v>74</v>
      </c>
      <c r="AS225" s="1" t="s">
        <v>74</v>
      </c>
      <c r="AT225" s="1" t="s">
        <v>74</v>
      </c>
      <c r="AU225" s="1">
        <v>2021.0</v>
      </c>
      <c r="AV225" s="1" t="s">
        <v>74</v>
      </c>
      <c r="AW225" s="1" t="s">
        <v>74</v>
      </c>
      <c r="AX225" s="1" t="s">
        <v>74</v>
      </c>
      <c r="AY225" s="1" t="s">
        <v>74</v>
      </c>
      <c r="AZ225" s="1" t="s">
        <v>74</v>
      </c>
      <c r="BA225" s="1" t="s">
        <v>74</v>
      </c>
      <c r="BB225" s="1">
        <v>4738.0</v>
      </c>
      <c r="BC225" s="1">
        <v>4742.0</v>
      </c>
      <c r="BD225" s="1" t="s">
        <v>74</v>
      </c>
      <c r="BE225" s="1" t="s">
        <v>2455</v>
      </c>
      <c r="BF225" s="2" t="str">
        <f>HYPERLINK("http://dx.doi.org/10.1109/CDC45484.2021.9682819","http://dx.doi.org/10.1109/CDC45484.2021.9682819")</f>
        <v>http://dx.doi.org/10.1109/CDC45484.2021.9682819</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2456</v>
      </c>
      <c r="BT225" s="1" t="str">
        <f>HYPERLINK("https%3A%2F%2Fwww.webofscience.com%2Fwos%2Fwoscc%2Ffull-record%2FWOS:000781990304026","View Full Record in Web of Science")</f>
        <v>View Full Record in Web of Science</v>
      </c>
    </row>
    <row r="226" ht="12.75" customHeight="1">
      <c r="A226" s="1" t="s">
        <v>72</v>
      </c>
      <c r="B226" s="1" t="s">
        <v>2457</v>
      </c>
      <c r="C226" s="1" t="s">
        <v>74</v>
      </c>
      <c r="D226" s="1" t="s">
        <v>74</v>
      </c>
      <c r="E226" s="1" t="s">
        <v>74</v>
      </c>
      <c r="F226" s="1" t="s">
        <v>2458</v>
      </c>
      <c r="G226" s="1" t="s">
        <v>74</v>
      </c>
      <c r="H226" s="1" t="s">
        <v>74</v>
      </c>
      <c r="I226" s="1" t="s">
        <v>2459</v>
      </c>
      <c r="J226" s="1" t="s">
        <v>2460</v>
      </c>
      <c r="K226" s="1" t="s">
        <v>74</v>
      </c>
      <c r="L226" s="1" t="s">
        <v>74</v>
      </c>
      <c r="M226" s="1" t="s">
        <v>74</v>
      </c>
      <c r="N226" s="1" t="s">
        <v>74</v>
      </c>
      <c r="O226" s="1" t="s">
        <v>74</v>
      </c>
      <c r="P226" s="1" t="s">
        <v>74</v>
      </c>
      <c r="Q226" s="1" t="s">
        <v>74</v>
      </c>
      <c r="R226" s="1" t="s">
        <v>74</v>
      </c>
      <c r="S226" s="1" t="s">
        <v>74</v>
      </c>
      <c r="T226" s="1" t="s">
        <v>74</v>
      </c>
      <c r="U226" s="1" t="s">
        <v>74</v>
      </c>
      <c r="V226" s="1" t="s">
        <v>2461</v>
      </c>
      <c r="W226" s="1" t="s">
        <v>74</v>
      </c>
      <c r="X226" s="1" t="s">
        <v>74</v>
      </c>
      <c r="Y226" s="1" t="s">
        <v>74</v>
      </c>
      <c r="Z226" s="1" t="s">
        <v>74</v>
      </c>
      <c r="AA226" s="1" t="s">
        <v>2462</v>
      </c>
      <c r="AB226" s="1" t="s">
        <v>2463</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2464</v>
      </c>
      <c r="AP226" s="1" t="s">
        <v>2465</v>
      </c>
      <c r="AQ226" s="1" t="s">
        <v>74</v>
      </c>
      <c r="AR226" s="1" t="s">
        <v>74</v>
      </c>
      <c r="AS226" s="1" t="s">
        <v>74</v>
      </c>
      <c r="AT226" s="1" t="s">
        <v>1106</v>
      </c>
      <c r="AU226" s="1">
        <v>2021.0</v>
      </c>
      <c r="AV226" s="1">
        <v>149.0</v>
      </c>
      <c r="AW226" s="1">
        <v>1.0</v>
      </c>
      <c r="AX226" s="1" t="s">
        <v>74</v>
      </c>
      <c r="AY226" s="1" t="s">
        <v>74</v>
      </c>
      <c r="AZ226" s="1" t="s">
        <v>74</v>
      </c>
      <c r="BA226" s="1" t="s">
        <v>74</v>
      </c>
      <c r="BB226" s="1">
        <v>103.0</v>
      </c>
      <c r="BC226" s="1">
        <v>109.0</v>
      </c>
      <c r="BD226" s="1" t="s">
        <v>74</v>
      </c>
      <c r="BE226" s="1" t="s">
        <v>74</v>
      </c>
      <c r="BF226" s="1" t="s">
        <v>74</v>
      </c>
      <c r="BG226" s="1" t="s">
        <v>74</v>
      </c>
      <c r="BH226" s="1" t="s">
        <v>74</v>
      </c>
      <c r="BI226" s="1" t="s">
        <v>74</v>
      </c>
      <c r="BJ226" s="1" t="s">
        <v>74</v>
      </c>
      <c r="BK226" s="1" t="s">
        <v>74</v>
      </c>
      <c r="BL226" s="1" t="s">
        <v>74</v>
      </c>
      <c r="BM226" s="1" t="s">
        <v>74</v>
      </c>
      <c r="BN226" s="1">
        <v>3.4106141E7</v>
      </c>
      <c r="BO226" s="1" t="s">
        <v>74</v>
      </c>
      <c r="BP226" s="1" t="s">
        <v>74</v>
      </c>
      <c r="BQ226" s="1" t="s">
        <v>74</v>
      </c>
      <c r="BR226" s="1" t="s">
        <v>74</v>
      </c>
      <c r="BS226" s="1" t="s">
        <v>2466</v>
      </c>
      <c r="BT226" s="1" t="str">
        <f>HYPERLINK("https%3A%2F%2Fwww.webofscience.com%2Fwos%2Fwoscc%2Ffull-record%2FWOS:000652089600012","View Full Record in Web of Science")</f>
        <v>View Full Record in Web of Science</v>
      </c>
    </row>
    <row r="227" ht="12.75" customHeight="1">
      <c r="A227" s="1" t="s">
        <v>72</v>
      </c>
      <c r="B227" s="1" t="s">
        <v>2467</v>
      </c>
      <c r="C227" s="1" t="s">
        <v>74</v>
      </c>
      <c r="D227" s="1" t="s">
        <v>74</v>
      </c>
      <c r="E227" s="1" t="s">
        <v>74</v>
      </c>
      <c r="F227" s="1" t="s">
        <v>2468</v>
      </c>
      <c r="G227" s="1" t="s">
        <v>74</v>
      </c>
      <c r="H227" s="1" t="s">
        <v>74</v>
      </c>
      <c r="I227" s="1" t="s">
        <v>2469</v>
      </c>
      <c r="J227" s="1" t="s">
        <v>2470</v>
      </c>
      <c r="K227" s="1" t="s">
        <v>74</v>
      </c>
      <c r="L227" s="1" t="s">
        <v>74</v>
      </c>
      <c r="M227" s="1" t="s">
        <v>74</v>
      </c>
      <c r="N227" s="1" t="s">
        <v>74</v>
      </c>
      <c r="O227" s="1" t="s">
        <v>74</v>
      </c>
      <c r="P227" s="1" t="s">
        <v>74</v>
      </c>
      <c r="Q227" s="1" t="s">
        <v>74</v>
      </c>
      <c r="R227" s="1" t="s">
        <v>74</v>
      </c>
      <c r="S227" s="1" t="s">
        <v>74</v>
      </c>
      <c r="T227" s="1" t="s">
        <v>74</v>
      </c>
      <c r="U227" s="1" t="s">
        <v>74</v>
      </c>
      <c r="V227" s="1" t="s">
        <v>2471</v>
      </c>
      <c r="W227" s="1" t="s">
        <v>74</v>
      </c>
      <c r="X227" s="1" t="s">
        <v>74</v>
      </c>
      <c r="Y227" s="1" t="s">
        <v>74</v>
      </c>
      <c r="Z227" s="1" t="s">
        <v>74</v>
      </c>
      <c r="AA227" s="1" t="s">
        <v>2472</v>
      </c>
      <c r="AB227" s="1" t="s">
        <v>2473</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2474</v>
      </c>
      <c r="AP227" s="1" t="s">
        <v>2475</v>
      </c>
      <c r="AQ227" s="1" t="s">
        <v>74</v>
      </c>
      <c r="AR227" s="1" t="s">
        <v>74</v>
      </c>
      <c r="AS227" s="1" t="s">
        <v>74</v>
      </c>
      <c r="AT227" s="1" t="s">
        <v>74</v>
      </c>
      <c r="AU227" s="1">
        <v>2021.0</v>
      </c>
      <c r="AV227" s="1" t="s">
        <v>74</v>
      </c>
      <c r="AW227" s="1">
        <v>41.0</v>
      </c>
      <c r="AX227" s="1" t="s">
        <v>74</v>
      </c>
      <c r="AY227" s="1" t="s">
        <v>74</v>
      </c>
      <c r="AZ227" s="1" t="s">
        <v>74</v>
      </c>
      <c r="BA227" s="1" t="s">
        <v>74</v>
      </c>
      <c r="BB227" s="1">
        <v>701.0</v>
      </c>
      <c r="BC227" s="1">
        <v>707.0</v>
      </c>
      <c r="BD227" s="1" t="s">
        <v>74</v>
      </c>
      <c r="BE227" s="1" t="s">
        <v>74</v>
      </c>
      <c r="BF227" s="1" t="s">
        <v>74</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2476</v>
      </c>
      <c r="BT227" s="1" t="str">
        <f>HYPERLINK("https%3A%2F%2Fwww.webofscience.com%2Fwos%2Fwoscc%2Ffull-record%2FWOS:000621789400001","View Full Record in Web of Science")</f>
        <v>View Full Record in Web of Science</v>
      </c>
    </row>
    <row r="228" ht="12.75" customHeight="1">
      <c r="A228" s="1" t="s">
        <v>72</v>
      </c>
      <c r="B228" s="1" t="s">
        <v>2477</v>
      </c>
      <c r="C228" s="1" t="s">
        <v>74</v>
      </c>
      <c r="D228" s="1" t="s">
        <v>74</v>
      </c>
      <c r="E228" s="1" t="s">
        <v>74</v>
      </c>
      <c r="F228" s="1" t="s">
        <v>2478</v>
      </c>
      <c r="G228" s="1" t="s">
        <v>74</v>
      </c>
      <c r="H228" s="1" t="s">
        <v>74</v>
      </c>
      <c r="I228" s="1" t="s">
        <v>2479</v>
      </c>
      <c r="J228" s="1" t="s">
        <v>2480</v>
      </c>
      <c r="K228" s="1" t="s">
        <v>74</v>
      </c>
      <c r="L228" s="1" t="s">
        <v>74</v>
      </c>
      <c r="M228" s="1" t="s">
        <v>74</v>
      </c>
      <c r="N228" s="1" t="s">
        <v>74</v>
      </c>
      <c r="O228" s="1" t="s">
        <v>2481</v>
      </c>
      <c r="P228" s="1">
        <v>2020.0</v>
      </c>
      <c r="Q228" s="1" t="s">
        <v>1799</v>
      </c>
      <c r="R228" s="1" t="s">
        <v>2482</v>
      </c>
      <c r="S228" s="1" t="s">
        <v>74</v>
      </c>
      <c r="T228" s="1" t="s">
        <v>74</v>
      </c>
      <c r="U228" s="1" t="s">
        <v>74</v>
      </c>
      <c r="V228" s="1" t="s">
        <v>74</v>
      </c>
      <c r="W228" s="1" t="s">
        <v>74</v>
      </c>
      <c r="X228" s="1" t="s">
        <v>74</v>
      </c>
      <c r="Y228" s="1" t="s">
        <v>74</v>
      </c>
      <c r="Z228" s="1" t="s">
        <v>74</v>
      </c>
      <c r="AA228" s="1" t="s">
        <v>2483</v>
      </c>
      <c r="AB228" s="1" t="s">
        <v>74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2484</v>
      </c>
      <c r="AP228" s="1" t="s">
        <v>2485</v>
      </c>
      <c r="AQ228" s="1" t="s">
        <v>74</v>
      </c>
      <c r="AR228" s="1" t="s">
        <v>74</v>
      </c>
      <c r="AS228" s="1" t="s">
        <v>74</v>
      </c>
      <c r="AT228" s="1" t="s">
        <v>164</v>
      </c>
      <c r="AU228" s="1">
        <v>2020.0</v>
      </c>
      <c r="AV228" s="1">
        <v>25.0</v>
      </c>
      <c r="AW228" s="1">
        <v>4.0</v>
      </c>
      <c r="AX228" s="1" t="s">
        <v>74</v>
      </c>
      <c r="AY228" s="1" t="s">
        <v>74</v>
      </c>
      <c r="AZ228" s="1" t="s">
        <v>74</v>
      </c>
      <c r="BA228" s="1">
        <v>205.0</v>
      </c>
      <c r="BB228" s="1">
        <v>508.0</v>
      </c>
      <c r="BC228" s="1">
        <v>508.0</v>
      </c>
      <c r="BD228" s="1" t="s">
        <v>74</v>
      </c>
      <c r="BE228" s="1" t="s">
        <v>74</v>
      </c>
      <c r="BF228" s="1" t="s">
        <v>74</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2486</v>
      </c>
      <c r="BT228" s="1" t="str">
        <f>HYPERLINK("https%3A%2F%2Fwww.webofscience.com%2Fwos%2Fwoscc%2Ffull-record%2FWOS:000596008100171","View Full Record in Web of Science")</f>
        <v>View Full Record in Web of Science</v>
      </c>
    </row>
    <row r="229" ht="12.75" customHeight="1">
      <c r="A229" s="1" t="s">
        <v>72</v>
      </c>
      <c r="B229" s="1" t="s">
        <v>2487</v>
      </c>
      <c r="C229" s="1" t="s">
        <v>74</v>
      </c>
      <c r="D229" s="1" t="s">
        <v>74</v>
      </c>
      <c r="E229" s="1" t="s">
        <v>74</v>
      </c>
      <c r="F229" s="1" t="s">
        <v>2488</v>
      </c>
      <c r="G229" s="1" t="s">
        <v>74</v>
      </c>
      <c r="H229" s="1" t="s">
        <v>74</v>
      </c>
      <c r="I229" s="1" t="s">
        <v>2489</v>
      </c>
      <c r="J229" s="1" t="s">
        <v>1150</v>
      </c>
      <c r="K229" s="1" t="s">
        <v>74</v>
      </c>
      <c r="L229" s="1" t="s">
        <v>74</v>
      </c>
      <c r="M229" s="1" t="s">
        <v>74</v>
      </c>
      <c r="N229" s="1" t="s">
        <v>74</v>
      </c>
      <c r="O229" s="1" t="s">
        <v>74</v>
      </c>
      <c r="P229" s="1" t="s">
        <v>74</v>
      </c>
      <c r="Q229" s="1" t="s">
        <v>74</v>
      </c>
      <c r="R229" s="1" t="s">
        <v>74</v>
      </c>
      <c r="S229" s="1" t="s">
        <v>74</v>
      </c>
      <c r="T229" s="1" t="s">
        <v>74</v>
      </c>
      <c r="U229" s="1" t="s">
        <v>74</v>
      </c>
      <c r="V229" s="1" t="s">
        <v>2490</v>
      </c>
      <c r="W229" s="1" t="s">
        <v>74</v>
      </c>
      <c r="X229" s="1" t="s">
        <v>74</v>
      </c>
      <c r="Y229" s="1" t="s">
        <v>74</v>
      </c>
      <c r="Z229" s="1" t="s">
        <v>74</v>
      </c>
      <c r="AA229" s="1" t="s">
        <v>2491</v>
      </c>
      <c r="AB229" s="1" t="s">
        <v>2492</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1154</v>
      </c>
      <c r="AP229" s="1" t="s">
        <v>1155</v>
      </c>
      <c r="AQ229" s="1" t="s">
        <v>74</v>
      </c>
      <c r="AR229" s="1" t="s">
        <v>74</v>
      </c>
      <c r="AS229" s="1" t="s">
        <v>74</v>
      </c>
      <c r="AT229" s="1" t="s">
        <v>2493</v>
      </c>
      <c r="AU229" s="1">
        <v>2020.0</v>
      </c>
      <c r="AV229" s="1">
        <v>22.0</v>
      </c>
      <c r="AW229" s="1">
        <v>40.0</v>
      </c>
      <c r="AX229" s="1" t="s">
        <v>74</v>
      </c>
      <c r="AY229" s="1" t="s">
        <v>74</v>
      </c>
      <c r="AZ229" s="1" t="s">
        <v>74</v>
      </c>
      <c r="BA229" s="1" t="s">
        <v>74</v>
      </c>
      <c r="BB229" s="1">
        <v>22973.0</v>
      </c>
      <c r="BC229" s="1">
        <v>22978.0</v>
      </c>
      <c r="BD229" s="1" t="s">
        <v>74</v>
      </c>
      <c r="BE229" s="1" t="s">
        <v>2494</v>
      </c>
      <c r="BF229" s="2" t="str">
        <f>HYPERLINK("http://dx.doi.org/10.1039/d0cp04446f","http://dx.doi.org/10.1039/d0cp04446f")</f>
        <v>http://dx.doi.org/10.1039/d0cp04446f</v>
      </c>
      <c r="BG229" s="1" t="s">
        <v>74</v>
      </c>
      <c r="BH229" s="1" t="s">
        <v>74</v>
      </c>
      <c r="BI229" s="1" t="s">
        <v>74</v>
      </c>
      <c r="BJ229" s="1" t="s">
        <v>74</v>
      </c>
      <c r="BK229" s="1" t="s">
        <v>74</v>
      </c>
      <c r="BL229" s="1" t="s">
        <v>74</v>
      </c>
      <c r="BM229" s="1" t="s">
        <v>74</v>
      </c>
      <c r="BN229" s="1">
        <v>3.3030178E7</v>
      </c>
      <c r="BO229" s="1" t="s">
        <v>74</v>
      </c>
      <c r="BP229" s="1" t="s">
        <v>74</v>
      </c>
      <c r="BQ229" s="1" t="s">
        <v>74</v>
      </c>
      <c r="BR229" s="1" t="s">
        <v>74</v>
      </c>
      <c r="BS229" s="1" t="s">
        <v>2495</v>
      </c>
      <c r="BT229" s="1" t="str">
        <f>HYPERLINK("https%3A%2F%2Fwww.webofscience.com%2Fwos%2Fwoscc%2Ffull-record%2FWOS:000581596800013","View Full Record in Web of Science")</f>
        <v>View Full Record in Web of Science</v>
      </c>
    </row>
    <row r="230" ht="12.75" customHeight="1">
      <c r="A230" s="1" t="s">
        <v>72</v>
      </c>
      <c r="B230" s="1" t="s">
        <v>2496</v>
      </c>
      <c r="C230" s="1" t="s">
        <v>74</v>
      </c>
      <c r="D230" s="1" t="s">
        <v>74</v>
      </c>
      <c r="E230" s="1" t="s">
        <v>74</v>
      </c>
      <c r="F230" s="1" t="s">
        <v>2497</v>
      </c>
      <c r="G230" s="1" t="s">
        <v>74</v>
      </c>
      <c r="H230" s="1" t="s">
        <v>74</v>
      </c>
      <c r="I230" s="1" t="s">
        <v>2498</v>
      </c>
      <c r="J230" s="1" t="s">
        <v>864</v>
      </c>
      <c r="K230" s="1" t="s">
        <v>74</v>
      </c>
      <c r="L230" s="1" t="s">
        <v>74</v>
      </c>
      <c r="M230" s="1" t="s">
        <v>74</v>
      </c>
      <c r="N230" s="1" t="s">
        <v>74</v>
      </c>
      <c r="O230" s="1" t="s">
        <v>74</v>
      </c>
      <c r="P230" s="1" t="s">
        <v>74</v>
      </c>
      <c r="Q230" s="1" t="s">
        <v>74</v>
      </c>
      <c r="R230" s="1" t="s">
        <v>74</v>
      </c>
      <c r="S230" s="1" t="s">
        <v>74</v>
      </c>
      <c r="T230" s="1" t="s">
        <v>74</v>
      </c>
      <c r="U230" s="1" t="s">
        <v>74</v>
      </c>
      <c r="V230" s="1" t="s">
        <v>2499</v>
      </c>
      <c r="W230" s="1" t="s">
        <v>74</v>
      </c>
      <c r="X230" s="1" t="s">
        <v>74</v>
      </c>
      <c r="Y230" s="1" t="s">
        <v>74</v>
      </c>
      <c r="Z230" s="1" t="s">
        <v>74</v>
      </c>
      <c r="AA230" s="1" t="s">
        <v>2500</v>
      </c>
      <c r="AB230" s="1" t="s">
        <v>2501</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868</v>
      </c>
      <c r="AP230" s="1" t="s">
        <v>869</v>
      </c>
      <c r="AQ230" s="1" t="s">
        <v>74</v>
      </c>
      <c r="AR230" s="1" t="s">
        <v>74</v>
      </c>
      <c r="AS230" s="1" t="s">
        <v>74</v>
      </c>
      <c r="AT230" s="1" t="s">
        <v>452</v>
      </c>
      <c r="AU230" s="1">
        <v>2020.0</v>
      </c>
      <c r="AV230" s="1">
        <v>331.0</v>
      </c>
      <c r="AW230" s="1" t="s">
        <v>74</v>
      </c>
      <c r="AX230" s="1" t="s">
        <v>74</v>
      </c>
      <c r="AY230" s="1" t="s">
        <v>74</v>
      </c>
      <c r="AZ230" s="1" t="s">
        <v>74</v>
      </c>
      <c r="BA230" s="1" t="s">
        <v>74</v>
      </c>
      <c r="BB230" s="1" t="s">
        <v>74</v>
      </c>
      <c r="BC230" s="1" t="s">
        <v>74</v>
      </c>
      <c r="BD230" s="1">
        <v>108714.0</v>
      </c>
      <c r="BE230" s="1" t="s">
        <v>2502</v>
      </c>
      <c r="BF230" s="2" t="str">
        <f>HYPERLINK("http://dx.doi.org/10.1016/j.ijfoodmicro.2020.108714","http://dx.doi.org/10.1016/j.ijfoodmicro.2020.108714")</f>
        <v>http://dx.doi.org/10.1016/j.ijfoodmicro.2020.108714</v>
      </c>
      <c r="BG230" s="1" t="s">
        <v>74</v>
      </c>
      <c r="BH230" s="1" t="s">
        <v>74</v>
      </c>
      <c r="BI230" s="1" t="s">
        <v>74</v>
      </c>
      <c r="BJ230" s="1" t="s">
        <v>74</v>
      </c>
      <c r="BK230" s="1" t="s">
        <v>74</v>
      </c>
      <c r="BL230" s="1" t="s">
        <v>74</v>
      </c>
      <c r="BM230" s="1" t="s">
        <v>74</v>
      </c>
      <c r="BN230" s="1">
        <v>3.2544792E7</v>
      </c>
      <c r="BO230" s="1" t="s">
        <v>74</v>
      </c>
      <c r="BP230" s="1" t="s">
        <v>74</v>
      </c>
      <c r="BQ230" s="1" t="s">
        <v>74</v>
      </c>
      <c r="BR230" s="1" t="s">
        <v>74</v>
      </c>
      <c r="BS230" s="1" t="s">
        <v>2503</v>
      </c>
      <c r="BT230" s="1" t="str">
        <f>HYPERLINK("https%3A%2F%2Fwww.webofscience.com%2Fwos%2Fwoscc%2Ffull-record%2FWOS:000566409900017","View Full Record in Web of Science")</f>
        <v>View Full Record in Web of Science</v>
      </c>
    </row>
    <row r="231" ht="12.75" customHeight="1">
      <c r="A231" s="1" t="s">
        <v>72</v>
      </c>
      <c r="B231" s="1" t="s">
        <v>2504</v>
      </c>
      <c r="C231" s="1" t="s">
        <v>74</v>
      </c>
      <c r="D231" s="1" t="s">
        <v>74</v>
      </c>
      <c r="E231" s="1" t="s">
        <v>74</v>
      </c>
      <c r="F231" s="1" t="s">
        <v>2505</v>
      </c>
      <c r="G231" s="1" t="s">
        <v>74</v>
      </c>
      <c r="H231" s="1" t="s">
        <v>74</v>
      </c>
      <c r="I231" s="1" t="s">
        <v>2506</v>
      </c>
      <c r="J231" s="1" t="s">
        <v>2507</v>
      </c>
      <c r="K231" s="1" t="s">
        <v>74</v>
      </c>
      <c r="L231" s="1" t="s">
        <v>74</v>
      </c>
      <c r="M231" s="1" t="s">
        <v>74</v>
      </c>
      <c r="N231" s="1" t="s">
        <v>74</v>
      </c>
      <c r="O231" s="1" t="s">
        <v>74</v>
      </c>
      <c r="P231" s="1" t="s">
        <v>74</v>
      </c>
      <c r="Q231" s="1" t="s">
        <v>74</v>
      </c>
      <c r="R231" s="1" t="s">
        <v>74</v>
      </c>
      <c r="S231" s="1" t="s">
        <v>74</v>
      </c>
      <c r="T231" s="1" t="s">
        <v>74</v>
      </c>
      <c r="U231" s="1" t="s">
        <v>74</v>
      </c>
      <c r="V231" s="1" t="s">
        <v>2508</v>
      </c>
      <c r="W231" s="1" t="s">
        <v>74</v>
      </c>
      <c r="X231" s="1" t="s">
        <v>74</v>
      </c>
      <c r="Y231" s="1" t="s">
        <v>74</v>
      </c>
      <c r="Z231" s="1" t="s">
        <v>74</v>
      </c>
      <c r="AA231" s="1" t="s">
        <v>2509</v>
      </c>
      <c r="AB231" s="1" t="s">
        <v>2510</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74</v>
      </c>
      <c r="AP231" s="1" t="s">
        <v>2511</v>
      </c>
      <c r="AQ231" s="1" t="s">
        <v>74</v>
      </c>
      <c r="AR231" s="1" t="s">
        <v>74</v>
      </c>
      <c r="AS231" s="1" t="s">
        <v>74</v>
      </c>
      <c r="AT231" s="1" t="s">
        <v>82</v>
      </c>
      <c r="AU231" s="1">
        <v>2020.0</v>
      </c>
      <c r="AV231" s="1">
        <v>9.0</v>
      </c>
      <c r="AW231" s="1">
        <v>10.0</v>
      </c>
      <c r="AX231" s="1" t="s">
        <v>74</v>
      </c>
      <c r="AY231" s="1" t="s">
        <v>74</v>
      </c>
      <c r="AZ231" s="1" t="s">
        <v>74</v>
      </c>
      <c r="BA231" s="1" t="s">
        <v>74</v>
      </c>
      <c r="BB231" s="1" t="s">
        <v>74</v>
      </c>
      <c r="BC231" s="1" t="s">
        <v>74</v>
      </c>
      <c r="BD231" s="1">
        <v>2273.0</v>
      </c>
      <c r="BE231" s="1" t="s">
        <v>2512</v>
      </c>
      <c r="BF231" s="2" t="str">
        <f>HYPERLINK("http://dx.doi.org/10.3390/cells9102273","http://dx.doi.org/10.3390/cells9102273")</f>
        <v>http://dx.doi.org/10.3390/cells9102273</v>
      </c>
      <c r="BG231" s="1" t="s">
        <v>74</v>
      </c>
      <c r="BH231" s="1" t="s">
        <v>74</v>
      </c>
      <c r="BI231" s="1" t="s">
        <v>74</v>
      </c>
      <c r="BJ231" s="1" t="s">
        <v>74</v>
      </c>
      <c r="BK231" s="1" t="s">
        <v>74</v>
      </c>
      <c r="BL231" s="1" t="s">
        <v>74</v>
      </c>
      <c r="BM231" s="1" t="s">
        <v>74</v>
      </c>
      <c r="BN231" s="1">
        <v>3.3053687E7</v>
      </c>
      <c r="BO231" s="1" t="s">
        <v>74</v>
      </c>
      <c r="BP231" s="1" t="s">
        <v>74</v>
      </c>
      <c r="BQ231" s="1" t="s">
        <v>74</v>
      </c>
      <c r="BR231" s="1" t="s">
        <v>74</v>
      </c>
      <c r="BS231" s="1" t="s">
        <v>2513</v>
      </c>
      <c r="BT231" s="1" t="str">
        <f>HYPERLINK("https%3A%2F%2Fwww.webofscience.com%2Fwos%2Fwoscc%2Ffull-record%2FWOS:000584235200001","View Full Record in Web of Science")</f>
        <v>View Full Record in Web of Science</v>
      </c>
    </row>
    <row r="232" ht="12.75" customHeight="1">
      <c r="A232" s="1" t="s">
        <v>72</v>
      </c>
      <c r="B232" s="1" t="s">
        <v>2514</v>
      </c>
      <c r="C232" s="1" t="s">
        <v>74</v>
      </c>
      <c r="D232" s="1" t="s">
        <v>74</v>
      </c>
      <c r="E232" s="1" t="s">
        <v>74</v>
      </c>
      <c r="F232" s="1" t="s">
        <v>2515</v>
      </c>
      <c r="G232" s="1" t="s">
        <v>74</v>
      </c>
      <c r="H232" s="1" t="s">
        <v>74</v>
      </c>
      <c r="I232" s="1" t="s">
        <v>2516</v>
      </c>
      <c r="J232" s="1" t="s">
        <v>2517</v>
      </c>
      <c r="K232" s="1" t="s">
        <v>74</v>
      </c>
      <c r="L232" s="1" t="s">
        <v>74</v>
      </c>
      <c r="M232" s="1" t="s">
        <v>74</v>
      </c>
      <c r="N232" s="1" t="s">
        <v>74</v>
      </c>
      <c r="O232" s="1" t="s">
        <v>74</v>
      </c>
      <c r="P232" s="1" t="s">
        <v>74</v>
      </c>
      <c r="Q232" s="1" t="s">
        <v>74</v>
      </c>
      <c r="R232" s="1" t="s">
        <v>74</v>
      </c>
      <c r="S232" s="1" t="s">
        <v>74</v>
      </c>
      <c r="T232" s="1" t="s">
        <v>74</v>
      </c>
      <c r="U232" s="1" t="s">
        <v>74</v>
      </c>
      <c r="V232" s="1" t="s">
        <v>2518</v>
      </c>
      <c r="W232" s="1" t="s">
        <v>74</v>
      </c>
      <c r="X232" s="1" t="s">
        <v>74</v>
      </c>
      <c r="Y232" s="1" t="s">
        <v>74</v>
      </c>
      <c r="Z232" s="1" t="s">
        <v>74</v>
      </c>
      <c r="AA232" s="1" t="s">
        <v>2519</v>
      </c>
      <c r="AB232" s="1" t="s">
        <v>2520</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2521</v>
      </c>
      <c r="AP232" s="1" t="s">
        <v>74</v>
      </c>
      <c r="AQ232" s="1" t="s">
        <v>74</v>
      </c>
      <c r="AR232" s="1" t="s">
        <v>74</v>
      </c>
      <c r="AS232" s="1" t="s">
        <v>74</v>
      </c>
      <c r="AT232" s="1" t="s">
        <v>204</v>
      </c>
      <c r="AU232" s="1">
        <v>2019.0</v>
      </c>
      <c r="AV232" s="1">
        <v>281.0</v>
      </c>
      <c r="AW232" s="1" t="s">
        <v>74</v>
      </c>
      <c r="AX232" s="1" t="s">
        <v>74</v>
      </c>
      <c r="AY232" s="1" t="s">
        <v>74</v>
      </c>
      <c r="AZ232" s="1" t="s">
        <v>74</v>
      </c>
      <c r="BA232" s="1" t="s">
        <v>74</v>
      </c>
      <c r="BB232" s="1">
        <v>115.0</v>
      </c>
      <c r="BC232" s="1">
        <v>122.0</v>
      </c>
      <c r="BD232" s="1" t="s">
        <v>74</v>
      </c>
      <c r="BE232" s="1" t="s">
        <v>2522</v>
      </c>
      <c r="BF232" s="2" t="str">
        <f>HYPERLINK("http://dx.doi.org/10.1016/j.snb.2018.09.099","http://dx.doi.org/10.1016/j.snb.2018.09.099")</f>
        <v>http://dx.doi.org/10.1016/j.snb.2018.09.099</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2523</v>
      </c>
      <c r="BT232" s="1" t="str">
        <f>HYPERLINK("https%3A%2F%2Fwww.webofscience.com%2Fwos%2Fwoscc%2Ffull-record%2FWOS:000455021500015","View Full Record in Web of Science")</f>
        <v>View Full Record in Web of Science</v>
      </c>
    </row>
    <row r="233" ht="12.75" customHeight="1">
      <c r="A233" s="1" t="s">
        <v>72</v>
      </c>
      <c r="B233" s="1" t="s">
        <v>2524</v>
      </c>
      <c r="C233" s="1" t="s">
        <v>74</v>
      </c>
      <c r="D233" s="1" t="s">
        <v>74</v>
      </c>
      <c r="E233" s="1" t="s">
        <v>74</v>
      </c>
      <c r="F233" s="1" t="s">
        <v>2525</v>
      </c>
      <c r="G233" s="1" t="s">
        <v>74</v>
      </c>
      <c r="H233" s="1" t="s">
        <v>74</v>
      </c>
      <c r="I233" s="1" t="s">
        <v>2526</v>
      </c>
      <c r="J233" s="1" t="s">
        <v>2527</v>
      </c>
      <c r="K233" s="1" t="s">
        <v>74</v>
      </c>
      <c r="L233" s="1" t="s">
        <v>74</v>
      </c>
      <c r="M233" s="1" t="s">
        <v>74</v>
      </c>
      <c r="N233" s="1" t="s">
        <v>74</v>
      </c>
      <c r="O233" s="1" t="s">
        <v>74</v>
      </c>
      <c r="P233" s="1" t="s">
        <v>74</v>
      </c>
      <c r="Q233" s="1" t="s">
        <v>74</v>
      </c>
      <c r="R233" s="1" t="s">
        <v>74</v>
      </c>
      <c r="S233" s="1" t="s">
        <v>74</v>
      </c>
      <c r="T233" s="1" t="s">
        <v>74</v>
      </c>
      <c r="U233" s="1" t="s">
        <v>74</v>
      </c>
      <c r="V233" s="1" t="s">
        <v>2528</v>
      </c>
      <c r="W233" s="1" t="s">
        <v>74</v>
      </c>
      <c r="X233" s="1" t="s">
        <v>74</v>
      </c>
      <c r="Y233" s="1" t="s">
        <v>74</v>
      </c>
      <c r="Z233" s="1" t="s">
        <v>74</v>
      </c>
      <c r="AA233" s="1" t="s">
        <v>2529</v>
      </c>
      <c r="AB233" s="1" t="s">
        <v>2530</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2531</v>
      </c>
      <c r="AP233" s="1" t="s">
        <v>2532</v>
      </c>
      <c r="AQ233" s="1" t="s">
        <v>74</v>
      </c>
      <c r="AR233" s="1" t="s">
        <v>74</v>
      </c>
      <c r="AS233" s="1" t="s">
        <v>74</v>
      </c>
      <c r="AT233" s="1" t="s">
        <v>1363</v>
      </c>
      <c r="AU233" s="1">
        <v>2019.0</v>
      </c>
      <c r="AV233" s="1">
        <v>181.0</v>
      </c>
      <c r="AW233" s="1" t="s">
        <v>74</v>
      </c>
      <c r="AX233" s="1" t="s">
        <v>74</v>
      </c>
      <c r="AY233" s="1" t="s">
        <v>74</v>
      </c>
      <c r="AZ233" s="1" t="s">
        <v>74</v>
      </c>
      <c r="BA233" s="1" t="s">
        <v>74</v>
      </c>
      <c r="BB233" s="1">
        <v>247.0</v>
      </c>
      <c r="BC233" s="1">
        <v>257.0</v>
      </c>
      <c r="BD233" s="1" t="s">
        <v>74</v>
      </c>
      <c r="BE233" s="1" t="s">
        <v>2533</v>
      </c>
      <c r="BF233" s="2" t="str">
        <f>HYPERLINK("http://dx.doi.org/10.1016/j.enconman.2018.12.007","http://dx.doi.org/10.1016/j.enconman.2018.12.007")</f>
        <v>http://dx.doi.org/10.1016/j.enconman.2018.12.007</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2534</v>
      </c>
      <c r="BT233" s="1" t="str">
        <f>HYPERLINK("https%3A%2F%2Fwww.webofscience.com%2Fwos%2Fwoscc%2Ffull-record%2FWOS:000458221800021","View Full Record in Web of Science")</f>
        <v>View Full Record in Web of Science</v>
      </c>
    </row>
    <row r="234" ht="12.75" customHeight="1">
      <c r="A234" s="1" t="s">
        <v>207</v>
      </c>
      <c r="B234" s="1" t="s">
        <v>2535</v>
      </c>
      <c r="C234" s="1" t="s">
        <v>74</v>
      </c>
      <c r="D234" s="1" t="s">
        <v>74</v>
      </c>
      <c r="E234" s="1" t="s">
        <v>224</v>
      </c>
      <c r="F234" s="1" t="s">
        <v>2536</v>
      </c>
      <c r="G234" s="1" t="s">
        <v>74</v>
      </c>
      <c r="H234" s="1" t="s">
        <v>74</v>
      </c>
      <c r="I234" s="1" t="s">
        <v>2537</v>
      </c>
      <c r="J234" s="1" t="s">
        <v>720</v>
      </c>
      <c r="K234" s="1" t="s">
        <v>721</v>
      </c>
      <c r="L234" s="1" t="s">
        <v>74</v>
      </c>
      <c r="M234" s="1" t="s">
        <v>74</v>
      </c>
      <c r="N234" s="1" t="s">
        <v>74</v>
      </c>
      <c r="O234" s="1" t="s">
        <v>722</v>
      </c>
      <c r="P234" s="1" t="s">
        <v>723</v>
      </c>
      <c r="Q234" s="1" t="s">
        <v>724</v>
      </c>
      <c r="R234" s="1" t="s">
        <v>725</v>
      </c>
      <c r="S234" s="1" t="s">
        <v>74</v>
      </c>
      <c r="T234" s="1" t="s">
        <v>74</v>
      </c>
      <c r="U234" s="1" t="s">
        <v>74</v>
      </c>
      <c r="V234" s="1" t="s">
        <v>2538</v>
      </c>
      <c r="W234" s="1" t="s">
        <v>74</v>
      </c>
      <c r="X234" s="1" t="s">
        <v>74</v>
      </c>
      <c r="Y234" s="1" t="s">
        <v>74</v>
      </c>
      <c r="Z234" s="1" t="s">
        <v>74</v>
      </c>
      <c r="AA234" s="1" t="s">
        <v>2539</v>
      </c>
      <c r="AB234" s="1" t="s">
        <v>2540</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729</v>
      </c>
      <c r="AP234" s="1" t="s">
        <v>74</v>
      </c>
      <c r="AQ234" s="1" t="s">
        <v>730</v>
      </c>
      <c r="AR234" s="1" t="s">
        <v>74</v>
      </c>
      <c r="AS234" s="1" t="s">
        <v>74</v>
      </c>
      <c r="AT234" s="1" t="s">
        <v>74</v>
      </c>
      <c r="AU234" s="1">
        <v>2019.0</v>
      </c>
      <c r="AV234" s="1" t="s">
        <v>74</v>
      </c>
      <c r="AW234" s="1" t="s">
        <v>74</v>
      </c>
      <c r="AX234" s="1" t="s">
        <v>74</v>
      </c>
      <c r="AY234" s="1" t="s">
        <v>74</v>
      </c>
      <c r="AZ234" s="1" t="s">
        <v>74</v>
      </c>
      <c r="BA234" s="1" t="s">
        <v>74</v>
      </c>
      <c r="BB234" s="1">
        <v>1950.0</v>
      </c>
      <c r="BC234" s="1">
        <v>1955.0</v>
      </c>
      <c r="BD234" s="1" t="s">
        <v>74</v>
      </c>
      <c r="BE234" s="1" t="s">
        <v>74</v>
      </c>
      <c r="BF234" s="1" t="s">
        <v>74</v>
      </c>
      <c r="BG234" s="1" t="s">
        <v>74</v>
      </c>
      <c r="BH234" s="1" t="s">
        <v>74</v>
      </c>
      <c r="BI234" s="1" t="s">
        <v>74</v>
      </c>
      <c r="BJ234" s="1" t="s">
        <v>74</v>
      </c>
      <c r="BK234" s="1" t="s">
        <v>74</v>
      </c>
      <c r="BL234" s="1" t="s">
        <v>74</v>
      </c>
      <c r="BM234" s="1" t="s">
        <v>74</v>
      </c>
      <c r="BN234" s="1" t="s">
        <v>74</v>
      </c>
      <c r="BO234" s="1" t="s">
        <v>74</v>
      </c>
      <c r="BP234" s="1" t="s">
        <v>74</v>
      </c>
      <c r="BQ234" s="1" t="s">
        <v>74</v>
      </c>
      <c r="BR234" s="1" t="s">
        <v>74</v>
      </c>
      <c r="BS234" s="1" t="s">
        <v>2541</v>
      </c>
      <c r="BT234" s="1" t="str">
        <f>HYPERLINK("https%3A%2F%2Fwww.webofscience.com%2Fwos%2Fwoscc%2Ffull-record%2FWOS:000522050601156","View Full Record in Web of Science")</f>
        <v>View Full Record in Web of Science</v>
      </c>
    </row>
    <row r="235" ht="12.75" customHeight="1">
      <c r="A235" s="1" t="s">
        <v>72</v>
      </c>
      <c r="B235" s="1" t="s">
        <v>2542</v>
      </c>
      <c r="C235" s="1" t="s">
        <v>74</v>
      </c>
      <c r="D235" s="1" t="s">
        <v>74</v>
      </c>
      <c r="E235" s="1" t="s">
        <v>74</v>
      </c>
      <c r="F235" s="1" t="s">
        <v>2543</v>
      </c>
      <c r="G235" s="1" t="s">
        <v>74</v>
      </c>
      <c r="H235" s="1" t="s">
        <v>74</v>
      </c>
      <c r="I235" s="1" t="s">
        <v>2544</v>
      </c>
      <c r="J235" s="1" t="s">
        <v>2545</v>
      </c>
      <c r="K235" s="1" t="s">
        <v>74</v>
      </c>
      <c r="L235" s="1" t="s">
        <v>74</v>
      </c>
      <c r="M235" s="1" t="s">
        <v>74</v>
      </c>
      <c r="N235" s="1" t="s">
        <v>74</v>
      </c>
      <c r="O235" s="1" t="s">
        <v>74</v>
      </c>
      <c r="P235" s="1" t="s">
        <v>74</v>
      </c>
      <c r="Q235" s="1" t="s">
        <v>74</v>
      </c>
      <c r="R235" s="1" t="s">
        <v>74</v>
      </c>
      <c r="S235" s="1" t="s">
        <v>74</v>
      </c>
      <c r="T235" s="1" t="s">
        <v>74</v>
      </c>
      <c r="U235" s="1" t="s">
        <v>74</v>
      </c>
      <c r="V235" s="1" t="s">
        <v>2546</v>
      </c>
      <c r="W235" s="1" t="s">
        <v>74</v>
      </c>
      <c r="X235" s="1" t="s">
        <v>74</v>
      </c>
      <c r="Y235" s="1" t="s">
        <v>74</v>
      </c>
      <c r="Z235" s="1" t="s">
        <v>74</v>
      </c>
      <c r="AA235" s="1" t="s">
        <v>2547</v>
      </c>
      <c r="AB235" s="1" t="s">
        <v>2548</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2549</v>
      </c>
      <c r="AP235" s="1" t="s">
        <v>2550</v>
      </c>
      <c r="AQ235" s="1" t="s">
        <v>74</v>
      </c>
      <c r="AR235" s="1" t="s">
        <v>74</v>
      </c>
      <c r="AS235" s="1" t="s">
        <v>74</v>
      </c>
      <c r="AT235" s="1" t="s">
        <v>164</v>
      </c>
      <c r="AU235" s="1">
        <v>2018.0</v>
      </c>
      <c r="AV235" s="1">
        <v>114.0</v>
      </c>
      <c r="AW235" s="1" t="s">
        <v>74</v>
      </c>
      <c r="AX235" s="1" t="s">
        <v>74</v>
      </c>
      <c r="AY235" s="1" t="s">
        <v>74</v>
      </c>
      <c r="AZ235" s="1" t="s">
        <v>74</v>
      </c>
      <c r="BA235" s="1" t="s">
        <v>74</v>
      </c>
      <c r="BB235" s="1">
        <v>97.0</v>
      </c>
      <c r="BC235" s="1">
        <v>103.0</v>
      </c>
      <c r="BD235" s="1" t="s">
        <v>74</v>
      </c>
      <c r="BE235" s="1" t="s">
        <v>2551</v>
      </c>
      <c r="BF235" s="2" t="str">
        <f>HYPERLINK("http://dx.doi.org/10.1016/j.foodres.2018.07.049","http://dx.doi.org/10.1016/j.foodres.2018.07.049")</f>
        <v>http://dx.doi.org/10.1016/j.foodres.2018.07.049</v>
      </c>
      <c r="BG235" s="1" t="s">
        <v>74</v>
      </c>
      <c r="BH235" s="1" t="s">
        <v>74</v>
      </c>
      <c r="BI235" s="1" t="s">
        <v>74</v>
      </c>
      <c r="BJ235" s="1" t="s">
        <v>74</v>
      </c>
      <c r="BK235" s="1" t="s">
        <v>74</v>
      </c>
      <c r="BL235" s="1" t="s">
        <v>74</v>
      </c>
      <c r="BM235" s="1" t="s">
        <v>74</v>
      </c>
      <c r="BN235" s="1">
        <v>3.0361032E7</v>
      </c>
      <c r="BO235" s="1" t="s">
        <v>74</v>
      </c>
      <c r="BP235" s="1" t="s">
        <v>74</v>
      </c>
      <c r="BQ235" s="1" t="s">
        <v>74</v>
      </c>
      <c r="BR235" s="1" t="s">
        <v>74</v>
      </c>
      <c r="BS235" s="1" t="s">
        <v>2552</v>
      </c>
      <c r="BT235" s="1" t="str">
        <f>HYPERLINK("https%3A%2F%2Fwww.webofscience.com%2Fwos%2Fwoscc%2Ffull-record%2FWOS:000450134400012","View Full Record in Web of Science")</f>
        <v>View Full Record in Web of Science</v>
      </c>
    </row>
    <row r="236" ht="12.75" customHeight="1">
      <c r="A236" s="1" t="s">
        <v>72</v>
      </c>
      <c r="B236" s="1" t="s">
        <v>2553</v>
      </c>
      <c r="C236" s="1" t="s">
        <v>74</v>
      </c>
      <c r="D236" s="1" t="s">
        <v>74</v>
      </c>
      <c r="E236" s="1" t="s">
        <v>74</v>
      </c>
      <c r="F236" s="1" t="s">
        <v>2554</v>
      </c>
      <c r="G236" s="1" t="s">
        <v>74</v>
      </c>
      <c r="H236" s="1" t="s">
        <v>74</v>
      </c>
      <c r="I236" s="1" t="s">
        <v>2555</v>
      </c>
      <c r="J236" s="1" t="s">
        <v>2556</v>
      </c>
      <c r="K236" s="1" t="s">
        <v>74</v>
      </c>
      <c r="L236" s="1" t="s">
        <v>74</v>
      </c>
      <c r="M236" s="1" t="s">
        <v>74</v>
      </c>
      <c r="N236" s="1" t="s">
        <v>74</v>
      </c>
      <c r="O236" s="1" t="s">
        <v>74</v>
      </c>
      <c r="P236" s="1" t="s">
        <v>74</v>
      </c>
      <c r="Q236" s="1" t="s">
        <v>74</v>
      </c>
      <c r="R236" s="1" t="s">
        <v>74</v>
      </c>
      <c r="S236" s="1" t="s">
        <v>74</v>
      </c>
      <c r="T236" s="1" t="s">
        <v>74</v>
      </c>
      <c r="U236" s="1" t="s">
        <v>74</v>
      </c>
      <c r="V236" s="1" t="s">
        <v>2557</v>
      </c>
      <c r="W236" s="1" t="s">
        <v>74</v>
      </c>
      <c r="X236" s="1" t="s">
        <v>74</v>
      </c>
      <c r="Y236" s="1" t="s">
        <v>74</v>
      </c>
      <c r="Z236" s="1" t="s">
        <v>74</v>
      </c>
      <c r="AA236" s="1" t="s">
        <v>2558</v>
      </c>
      <c r="AB236" s="1" t="s">
        <v>2559</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2560</v>
      </c>
      <c r="AP236" s="1" t="s">
        <v>74</v>
      </c>
      <c r="AQ236" s="1" t="s">
        <v>74</v>
      </c>
      <c r="AR236" s="1" t="s">
        <v>74</v>
      </c>
      <c r="AS236" s="1" t="s">
        <v>74</v>
      </c>
      <c r="AT236" s="1" t="s">
        <v>82</v>
      </c>
      <c r="AU236" s="1">
        <v>2018.0</v>
      </c>
      <c r="AV236" s="1">
        <v>20.0</v>
      </c>
      <c r="AW236" s="1">
        <v>10.0</v>
      </c>
      <c r="AX236" s="1" t="s">
        <v>74</v>
      </c>
      <c r="AY236" s="1" t="s">
        <v>74</v>
      </c>
      <c r="AZ236" s="1" t="s">
        <v>74</v>
      </c>
      <c r="BA236" s="1" t="s">
        <v>74</v>
      </c>
      <c r="BB236" s="1" t="s">
        <v>74</v>
      </c>
      <c r="BC236" s="1" t="s">
        <v>74</v>
      </c>
      <c r="BD236" s="1">
        <v>767.0</v>
      </c>
      <c r="BE236" s="1" t="s">
        <v>2561</v>
      </c>
      <c r="BF236" s="2" t="str">
        <f>HYPERLINK("http://dx.doi.org/10.3390/e20100767","http://dx.doi.org/10.3390/e20100767")</f>
        <v>http://dx.doi.org/10.3390/e20100767</v>
      </c>
      <c r="BG236" s="1" t="s">
        <v>74</v>
      </c>
      <c r="BH236" s="1" t="s">
        <v>74</v>
      </c>
      <c r="BI236" s="1" t="s">
        <v>74</v>
      </c>
      <c r="BJ236" s="1" t="s">
        <v>74</v>
      </c>
      <c r="BK236" s="1" t="s">
        <v>74</v>
      </c>
      <c r="BL236" s="1" t="s">
        <v>74</v>
      </c>
      <c r="BM236" s="1" t="s">
        <v>74</v>
      </c>
      <c r="BN236" s="1">
        <v>3.3265855E7</v>
      </c>
      <c r="BO236" s="1" t="s">
        <v>74</v>
      </c>
      <c r="BP236" s="1" t="s">
        <v>74</v>
      </c>
      <c r="BQ236" s="1" t="s">
        <v>74</v>
      </c>
      <c r="BR236" s="1" t="s">
        <v>74</v>
      </c>
      <c r="BS236" s="1" t="s">
        <v>2562</v>
      </c>
      <c r="BT236" s="1" t="str">
        <f>HYPERLINK("https%3A%2F%2Fwww.webofscience.com%2Fwos%2Fwoscc%2Ffull-record%2FWOS:000448545700048","View Full Record in Web of Science")</f>
        <v>View Full Record in Web of Science</v>
      </c>
    </row>
    <row r="237" ht="12.75" customHeight="1">
      <c r="A237" s="1" t="s">
        <v>72</v>
      </c>
      <c r="B237" s="1" t="s">
        <v>2563</v>
      </c>
      <c r="C237" s="1" t="s">
        <v>74</v>
      </c>
      <c r="D237" s="1" t="s">
        <v>74</v>
      </c>
      <c r="E237" s="1" t="s">
        <v>74</v>
      </c>
      <c r="F237" s="1" t="s">
        <v>2564</v>
      </c>
      <c r="G237" s="1" t="s">
        <v>74</v>
      </c>
      <c r="H237" s="1" t="s">
        <v>74</v>
      </c>
      <c r="I237" s="1" t="s">
        <v>2565</v>
      </c>
      <c r="J237" s="1" t="s">
        <v>2566</v>
      </c>
      <c r="K237" s="1" t="s">
        <v>74</v>
      </c>
      <c r="L237" s="1" t="s">
        <v>74</v>
      </c>
      <c r="M237" s="1" t="s">
        <v>74</v>
      </c>
      <c r="N237" s="1" t="s">
        <v>74</v>
      </c>
      <c r="O237" s="1" t="s">
        <v>74</v>
      </c>
      <c r="P237" s="1" t="s">
        <v>74</v>
      </c>
      <c r="Q237" s="1" t="s">
        <v>74</v>
      </c>
      <c r="R237" s="1" t="s">
        <v>74</v>
      </c>
      <c r="S237" s="1" t="s">
        <v>74</v>
      </c>
      <c r="T237" s="1" t="s">
        <v>74</v>
      </c>
      <c r="U237" s="1" t="s">
        <v>74</v>
      </c>
      <c r="V237" s="1" t="s">
        <v>2567</v>
      </c>
      <c r="W237" s="1" t="s">
        <v>74</v>
      </c>
      <c r="X237" s="1" t="s">
        <v>74</v>
      </c>
      <c r="Y237" s="1" t="s">
        <v>74</v>
      </c>
      <c r="Z237" s="1" t="s">
        <v>74</v>
      </c>
      <c r="AA237" s="1" t="s">
        <v>2568</v>
      </c>
      <c r="AB237" s="1" t="s">
        <v>2569</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2570</v>
      </c>
      <c r="AP237" s="1" t="s">
        <v>2571</v>
      </c>
      <c r="AQ237" s="1" t="s">
        <v>74</v>
      </c>
      <c r="AR237" s="1" t="s">
        <v>74</v>
      </c>
      <c r="AS237" s="1" t="s">
        <v>74</v>
      </c>
      <c r="AT237" s="1" t="s">
        <v>745</v>
      </c>
      <c r="AU237" s="1">
        <v>2018.0</v>
      </c>
      <c r="AV237" s="1">
        <v>11.0</v>
      </c>
      <c r="AW237" s="1">
        <v>4.0</v>
      </c>
      <c r="AX237" s="1" t="s">
        <v>74</v>
      </c>
      <c r="AY237" s="1" t="s">
        <v>74</v>
      </c>
      <c r="AZ237" s="1" t="s">
        <v>74</v>
      </c>
      <c r="BA237" s="1" t="s">
        <v>74</v>
      </c>
      <c r="BB237" s="1">
        <v>554.0</v>
      </c>
      <c r="BC237" s="1">
        <v>563.0</v>
      </c>
      <c r="BD237" s="1" t="s">
        <v>74</v>
      </c>
      <c r="BE237" s="1" t="s">
        <v>2572</v>
      </c>
      <c r="BF237" s="2" t="str">
        <f>HYPERLINK("http://dx.doi.org/10.1016/j.arabjc.2017.10.011","http://dx.doi.org/10.1016/j.arabjc.2017.10.011")</f>
        <v>http://dx.doi.org/10.1016/j.arabjc.2017.10.011</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2573</v>
      </c>
      <c r="BT237" s="1" t="str">
        <f>HYPERLINK("https%3A%2F%2Fwww.webofscience.com%2Fwos%2Fwoscc%2Ffull-record%2FWOS:000438122800011","View Full Record in Web of Science")</f>
        <v>View Full Record in Web of Science</v>
      </c>
    </row>
    <row r="238" ht="12.75" customHeight="1">
      <c r="A238" s="1" t="s">
        <v>748</v>
      </c>
      <c r="B238" s="1" t="s">
        <v>2574</v>
      </c>
      <c r="C238" s="1" t="s">
        <v>74</v>
      </c>
      <c r="D238" s="1" t="s">
        <v>2575</v>
      </c>
      <c r="E238" s="1" t="s">
        <v>74</v>
      </c>
      <c r="F238" s="1" t="s">
        <v>2576</v>
      </c>
      <c r="G238" s="1" t="s">
        <v>74</v>
      </c>
      <c r="H238" s="1" t="s">
        <v>74</v>
      </c>
      <c r="I238" s="1" t="s">
        <v>2577</v>
      </c>
      <c r="J238" s="1" t="s">
        <v>2578</v>
      </c>
      <c r="K238" s="1" t="s">
        <v>2579</v>
      </c>
      <c r="L238" s="1" t="s">
        <v>74</v>
      </c>
      <c r="M238" s="1" t="s">
        <v>74</v>
      </c>
      <c r="N238" s="1" t="s">
        <v>74</v>
      </c>
      <c r="O238" s="1" t="s">
        <v>74</v>
      </c>
      <c r="P238" s="1" t="s">
        <v>74</v>
      </c>
      <c r="Q238" s="1" t="s">
        <v>74</v>
      </c>
      <c r="R238" s="1" t="s">
        <v>74</v>
      </c>
      <c r="S238" s="1" t="s">
        <v>74</v>
      </c>
      <c r="T238" s="1" t="s">
        <v>74</v>
      </c>
      <c r="U238" s="1" t="s">
        <v>74</v>
      </c>
      <c r="V238" s="1" t="s">
        <v>74</v>
      </c>
      <c r="W238" s="1" t="s">
        <v>74</v>
      </c>
      <c r="X238" s="1" t="s">
        <v>74</v>
      </c>
      <c r="Y238" s="1" t="s">
        <v>74</v>
      </c>
      <c r="Z238" s="1" t="s">
        <v>74</v>
      </c>
      <c r="AA238" s="1" t="s">
        <v>2580</v>
      </c>
      <c r="AB238" s="1" t="s">
        <v>74</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74</v>
      </c>
      <c r="AP238" s="1" t="s">
        <v>74</v>
      </c>
      <c r="AQ238" s="1" t="s">
        <v>2581</v>
      </c>
      <c r="AR238" s="1" t="s">
        <v>74</v>
      </c>
      <c r="AS238" s="1" t="s">
        <v>74</v>
      </c>
      <c r="AT238" s="1" t="s">
        <v>74</v>
      </c>
      <c r="AU238" s="1">
        <v>2018.0</v>
      </c>
      <c r="AV238" s="1" t="s">
        <v>74</v>
      </c>
      <c r="AW238" s="1" t="s">
        <v>74</v>
      </c>
      <c r="AX238" s="1" t="s">
        <v>74</v>
      </c>
      <c r="AY238" s="1" t="s">
        <v>74</v>
      </c>
      <c r="AZ238" s="1" t="s">
        <v>74</v>
      </c>
      <c r="BA238" s="1" t="s">
        <v>74</v>
      </c>
      <c r="BB238" s="1">
        <v>39.0</v>
      </c>
      <c r="BC238" s="1">
        <v>55.0</v>
      </c>
      <c r="BD238" s="1" t="s">
        <v>74</v>
      </c>
      <c r="BE238" s="1" t="s">
        <v>74</v>
      </c>
      <c r="BF238" s="1" t="s">
        <v>74</v>
      </c>
      <c r="BG238" s="1" t="s">
        <v>2582</v>
      </c>
      <c r="BH238" s="1" t="s">
        <v>74</v>
      </c>
      <c r="BI238" s="1" t="s">
        <v>74</v>
      </c>
      <c r="BJ238" s="1" t="s">
        <v>74</v>
      </c>
      <c r="BK238" s="1" t="s">
        <v>74</v>
      </c>
      <c r="BL238" s="1" t="s">
        <v>74</v>
      </c>
      <c r="BM238" s="1" t="s">
        <v>74</v>
      </c>
      <c r="BN238" s="1" t="s">
        <v>74</v>
      </c>
      <c r="BO238" s="1" t="s">
        <v>74</v>
      </c>
      <c r="BP238" s="1" t="s">
        <v>74</v>
      </c>
      <c r="BQ238" s="1" t="s">
        <v>74</v>
      </c>
      <c r="BR238" s="1" t="s">
        <v>74</v>
      </c>
      <c r="BS238" s="1" t="s">
        <v>2583</v>
      </c>
      <c r="BT238" s="1" t="str">
        <f>HYPERLINK("https%3A%2F%2Fwww.webofscience.com%2Fwos%2Fwoscc%2Ffull-record%2FWOS:000431990300003","View Full Record in Web of Science")</f>
        <v>View Full Record in Web of Science</v>
      </c>
    </row>
    <row r="239" ht="12.75" customHeight="1">
      <c r="A239" s="1" t="s">
        <v>72</v>
      </c>
      <c r="B239" s="1" t="s">
        <v>2584</v>
      </c>
      <c r="C239" s="1" t="s">
        <v>74</v>
      </c>
      <c r="D239" s="1" t="s">
        <v>74</v>
      </c>
      <c r="E239" s="1" t="s">
        <v>74</v>
      </c>
      <c r="F239" s="1" t="s">
        <v>2585</v>
      </c>
      <c r="G239" s="1" t="s">
        <v>74</v>
      </c>
      <c r="H239" s="1" t="s">
        <v>74</v>
      </c>
      <c r="I239" s="1" t="s">
        <v>2586</v>
      </c>
      <c r="J239" s="1" t="s">
        <v>2587</v>
      </c>
      <c r="K239" s="1" t="s">
        <v>74</v>
      </c>
      <c r="L239" s="1" t="s">
        <v>74</v>
      </c>
      <c r="M239" s="1" t="s">
        <v>74</v>
      </c>
      <c r="N239" s="1" t="s">
        <v>74</v>
      </c>
      <c r="O239" s="1" t="s">
        <v>74</v>
      </c>
      <c r="P239" s="1" t="s">
        <v>74</v>
      </c>
      <c r="Q239" s="1" t="s">
        <v>74</v>
      </c>
      <c r="R239" s="1" t="s">
        <v>74</v>
      </c>
      <c r="S239" s="1" t="s">
        <v>74</v>
      </c>
      <c r="T239" s="1" t="s">
        <v>74</v>
      </c>
      <c r="U239" s="1" t="s">
        <v>74</v>
      </c>
      <c r="V239" s="1" t="s">
        <v>2588</v>
      </c>
      <c r="W239" s="1" t="s">
        <v>74</v>
      </c>
      <c r="X239" s="1" t="s">
        <v>74</v>
      </c>
      <c r="Y239" s="1" t="s">
        <v>74</v>
      </c>
      <c r="Z239" s="1" t="s">
        <v>74</v>
      </c>
      <c r="AA239" s="1" t="s">
        <v>2589</v>
      </c>
      <c r="AB239" s="1" t="s">
        <v>2590</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2591</v>
      </c>
      <c r="AP239" s="1" t="s">
        <v>2592</v>
      </c>
      <c r="AQ239" s="1" t="s">
        <v>74</v>
      </c>
      <c r="AR239" s="1" t="s">
        <v>74</v>
      </c>
      <c r="AS239" s="1" t="s">
        <v>74</v>
      </c>
      <c r="AT239" s="1" t="s">
        <v>374</v>
      </c>
      <c r="AU239" s="1">
        <v>2017.0</v>
      </c>
      <c r="AV239" s="1">
        <v>49.0</v>
      </c>
      <c r="AW239" s="1">
        <v>4.0</v>
      </c>
      <c r="AX239" s="1" t="s">
        <v>74</v>
      </c>
      <c r="AY239" s="1" t="s">
        <v>74</v>
      </c>
      <c r="AZ239" s="1" t="s">
        <v>74</v>
      </c>
      <c r="BA239" s="1" t="s">
        <v>74</v>
      </c>
      <c r="BB239" s="1">
        <v>771.0</v>
      </c>
      <c r="BC239" s="1">
        <v>797.0</v>
      </c>
      <c r="BD239" s="1" t="s">
        <v>74</v>
      </c>
      <c r="BE239" s="1" t="s">
        <v>2593</v>
      </c>
      <c r="BF239" s="2" t="str">
        <f>HYPERLINK("http://dx.doi.org/10.1017/S0022216X17000037","http://dx.doi.org/10.1017/S0022216X17000037")</f>
        <v>http://dx.doi.org/10.1017/S0022216X17000037</v>
      </c>
      <c r="BG239" s="1" t="s">
        <v>74</v>
      </c>
      <c r="BH239" s="1" t="s">
        <v>74</v>
      </c>
      <c r="BI239" s="1" t="s">
        <v>74</v>
      </c>
      <c r="BJ239" s="1" t="s">
        <v>74</v>
      </c>
      <c r="BK239" s="1" t="s">
        <v>74</v>
      </c>
      <c r="BL239" s="1" t="s">
        <v>74</v>
      </c>
      <c r="BM239" s="1" t="s">
        <v>74</v>
      </c>
      <c r="BN239" s="1" t="s">
        <v>74</v>
      </c>
      <c r="BO239" s="1" t="s">
        <v>74</v>
      </c>
      <c r="BP239" s="1" t="s">
        <v>74</v>
      </c>
      <c r="BQ239" s="1" t="s">
        <v>74</v>
      </c>
      <c r="BR239" s="1" t="s">
        <v>74</v>
      </c>
      <c r="BS239" s="1" t="s">
        <v>2594</v>
      </c>
      <c r="BT239" s="1" t="str">
        <f>HYPERLINK("https%3A%2F%2Fwww.webofscience.com%2Fwos%2Fwoscc%2Ffull-record%2FWOS:000413167000003","View Full Record in Web of Science")</f>
        <v>View Full Record in Web of Science</v>
      </c>
    </row>
    <row r="240" ht="12.75" customHeight="1">
      <c r="A240" s="1" t="s">
        <v>72</v>
      </c>
      <c r="B240" s="1" t="s">
        <v>2595</v>
      </c>
      <c r="C240" s="1" t="s">
        <v>74</v>
      </c>
      <c r="D240" s="1" t="s">
        <v>74</v>
      </c>
      <c r="E240" s="1" t="s">
        <v>74</v>
      </c>
      <c r="F240" s="1" t="s">
        <v>2596</v>
      </c>
      <c r="G240" s="1" t="s">
        <v>74</v>
      </c>
      <c r="H240" s="1" t="s">
        <v>74</v>
      </c>
      <c r="I240" s="1" t="s">
        <v>2597</v>
      </c>
      <c r="J240" s="1" t="s">
        <v>2598</v>
      </c>
      <c r="K240" s="1" t="s">
        <v>74</v>
      </c>
      <c r="L240" s="1" t="s">
        <v>74</v>
      </c>
      <c r="M240" s="1" t="s">
        <v>74</v>
      </c>
      <c r="N240" s="1" t="s">
        <v>74</v>
      </c>
      <c r="O240" s="1" t="s">
        <v>74</v>
      </c>
      <c r="P240" s="1" t="s">
        <v>74</v>
      </c>
      <c r="Q240" s="1" t="s">
        <v>74</v>
      </c>
      <c r="R240" s="1" t="s">
        <v>74</v>
      </c>
      <c r="S240" s="1" t="s">
        <v>74</v>
      </c>
      <c r="T240" s="1" t="s">
        <v>74</v>
      </c>
      <c r="U240" s="1" t="s">
        <v>74</v>
      </c>
      <c r="V240" s="1" t="s">
        <v>2599</v>
      </c>
      <c r="W240" s="1" t="s">
        <v>74</v>
      </c>
      <c r="X240" s="1" t="s">
        <v>74</v>
      </c>
      <c r="Y240" s="1" t="s">
        <v>74</v>
      </c>
      <c r="Z240" s="1" t="s">
        <v>74</v>
      </c>
      <c r="AA240" s="1" t="s">
        <v>2600</v>
      </c>
      <c r="AB240" s="1" t="s">
        <v>2601</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2602</v>
      </c>
      <c r="AP240" s="1" t="s">
        <v>2603</v>
      </c>
      <c r="AQ240" s="1" t="s">
        <v>74</v>
      </c>
      <c r="AR240" s="1" t="s">
        <v>74</v>
      </c>
      <c r="AS240" s="1" t="s">
        <v>74</v>
      </c>
      <c r="AT240" s="1" t="s">
        <v>2604</v>
      </c>
      <c r="AU240" s="1">
        <v>2017.0</v>
      </c>
      <c r="AV240" s="1">
        <v>51.0</v>
      </c>
      <c r="AW240" s="1">
        <v>4.0</v>
      </c>
      <c r="AX240" s="1" t="s">
        <v>74</v>
      </c>
      <c r="AY240" s="1" t="s">
        <v>74</v>
      </c>
      <c r="AZ240" s="1" t="s">
        <v>74</v>
      </c>
      <c r="BA240" s="1" t="s">
        <v>74</v>
      </c>
      <c r="BB240" s="1">
        <v>1407.0</v>
      </c>
      <c r="BC240" s="1">
        <v>1427.0</v>
      </c>
      <c r="BD240" s="1" t="s">
        <v>74</v>
      </c>
      <c r="BE240" s="1" t="s">
        <v>2605</v>
      </c>
      <c r="BF240" s="2" t="str">
        <f>HYPERLINK("http://dx.doi.org/10.1051/m2an/2016068","http://dx.doi.org/10.1051/m2an/2016068")</f>
        <v>http://dx.doi.org/10.1051/m2an/2016068</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2606</v>
      </c>
      <c r="BT240" s="1" t="str">
        <f>HYPERLINK("https%3A%2F%2Fwww.webofscience.com%2Fwos%2Fwoscc%2Ffull-record%2FWOS:000410567200012","View Full Record in Web of Science")</f>
        <v>View Full Record in Web of Science</v>
      </c>
    </row>
    <row r="241" ht="12.75" customHeight="1">
      <c r="A241" s="1" t="s">
        <v>72</v>
      </c>
      <c r="B241" s="1" t="s">
        <v>2607</v>
      </c>
      <c r="C241" s="1" t="s">
        <v>74</v>
      </c>
      <c r="D241" s="1" t="s">
        <v>74</v>
      </c>
      <c r="E241" s="1" t="s">
        <v>74</v>
      </c>
      <c r="F241" s="1" t="s">
        <v>2608</v>
      </c>
      <c r="G241" s="1" t="s">
        <v>74</v>
      </c>
      <c r="H241" s="1" t="s">
        <v>74</v>
      </c>
      <c r="I241" s="1" t="s">
        <v>2609</v>
      </c>
      <c r="J241" s="1" t="s">
        <v>886</v>
      </c>
      <c r="K241" s="1" t="s">
        <v>74</v>
      </c>
      <c r="L241" s="1" t="s">
        <v>74</v>
      </c>
      <c r="M241" s="1" t="s">
        <v>74</v>
      </c>
      <c r="N241" s="1" t="s">
        <v>74</v>
      </c>
      <c r="O241" s="1" t="s">
        <v>74</v>
      </c>
      <c r="P241" s="1" t="s">
        <v>74</v>
      </c>
      <c r="Q241" s="1" t="s">
        <v>74</v>
      </c>
      <c r="R241" s="1" t="s">
        <v>74</v>
      </c>
      <c r="S241" s="1" t="s">
        <v>74</v>
      </c>
      <c r="T241" s="1" t="s">
        <v>74</v>
      </c>
      <c r="U241" s="1" t="s">
        <v>74</v>
      </c>
      <c r="V241" s="1" t="s">
        <v>2610</v>
      </c>
      <c r="W241" s="1" t="s">
        <v>74</v>
      </c>
      <c r="X241" s="1" t="s">
        <v>74</v>
      </c>
      <c r="Y241" s="1" t="s">
        <v>74</v>
      </c>
      <c r="Z241" s="1" t="s">
        <v>74</v>
      </c>
      <c r="AA241" s="1" t="s">
        <v>2611</v>
      </c>
      <c r="AB241" s="1" t="s">
        <v>74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890</v>
      </c>
      <c r="AP241" s="1" t="s">
        <v>74</v>
      </c>
      <c r="AQ241" s="1" t="s">
        <v>74</v>
      </c>
      <c r="AR241" s="1" t="s">
        <v>74</v>
      </c>
      <c r="AS241" s="1" t="s">
        <v>74</v>
      </c>
      <c r="AT241" s="1" t="s">
        <v>74</v>
      </c>
      <c r="AU241" s="1">
        <v>2017.0</v>
      </c>
      <c r="AV241" s="1">
        <v>16.0</v>
      </c>
      <c r="AW241" s="1">
        <v>4.0</v>
      </c>
      <c r="AX241" s="1" t="s">
        <v>74</v>
      </c>
      <c r="AY241" s="1" t="s">
        <v>74</v>
      </c>
      <c r="AZ241" s="1" t="s">
        <v>74</v>
      </c>
      <c r="BA241" s="1" t="s">
        <v>74</v>
      </c>
      <c r="BB241" s="1" t="s">
        <v>74</v>
      </c>
      <c r="BC241" s="1" t="s">
        <v>74</v>
      </c>
      <c r="BD241" s="1" t="s">
        <v>74</v>
      </c>
      <c r="BE241" s="1" t="s">
        <v>2612</v>
      </c>
      <c r="BF241" s="2" t="str">
        <f>HYPERLINK("http://dx.doi.org/10.11144/Javeriana.upsy16-4.rrea","http://dx.doi.org/10.11144/Javeriana.upsy16-4.rrea")</f>
        <v>http://dx.doi.org/10.11144/Javeriana.upsy16-4.rrea</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2613</v>
      </c>
      <c r="BT241" s="1" t="str">
        <f>HYPERLINK("https%3A%2F%2Fwww.webofscience.com%2Fwos%2Fwoscc%2Ffull-record%2FWOS:000422765000008","View Full Record in Web of Science")</f>
        <v>View Full Record in Web of Science</v>
      </c>
    </row>
    <row r="242" ht="12.75" customHeight="1">
      <c r="A242" s="1" t="s">
        <v>72</v>
      </c>
      <c r="B242" s="1" t="s">
        <v>2614</v>
      </c>
      <c r="C242" s="1" t="s">
        <v>74</v>
      </c>
      <c r="D242" s="1" t="s">
        <v>74</v>
      </c>
      <c r="E242" s="1" t="s">
        <v>74</v>
      </c>
      <c r="F242" s="1" t="s">
        <v>2615</v>
      </c>
      <c r="G242" s="1" t="s">
        <v>74</v>
      </c>
      <c r="H242" s="1" t="s">
        <v>74</v>
      </c>
      <c r="I242" s="1" t="s">
        <v>2616</v>
      </c>
      <c r="J242" s="1" t="s">
        <v>2617</v>
      </c>
      <c r="K242" s="1" t="s">
        <v>74</v>
      </c>
      <c r="L242" s="1" t="s">
        <v>74</v>
      </c>
      <c r="M242" s="1" t="s">
        <v>74</v>
      </c>
      <c r="N242" s="1" t="s">
        <v>74</v>
      </c>
      <c r="O242" s="1" t="s">
        <v>74</v>
      </c>
      <c r="P242" s="1" t="s">
        <v>74</v>
      </c>
      <c r="Q242" s="1" t="s">
        <v>74</v>
      </c>
      <c r="R242" s="1" t="s">
        <v>74</v>
      </c>
      <c r="S242" s="1" t="s">
        <v>74</v>
      </c>
      <c r="T242" s="1" t="s">
        <v>74</v>
      </c>
      <c r="U242" s="1" t="s">
        <v>74</v>
      </c>
      <c r="V242" s="1" t="s">
        <v>2618</v>
      </c>
      <c r="W242" s="1" t="s">
        <v>74</v>
      </c>
      <c r="X242" s="1" t="s">
        <v>74</v>
      </c>
      <c r="Y242" s="1" t="s">
        <v>74</v>
      </c>
      <c r="Z242" s="1" t="s">
        <v>74</v>
      </c>
      <c r="AA242" s="1" t="s">
        <v>2619</v>
      </c>
      <c r="AB242" s="1" t="s">
        <v>2620</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2621</v>
      </c>
      <c r="AP242" s="1" t="s">
        <v>2622</v>
      </c>
      <c r="AQ242" s="1" t="s">
        <v>74</v>
      </c>
      <c r="AR242" s="1" t="s">
        <v>74</v>
      </c>
      <c r="AS242" s="1" t="s">
        <v>74</v>
      </c>
      <c r="AT242" s="1" t="s">
        <v>94</v>
      </c>
      <c r="AU242" s="1">
        <v>2016.0</v>
      </c>
      <c r="AV242" s="1" t="s">
        <v>2623</v>
      </c>
      <c r="AW242" s="1">
        <v>6.0</v>
      </c>
      <c r="AX242" s="1" t="s">
        <v>74</v>
      </c>
      <c r="AY242" s="1" t="s">
        <v>74</v>
      </c>
      <c r="AZ242" s="1" t="s">
        <v>74</v>
      </c>
      <c r="BA242" s="1" t="s">
        <v>74</v>
      </c>
      <c r="BB242" s="1">
        <v>3088.0</v>
      </c>
      <c r="BC242" s="1">
        <v>3094.0</v>
      </c>
      <c r="BD242" s="1" t="s">
        <v>74</v>
      </c>
      <c r="BE242" s="1" t="s">
        <v>2624</v>
      </c>
      <c r="BF242" s="2" t="str">
        <f>HYPERLINK("http://dx.doi.org/10.1007/s11661-016-3435-5","http://dx.doi.org/10.1007/s11661-016-3435-5")</f>
        <v>http://dx.doi.org/10.1007/s11661-016-3435-5</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2625</v>
      </c>
      <c r="BT242" s="1" t="str">
        <f>HYPERLINK("https%3A%2F%2Fwww.webofscience.com%2Fwos%2Fwoscc%2Ffull-record%2FWOS:000375330700050","View Full Record in Web of Science")</f>
        <v>View Full Record in Web of Science</v>
      </c>
    </row>
    <row r="243" ht="12.75" customHeight="1">
      <c r="A243" s="1" t="s">
        <v>207</v>
      </c>
      <c r="B243" s="1" t="s">
        <v>2626</v>
      </c>
      <c r="C243" s="1" t="s">
        <v>74</v>
      </c>
      <c r="D243" s="1" t="s">
        <v>74</v>
      </c>
      <c r="E243" s="1" t="s">
        <v>224</v>
      </c>
      <c r="F243" s="1" t="s">
        <v>2627</v>
      </c>
      <c r="G243" s="1" t="s">
        <v>74</v>
      </c>
      <c r="H243" s="1" t="s">
        <v>74</v>
      </c>
      <c r="I243" s="1" t="s">
        <v>2628</v>
      </c>
      <c r="J243" s="1" t="s">
        <v>2629</v>
      </c>
      <c r="K243" s="1" t="s">
        <v>2630</v>
      </c>
      <c r="L243" s="1" t="s">
        <v>74</v>
      </c>
      <c r="M243" s="1" t="s">
        <v>74</v>
      </c>
      <c r="N243" s="1" t="s">
        <v>74</v>
      </c>
      <c r="O243" s="1" t="s">
        <v>2631</v>
      </c>
      <c r="P243" s="1" t="s">
        <v>2632</v>
      </c>
      <c r="Q243" s="1" t="s">
        <v>2633</v>
      </c>
      <c r="R243" s="1" t="s">
        <v>224</v>
      </c>
      <c r="S243" s="1" t="s">
        <v>74</v>
      </c>
      <c r="T243" s="1" t="s">
        <v>74</v>
      </c>
      <c r="U243" s="1" t="s">
        <v>74</v>
      </c>
      <c r="V243" s="1" t="s">
        <v>2634</v>
      </c>
      <c r="W243" s="1" t="s">
        <v>74</v>
      </c>
      <c r="X243" s="1" t="s">
        <v>74</v>
      </c>
      <c r="Y243" s="1" t="s">
        <v>74</v>
      </c>
      <c r="Z243" s="1" t="s">
        <v>74</v>
      </c>
      <c r="AA243" s="1" t="s">
        <v>2635</v>
      </c>
      <c r="AB243" s="1" t="s">
        <v>2636</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2637</v>
      </c>
      <c r="AP243" s="1" t="s">
        <v>74</v>
      </c>
      <c r="AQ243" s="1" t="s">
        <v>2638</v>
      </c>
      <c r="AR243" s="1" t="s">
        <v>74</v>
      </c>
      <c r="AS243" s="1" t="s">
        <v>74</v>
      </c>
      <c r="AT243" s="1" t="s">
        <v>74</v>
      </c>
      <c r="AU243" s="1">
        <v>2016.0</v>
      </c>
      <c r="AV243" s="1" t="s">
        <v>74</v>
      </c>
      <c r="AW243" s="1" t="s">
        <v>74</v>
      </c>
      <c r="AX243" s="1" t="s">
        <v>74</v>
      </c>
      <c r="AY243" s="1" t="s">
        <v>74</v>
      </c>
      <c r="AZ243" s="1" t="s">
        <v>74</v>
      </c>
      <c r="BA243" s="1" t="s">
        <v>74</v>
      </c>
      <c r="BB243" s="1">
        <v>299.0</v>
      </c>
      <c r="BC243" s="1">
        <v>304.0</v>
      </c>
      <c r="BD243" s="1" t="s">
        <v>74</v>
      </c>
      <c r="BE243" s="1" t="s">
        <v>74</v>
      </c>
      <c r="BF243" s="1" t="s">
        <v>74</v>
      </c>
      <c r="BG243" s="1" t="s">
        <v>74</v>
      </c>
      <c r="BH243" s="1" t="s">
        <v>74</v>
      </c>
      <c r="BI243" s="1" t="s">
        <v>74</v>
      </c>
      <c r="BJ243" s="1" t="s">
        <v>74</v>
      </c>
      <c r="BK243" s="1" t="s">
        <v>74</v>
      </c>
      <c r="BL243" s="1" t="s">
        <v>74</v>
      </c>
      <c r="BM243" s="1" t="s">
        <v>74</v>
      </c>
      <c r="BN243" s="1" t="s">
        <v>74</v>
      </c>
      <c r="BO243" s="1" t="s">
        <v>74</v>
      </c>
      <c r="BP243" s="1" t="s">
        <v>74</v>
      </c>
      <c r="BQ243" s="1" t="s">
        <v>74</v>
      </c>
      <c r="BR243" s="1" t="s">
        <v>74</v>
      </c>
      <c r="BS243" s="1" t="s">
        <v>2639</v>
      </c>
      <c r="BT243" s="1" t="str">
        <f>HYPERLINK("https%3A%2F%2Fwww.webofscience.com%2Fwos%2Fwoscc%2Ffull-record%2FWOS:000381734900051","View Full Record in Web of Science")</f>
        <v>View Full Record in Web of Science</v>
      </c>
    </row>
    <row r="244" ht="12.75" customHeight="1">
      <c r="A244" s="1" t="s">
        <v>72</v>
      </c>
      <c r="B244" s="1" t="s">
        <v>2640</v>
      </c>
      <c r="C244" s="1" t="s">
        <v>74</v>
      </c>
      <c r="D244" s="1" t="s">
        <v>74</v>
      </c>
      <c r="E244" s="1" t="s">
        <v>74</v>
      </c>
      <c r="F244" s="1" t="s">
        <v>2641</v>
      </c>
      <c r="G244" s="1" t="s">
        <v>74</v>
      </c>
      <c r="H244" s="1" t="s">
        <v>74</v>
      </c>
      <c r="I244" s="1" t="s">
        <v>2642</v>
      </c>
      <c r="J244" s="1" t="s">
        <v>2643</v>
      </c>
      <c r="K244" s="1" t="s">
        <v>74</v>
      </c>
      <c r="L244" s="1" t="s">
        <v>74</v>
      </c>
      <c r="M244" s="1" t="s">
        <v>74</v>
      </c>
      <c r="N244" s="1" t="s">
        <v>74</v>
      </c>
      <c r="O244" s="1" t="s">
        <v>74</v>
      </c>
      <c r="P244" s="1" t="s">
        <v>74</v>
      </c>
      <c r="Q244" s="1" t="s">
        <v>74</v>
      </c>
      <c r="R244" s="1" t="s">
        <v>74</v>
      </c>
      <c r="S244" s="1" t="s">
        <v>74</v>
      </c>
      <c r="T244" s="1" t="s">
        <v>74</v>
      </c>
      <c r="U244" s="1" t="s">
        <v>74</v>
      </c>
      <c r="V244" s="1" t="s">
        <v>2644</v>
      </c>
      <c r="W244" s="1" t="s">
        <v>74</v>
      </c>
      <c r="X244" s="1" t="s">
        <v>74</v>
      </c>
      <c r="Y244" s="1" t="s">
        <v>74</v>
      </c>
      <c r="Z244" s="1" t="s">
        <v>74</v>
      </c>
      <c r="AA244" s="1" t="s">
        <v>2645</v>
      </c>
      <c r="AB244" s="1" t="s">
        <v>2646</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2647</v>
      </c>
      <c r="AP244" s="1" t="s">
        <v>2648</v>
      </c>
      <c r="AQ244" s="1" t="s">
        <v>74</v>
      </c>
      <c r="AR244" s="1" t="s">
        <v>74</v>
      </c>
      <c r="AS244" s="1" t="s">
        <v>74</v>
      </c>
      <c r="AT244" s="1" t="s">
        <v>1279</v>
      </c>
      <c r="AU244" s="1">
        <v>2015.0</v>
      </c>
      <c r="AV244" s="1">
        <v>22.0</v>
      </c>
      <c r="AW244" s="1">
        <v>4.0</v>
      </c>
      <c r="AX244" s="1" t="s">
        <v>74</v>
      </c>
      <c r="AY244" s="1" t="s">
        <v>74</v>
      </c>
      <c r="AZ244" s="1" t="s">
        <v>74</v>
      </c>
      <c r="BA244" s="1" t="s">
        <v>74</v>
      </c>
      <c r="BB244" s="1" t="s">
        <v>74</v>
      </c>
      <c r="BC244" s="1" t="s">
        <v>74</v>
      </c>
      <c r="BD244" s="1">
        <v>40705.0</v>
      </c>
      <c r="BE244" s="1" t="s">
        <v>2649</v>
      </c>
      <c r="BF244" s="2" t="str">
        <f>HYPERLINK("http://dx.doi.org/10.1063/1.4919260","http://dx.doi.org/10.1063/1.4919260")</f>
        <v>http://dx.doi.org/10.1063/1.4919260</v>
      </c>
      <c r="BG244" s="1" t="s">
        <v>74</v>
      </c>
      <c r="BH244" s="1" t="s">
        <v>74</v>
      </c>
      <c r="BI244" s="1" t="s">
        <v>74</v>
      </c>
      <c r="BJ244" s="1" t="s">
        <v>74</v>
      </c>
      <c r="BK244" s="1" t="s">
        <v>74</v>
      </c>
      <c r="BL244" s="1" t="s">
        <v>74</v>
      </c>
      <c r="BM244" s="1" t="s">
        <v>74</v>
      </c>
      <c r="BN244" s="1" t="s">
        <v>74</v>
      </c>
      <c r="BO244" s="1" t="s">
        <v>74</v>
      </c>
      <c r="BP244" s="1" t="s">
        <v>74</v>
      </c>
      <c r="BQ244" s="1" t="s">
        <v>74</v>
      </c>
      <c r="BR244" s="1" t="s">
        <v>74</v>
      </c>
      <c r="BS244" s="1" t="s">
        <v>2650</v>
      </c>
      <c r="BT244" s="1" t="str">
        <f>HYPERLINK("https%3A%2F%2Fwww.webofscience.com%2Fwos%2Fwoscc%2Ffull-record%2FWOS:000353837200006","View Full Record in Web of Science")</f>
        <v>View Full Record in Web of Science</v>
      </c>
    </row>
    <row r="245" ht="12.75" customHeight="1">
      <c r="A245" s="1" t="s">
        <v>72</v>
      </c>
      <c r="B245" s="1" t="s">
        <v>2651</v>
      </c>
      <c r="C245" s="1" t="s">
        <v>74</v>
      </c>
      <c r="D245" s="1" t="s">
        <v>74</v>
      </c>
      <c r="E245" s="1" t="s">
        <v>74</v>
      </c>
      <c r="F245" s="1" t="s">
        <v>2652</v>
      </c>
      <c r="G245" s="1" t="s">
        <v>74</v>
      </c>
      <c r="H245" s="1" t="s">
        <v>74</v>
      </c>
      <c r="I245" s="1" t="s">
        <v>2653</v>
      </c>
      <c r="J245" s="1" t="s">
        <v>2654</v>
      </c>
      <c r="K245" s="1" t="s">
        <v>74</v>
      </c>
      <c r="L245" s="1" t="s">
        <v>74</v>
      </c>
      <c r="M245" s="1" t="s">
        <v>74</v>
      </c>
      <c r="N245" s="1" t="s">
        <v>74</v>
      </c>
      <c r="O245" s="1" t="s">
        <v>74</v>
      </c>
      <c r="P245" s="1" t="s">
        <v>74</v>
      </c>
      <c r="Q245" s="1" t="s">
        <v>74</v>
      </c>
      <c r="R245" s="1" t="s">
        <v>74</v>
      </c>
      <c r="S245" s="1" t="s">
        <v>74</v>
      </c>
      <c r="T245" s="1" t="s">
        <v>74</v>
      </c>
      <c r="U245" s="1" t="s">
        <v>74</v>
      </c>
      <c r="V245" s="1" t="s">
        <v>2655</v>
      </c>
      <c r="W245" s="1" t="s">
        <v>74</v>
      </c>
      <c r="X245" s="1" t="s">
        <v>74</v>
      </c>
      <c r="Y245" s="1" t="s">
        <v>74</v>
      </c>
      <c r="Z245" s="1" t="s">
        <v>74</v>
      </c>
      <c r="AA245" s="1" t="s">
        <v>2017</v>
      </c>
      <c r="AB245" s="1" t="s">
        <v>2656</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2657</v>
      </c>
      <c r="AP245" s="1" t="s">
        <v>2658</v>
      </c>
      <c r="AQ245" s="1" t="s">
        <v>74</v>
      </c>
      <c r="AR245" s="1" t="s">
        <v>74</v>
      </c>
      <c r="AS245" s="1" t="s">
        <v>74</v>
      </c>
      <c r="AT245" s="1" t="s">
        <v>1106</v>
      </c>
      <c r="AU245" s="1">
        <v>2015.0</v>
      </c>
      <c r="AV245" s="1">
        <v>87.0</v>
      </c>
      <c r="AW245" s="1" t="s">
        <v>74</v>
      </c>
      <c r="AX245" s="1" t="s">
        <v>74</v>
      </c>
      <c r="AY245" s="1" t="s">
        <v>74</v>
      </c>
      <c r="AZ245" s="1" t="s">
        <v>74</v>
      </c>
      <c r="BA245" s="1" t="s">
        <v>74</v>
      </c>
      <c r="BB245" s="1">
        <v>190.0</v>
      </c>
      <c r="BC245" s="1">
        <v>197.0</v>
      </c>
      <c r="BD245" s="1" t="s">
        <v>74</v>
      </c>
      <c r="BE245" s="1" t="s">
        <v>2659</v>
      </c>
      <c r="BF245" s="2" t="str">
        <f>HYPERLINK("http://dx.doi.org/10.1016/j.geomphys.2014.07.028","http://dx.doi.org/10.1016/j.geomphys.2014.07.028")</f>
        <v>http://dx.doi.org/10.1016/j.geomphys.2014.07.028</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2660</v>
      </c>
      <c r="BT245" s="1" t="str">
        <f>HYPERLINK("https%3A%2F%2Fwww.webofscience.com%2Fwos%2Fwoscc%2Ffull-record%2FWOS:000347760000015","View Full Record in Web of Science")</f>
        <v>View Full Record in Web of Science</v>
      </c>
    </row>
    <row r="246" ht="12.75" customHeight="1">
      <c r="A246" s="1" t="s">
        <v>72</v>
      </c>
      <c r="B246" s="1" t="s">
        <v>2661</v>
      </c>
      <c r="C246" s="1" t="s">
        <v>74</v>
      </c>
      <c r="D246" s="1" t="s">
        <v>74</v>
      </c>
      <c r="E246" s="1" t="s">
        <v>74</v>
      </c>
      <c r="F246" s="1" t="s">
        <v>2662</v>
      </c>
      <c r="G246" s="1" t="s">
        <v>74</v>
      </c>
      <c r="H246" s="1" t="s">
        <v>74</v>
      </c>
      <c r="I246" s="1" t="s">
        <v>2663</v>
      </c>
      <c r="J246" s="1" t="s">
        <v>2664</v>
      </c>
      <c r="K246" s="1" t="s">
        <v>74</v>
      </c>
      <c r="L246" s="1" t="s">
        <v>74</v>
      </c>
      <c r="M246" s="1" t="s">
        <v>74</v>
      </c>
      <c r="N246" s="1" t="s">
        <v>74</v>
      </c>
      <c r="O246" s="1" t="s">
        <v>74</v>
      </c>
      <c r="P246" s="1" t="s">
        <v>74</v>
      </c>
      <c r="Q246" s="1" t="s">
        <v>74</v>
      </c>
      <c r="R246" s="1" t="s">
        <v>74</v>
      </c>
      <c r="S246" s="1" t="s">
        <v>74</v>
      </c>
      <c r="T246" s="1" t="s">
        <v>74</v>
      </c>
      <c r="U246" s="1" t="s">
        <v>74</v>
      </c>
      <c r="V246" s="1" t="s">
        <v>2665</v>
      </c>
      <c r="W246" s="1" t="s">
        <v>74</v>
      </c>
      <c r="X246" s="1" t="s">
        <v>74</v>
      </c>
      <c r="Y246" s="1" t="s">
        <v>74</v>
      </c>
      <c r="Z246" s="1" t="s">
        <v>74</v>
      </c>
      <c r="AA246" s="1" t="s">
        <v>2666</v>
      </c>
      <c r="AB246" s="1" t="s">
        <v>2667</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2668</v>
      </c>
      <c r="AP246" s="1" t="s">
        <v>2669</v>
      </c>
      <c r="AQ246" s="1" t="s">
        <v>74</v>
      </c>
      <c r="AR246" s="1" t="s">
        <v>74</v>
      </c>
      <c r="AS246" s="1" t="s">
        <v>74</v>
      </c>
      <c r="AT246" s="1" t="s">
        <v>1106</v>
      </c>
      <c r="AU246" s="1">
        <v>2015.0</v>
      </c>
      <c r="AV246" s="1">
        <v>30.0</v>
      </c>
      <c r="AW246" s="1">
        <v>1.0</v>
      </c>
      <c r="AX246" s="1" t="s">
        <v>74</v>
      </c>
      <c r="AY246" s="1" t="s">
        <v>74</v>
      </c>
      <c r="AZ246" s="1" t="s">
        <v>74</v>
      </c>
      <c r="BA246" s="1" t="s">
        <v>74</v>
      </c>
      <c r="BB246" s="1">
        <v>77.0</v>
      </c>
      <c r="BC246" s="1">
        <v>90.0</v>
      </c>
      <c r="BD246" s="1" t="s">
        <v>74</v>
      </c>
      <c r="BE246" s="1" t="s">
        <v>2670</v>
      </c>
      <c r="BF246" s="2" t="str">
        <f>HYPERLINK("http://dx.doi.org/10.1007/s10980-014-0111-2","http://dx.doi.org/10.1007/s10980-014-0111-2")</f>
        <v>http://dx.doi.org/10.1007/s10980-014-0111-2</v>
      </c>
      <c r="BG246" s="1" t="s">
        <v>74</v>
      </c>
      <c r="BH246" s="1" t="s">
        <v>74</v>
      </c>
      <c r="BI246" s="1" t="s">
        <v>74</v>
      </c>
      <c r="BJ246" s="1" t="s">
        <v>74</v>
      </c>
      <c r="BK246" s="1" t="s">
        <v>74</v>
      </c>
      <c r="BL246" s="1" t="s">
        <v>74</v>
      </c>
      <c r="BM246" s="1" t="s">
        <v>74</v>
      </c>
      <c r="BN246" s="1" t="s">
        <v>74</v>
      </c>
      <c r="BO246" s="1" t="s">
        <v>74</v>
      </c>
      <c r="BP246" s="1" t="s">
        <v>74</v>
      </c>
      <c r="BQ246" s="1" t="s">
        <v>74</v>
      </c>
      <c r="BR246" s="1" t="s">
        <v>74</v>
      </c>
      <c r="BS246" s="1" t="s">
        <v>2671</v>
      </c>
      <c r="BT246" s="1" t="str">
        <f>HYPERLINK("https%3A%2F%2Fwww.webofscience.com%2Fwos%2Fwoscc%2Ffull-record%2FWOS:000347284600007","View Full Record in Web of Science")</f>
        <v>View Full Record in Web of Science</v>
      </c>
    </row>
    <row r="247" ht="12.75" customHeight="1">
      <c r="A247" s="1" t="s">
        <v>72</v>
      </c>
      <c r="B247" s="1" t="s">
        <v>2672</v>
      </c>
      <c r="C247" s="1" t="s">
        <v>74</v>
      </c>
      <c r="D247" s="1" t="s">
        <v>74</v>
      </c>
      <c r="E247" s="1" t="s">
        <v>74</v>
      </c>
      <c r="F247" s="1" t="s">
        <v>2673</v>
      </c>
      <c r="G247" s="1" t="s">
        <v>74</v>
      </c>
      <c r="H247" s="1" t="s">
        <v>74</v>
      </c>
      <c r="I247" s="1" t="s">
        <v>2674</v>
      </c>
      <c r="J247" s="1" t="s">
        <v>2675</v>
      </c>
      <c r="K247" s="1" t="s">
        <v>74</v>
      </c>
      <c r="L247" s="1" t="s">
        <v>74</v>
      </c>
      <c r="M247" s="1" t="s">
        <v>74</v>
      </c>
      <c r="N247" s="1" t="s">
        <v>74</v>
      </c>
      <c r="O247" s="1" t="s">
        <v>74</v>
      </c>
      <c r="P247" s="1" t="s">
        <v>74</v>
      </c>
      <c r="Q247" s="1" t="s">
        <v>74</v>
      </c>
      <c r="R247" s="1" t="s">
        <v>74</v>
      </c>
      <c r="S247" s="1" t="s">
        <v>74</v>
      </c>
      <c r="T247" s="1" t="s">
        <v>74</v>
      </c>
      <c r="U247" s="1" t="s">
        <v>74</v>
      </c>
      <c r="V247" s="1" t="s">
        <v>2676</v>
      </c>
      <c r="W247" s="1" t="s">
        <v>74</v>
      </c>
      <c r="X247" s="1" t="s">
        <v>74</v>
      </c>
      <c r="Y247" s="1" t="s">
        <v>74</v>
      </c>
      <c r="Z247" s="1" t="s">
        <v>74</v>
      </c>
      <c r="AA247" s="1" t="s">
        <v>2677</v>
      </c>
      <c r="AB247" s="1" t="s">
        <v>2678</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2679</v>
      </c>
      <c r="AP247" s="1" t="s">
        <v>2680</v>
      </c>
      <c r="AQ247" s="1" t="s">
        <v>74</v>
      </c>
      <c r="AR247" s="1" t="s">
        <v>74</v>
      </c>
      <c r="AS247" s="1" t="s">
        <v>74</v>
      </c>
      <c r="AT247" s="1" t="s">
        <v>745</v>
      </c>
      <c r="AU247" s="1">
        <v>2014.0</v>
      </c>
      <c r="AV247" s="1">
        <v>27.0</v>
      </c>
      <c r="AW247" s="1">
        <v>3.0</v>
      </c>
      <c r="AX247" s="1" t="s">
        <v>74</v>
      </c>
      <c r="AY247" s="1" t="s">
        <v>74</v>
      </c>
      <c r="AZ247" s="1" t="s">
        <v>74</v>
      </c>
      <c r="BA247" s="1" t="s">
        <v>74</v>
      </c>
      <c r="BB247" s="1">
        <v>236.0</v>
      </c>
      <c r="BC247" s="1">
        <v>241.0</v>
      </c>
      <c r="BD247" s="1" t="s">
        <v>74</v>
      </c>
      <c r="BE247" s="1" t="s">
        <v>2681</v>
      </c>
      <c r="BF247" s="2" t="str">
        <f>HYPERLINK("http://dx.doi.org/10.1097/YCO.0000000000000059","http://dx.doi.org/10.1097/YCO.0000000000000059")</f>
        <v>http://dx.doi.org/10.1097/YCO.0000000000000059</v>
      </c>
      <c r="BG247" s="1" t="s">
        <v>74</v>
      </c>
      <c r="BH247" s="1" t="s">
        <v>74</v>
      </c>
      <c r="BI247" s="1" t="s">
        <v>74</v>
      </c>
      <c r="BJ247" s="1" t="s">
        <v>74</v>
      </c>
      <c r="BK247" s="1" t="s">
        <v>74</v>
      </c>
      <c r="BL247" s="1" t="s">
        <v>74</v>
      </c>
      <c r="BM247" s="1" t="s">
        <v>74</v>
      </c>
      <c r="BN247" s="1">
        <v>2.461398E7</v>
      </c>
      <c r="BO247" s="1" t="s">
        <v>74</v>
      </c>
      <c r="BP247" s="1" t="s">
        <v>74</v>
      </c>
      <c r="BQ247" s="1" t="s">
        <v>74</v>
      </c>
      <c r="BR247" s="1" t="s">
        <v>74</v>
      </c>
      <c r="BS247" s="1" t="s">
        <v>2682</v>
      </c>
      <c r="BT247" s="1" t="str">
        <f>HYPERLINK("https%3A%2F%2Fwww.webofscience.com%2Fwos%2Fwoscc%2Ffull-record%2FWOS:000335349500012","View Full Record in Web of Science")</f>
        <v>View Full Record in Web of Science</v>
      </c>
    </row>
    <row r="248" ht="12.75" customHeight="1">
      <c r="A248" s="1" t="s">
        <v>72</v>
      </c>
      <c r="B248" s="1" t="s">
        <v>2683</v>
      </c>
      <c r="C248" s="1" t="s">
        <v>74</v>
      </c>
      <c r="D248" s="1" t="s">
        <v>74</v>
      </c>
      <c r="E248" s="1" t="s">
        <v>74</v>
      </c>
      <c r="F248" s="1" t="s">
        <v>2684</v>
      </c>
      <c r="G248" s="1" t="s">
        <v>74</v>
      </c>
      <c r="H248" s="1" t="s">
        <v>74</v>
      </c>
      <c r="I248" s="1" t="s">
        <v>2685</v>
      </c>
      <c r="J248" s="1" t="s">
        <v>2686</v>
      </c>
      <c r="K248" s="1" t="s">
        <v>74</v>
      </c>
      <c r="L248" s="1" t="s">
        <v>74</v>
      </c>
      <c r="M248" s="1" t="s">
        <v>74</v>
      </c>
      <c r="N248" s="1" t="s">
        <v>74</v>
      </c>
      <c r="O248" s="1" t="s">
        <v>74</v>
      </c>
      <c r="P248" s="1" t="s">
        <v>74</v>
      </c>
      <c r="Q248" s="1" t="s">
        <v>74</v>
      </c>
      <c r="R248" s="1" t="s">
        <v>74</v>
      </c>
      <c r="S248" s="1" t="s">
        <v>74</v>
      </c>
      <c r="T248" s="1" t="s">
        <v>74</v>
      </c>
      <c r="U248" s="1" t="s">
        <v>74</v>
      </c>
      <c r="V248" s="1" t="s">
        <v>2687</v>
      </c>
      <c r="W248" s="1" t="s">
        <v>74</v>
      </c>
      <c r="X248" s="1" t="s">
        <v>74</v>
      </c>
      <c r="Y248" s="1" t="s">
        <v>74</v>
      </c>
      <c r="Z248" s="1" t="s">
        <v>74</v>
      </c>
      <c r="AA248" s="1" t="s">
        <v>74</v>
      </c>
      <c r="AB248" s="1" t="s">
        <v>2688</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2689</v>
      </c>
      <c r="AP248" s="1" t="s">
        <v>2690</v>
      </c>
      <c r="AQ248" s="1" t="s">
        <v>74</v>
      </c>
      <c r="AR248" s="1" t="s">
        <v>74</v>
      </c>
      <c r="AS248" s="1" t="s">
        <v>74</v>
      </c>
      <c r="AT248" s="1" t="s">
        <v>2691</v>
      </c>
      <c r="AU248" s="1">
        <v>2013.0</v>
      </c>
      <c r="AV248" s="1">
        <v>106.0</v>
      </c>
      <c r="AW248" s="1" t="s">
        <v>74</v>
      </c>
      <c r="AX248" s="1" t="s">
        <v>74</v>
      </c>
      <c r="AY248" s="1" t="s">
        <v>74</v>
      </c>
      <c r="AZ248" s="1" t="s">
        <v>74</v>
      </c>
      <c r="BA248" s="1" t="s">
        <v>74</v>
      </c>
      <c r="BB248" s="1">
        <v>305.0</v>
      </c>
      <c r="BC248" s="1">
        <v>308.0</v>
      </c>
      <c r="BD248" s="1" t="s">
        <v>74</v>
      </c>
      <c r="BE248" s="1" t="s">
        <v>2692</v>
      </c>
      <c r="BF248" s="2" t="str">
        <f>HYPERLINK("http://dx.doi.org/10.1016/j.talanta.2012.11.004","http://dx.doi.org/10.1016/j.talanta.2012.11.004")</f>
        <v>http://dx.doi.org/10.1016/j.talanta.2012.11.004</v>
      </c>
      <c r="BG248" s="1" t="s">
        <v>74</v>
      </c>
      <c r="BH248" s="1" t="s">
        <v>74</v>
      </c>
      <c r="BI248" s="1" t="s">
        <v>74</v>
      </c>
      <c r="BJ248" s="1" t="s">
        <v>74</v>
      </c>
      <c r="BK248" s="1" t="s">
        <v>74</v>
      </c>
      <c r="BL248" s="1" t="s">
        <v>74</v>
      </c>
      <c r="BM248" s="1" t="s">
        <v>74</v>
      </c>
      <c r="BN248" s="1">
        <v>2.3598132E7</v>
      </c>
      <c r="BO248" s="1" t="s">
        <v>74</v>
      </c>
      <c r="BP248" s="1" t="s">
        <v>74</v>
      </c>
      <c r="BQ248" s="1" t="s">
        <v>74</v>
      </c>
      <c r="BR248" s="1" t="s">
        <v>74</v>
      </c>
      <c r="BS248" s="1" t="s">
        <v>2693</v>
      </c>
      <c r="BT248" s="1" t="str">
        <f>HYPERLINK("https%3A%2F%2Fwww.webofscience.com%2Fwos%2Fwoscc%2Ffull-record%2FWOS:000319088600045","View Full Record in Web of Science")</f>
        <v>View Full Record in Web of Science</v>
      </c>
    </row>
    <row r="249" ht="12.75" customHeight="1">
      <c r="A249" s="1" t="s">
        <v>207</v>
      </c>
      <c r="B249" s="1" t="s">
        <v>2694</v>
      </c>
      <c r="C249" s="1" t="s">
        <v>74</v>
      </c>
      <c r="D249" s="1" t="s">
        <v>2695</v>
      </c>
      <c r="E249" s="1" t="s">
        <v>74</v>
      </c>
      <c r="F249" s="1" t="s">
        <v>2696</v>
      </c>
      <c r="G249" s="1" t="s">
        <v>74</v>
      </c>
      <c r="H249" s="1" t="s">
        <v>74</v>
      </c>
      <c r="I249" s="1" t="s">
        <v>2697</v>
      </c>
      <c r="J249" s="1" t="s">
        <v>2698</v>
      </c>
      <c r="K249" s="1" t="s">
        <v>2699</v>
      </c>
      <c r="L249" s="1" t="s">
        <v>74</v>
      </c>
      <c r="M249" s="1" t="s">
        <v>74</v>
      </c>
      <c r="N249" s="1" t="s">
        <v>74</v>
      </c>
      <c r="O249" s="1" t="s">
        <v>2700</v>
      </c>
      <c r="P249" s="1" t="s">
        <v>2701</v>
      </c>
      <c r="Q249" s="1" t="s">
        <v>2702</v>
      </c>
      <c r="R249" s="1" t="s">
        <v>2703</v>
      </c>
      <c r="S249" s="1" t="s">
        <v>2704</v>
      </c>
      <c r="T249" s="1" t="s">
        <v>74</v>
      </c>
      <c r="U249" s="1" t="s">
        <v>74</v>
      </c>
      <c r="V249" s="1" t="s">
        <v>2705</v>
      </c>
      <c r="W249" s="1" t="s">
        <v>74</v>
      </c>
      <c r="X249" s="1" t="s">
        <v>74</v>
      </c>
      <c r="Y249" s="1" t="s">
        <v>74</v>
      </c>
      <c r="Z249" s="1" t="s">
        <v>74</v>
      </c>
      <c r="AA249" s="1" t="s">
        <v>2706</v>
      </c>
      <c r="AB249" s="1" t="s">
        <v>2707</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2708</v>
      </c>
      <c r="AP249" s="1" t="s">
        <v>74</v>
      </c>
      <c r="AQ249" s="1" t="s">
        <v>74</v>
      </c>
      <c r="AR249" s="1" t="s">
        <v>74</v>
      </c>
      <c r="AS249" s="1" t="s">
        <v>74</v>
      </c>
      <c r="AT249" s="1" t="s">
        <v>74</v>
      </c>
      <c r="AU249" s="1">
        <v>2013.0</v>
      </c>
      <c r="AV249" s="1">
        <v>6.0</v>
      </c>
      <c r="AW249" s="1" t="s">
        <v>74</v>
      </c>
      <c r="AX249" s="1" t="s">
        <v>74</v>
      </c>
      <c r="AY249" s="1" t="s">
        <v>74</v>
      </c>
      <c r="AZ249" s="1" t="s">
        <v>74</v>
      </c>
      <c r="BA249" s="1" t="s">
        <v>74</v>
      </c>
      <c r="BB249" s="1">
        <v>188.0</v>
      </c>
      <c r="BC249" s="1">
        <v>193.0</v>
      </c>
      <c r="BD249" s="1" t="s">
        <v>74</v>
      </c>
      <c r="BE249" s="1" t="s">
        <v>2709</v>
      </c>
      <c r="BF249" s="2" t="str">
        <f>HYPERLINK("http://dx.doi.org/10.1016/j.piutam.2013.01.021","http://dx.doi.org/10.1016/j.piutam.2013.01.021")</f>
        <v>http://dx.doi.org/10.1016/j.piutam.2013.01.021</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2710</v>
      </c>
      <c r="BT249" s="1" t="str">
        <f>HYPERLINK("https%3A%2F%2Fwww.webofscience.com%2Fwos%2Fwoscc%2Ffull-record%2FWOS:000326281100021","View Full Record in Web of Science")</f>
        <v>View Full Record in Web of Science</v>
      </c>
    </row>
    <row r="250" ht="12.75" customHeight="1">
      <c r="A250" s="1" t="s">
        <v>72</v>
      </c>
      <c r="B250" s="1" t="s">
        <v>2711</v>
      </c>
      <c r="C250" s="1" t="s">
        <v>74</v>
      </c>
      <c r="D250" s="1" t="s">
        <v>74</v>
      </c>
      <c r="E250" s="1" t="s">
        <v>74</v>
      </c>
      <c r="F250" s="1" t="s">
        <v>2712</v>
      </c>
      <c r="G250" s="1" t="s">
        <v>74</v>
      </c>
      <c r="H250" s="1" t="s">
        <v>74</v>
      </c>
      <c r="I250" s="1" t="s">
        <v>2713</v>
      </c>
      <c r="J250" s="1" t="s">
        <v>2714</v>
      </c>
      <c r="K250" s="1" t="s">
        <v>74</v>
      </c>
      <c r="L250" s="1" t="s">
        <v>74</v>
      </c>
      <c r="M250" s="1" t="s">
        <v>74</v>
      </c>
      <c r="N250" s="1" t="s">
        <v>74</v>
      </c>
      <c r="O250" s="1" t="s">
        <v>74</v>
      </c>
      <c r="P250" s="1" t="s">
        <v>74</v>
      </c>
      <c r="Q250" s="1" t="s">
        <v>74</v>
      </c>
      <c r="R250" s="1" t="s">
        <v>74</v>
      </c>
      <c r="S250" s="1" t="s">
        <v>74</v>
      </c>
      <c r="T250" s="1" t="s">
        <v>74</v>
      </c>
      <c r="U250" s="1" t="s">
        <v>74</v>
      </c>
      <c r="V250" s="1" t="s">
        <v>2715</v>
      </c>
      <c r="W250" s="1" t="s">
        <v>74</v>
      </c>
      <c r="X250" s="1" t="s">
        <v>74</v>
      </c>
      <c r="Y250" s="1" t="s">
        <v>74</v>
      </c>
      <c r="Z250" s="1" t="s">
        <v>74</v>
      </c>
      <c r="AA250" s="1" t="s">
        <v>2716</v>
      </c>
      <c r="AB250" s="1" t="s">
        <v>2717</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2718</v>
      </c>
      <c r="AP250" s="1" t="s">
        <v>74</v>
      </c>
      <c r="AQ250" s="1" t="s">
        <v>74</v>
      </c>
      <c r="AR250" s="1" t="s">
        <v>74</v>
      </c>
      <c r="AS250" s="1" t="s">
        <v>74</v>
      </c>
      <c r="AT250" s="1" t="s">
        <v>259</v>
      </c>
      <c r="AU250" s="1">
        <v>2010.0</v>
      </c>
      <c r="AV250" s="1">
        <v>13.0</v>
      </c>
      <c r="AW250" s="1">
        <v>5.0</v>
      </c>
      <c r="AX250" s="1" t="s">
        <v>74</v>
      </c>
      <c r="AY250" s="1" t="s">
        <v>74</v>
      </c>
      <c r="AZ250" s="1" t="s">
        <v>74</v>
      </c>
      <c r="BA250" s="1" t="s">
        <v>74</v>
      </c>
      <c r="BB250" s="1" t="s">
        <v>74</v>
      </c>
      <c r="BC250" s="1" t="s">
        <v>74</v>
      </c>
      <c r="BD250" s="1">
        <v>15.0</v>
      </c>
      <c r="BE250" s="1" t="s">
        <v>2719</v>
      </c>
      <c r="BF250" s="2" t="str">
        <f>HYPERLINK("http://dx.doi.org/10.2225/vol13-issue5-fulltext-15","http://dx.doi.org/10.2225/vol13-issue5-fulltext-15")</f>
        <v>http://dx.doi.org/10.2225/vol13-issue5-fulltext-15</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2720</v>
      </c>
      <c r="BT250" s="1" t="str">
        <f>HYPERLINK("https%3A%2F%2Fwww.webofscience.com%2Fwos%2Fwoscc%2Ffull-record%2FWOS:000288175900015","View Full Record in Web of Science")</f>
        <v>View Full Record in Web of Science</v>
      </c>
    </row>
    <row r="251" ht="12.75" customHeight="1">
      <c r="A251" s="1" t="s">
        <v>72</v>
      </c>
      <c r="B251" s="1" t="s">
        <v>2721</v>
      </c>
      <c r="C251" s="1" t="s">
        <v>74</v>
      </c>
      <c r="D251" s="1" t="s">
        <v>74</v>
      </c>
      <c r="E251" s="1" t="s">
        <v>74</v>
      </c>
      <c r="F251" s="1" t="s">
        <v>2722</v>
      </c>
      <c r="G251" s="1" t="s">
        <v>74</v>
      </c>
      <c r="H251" s="1" t="s">
        <v>74</v>
      </c>
      <c r="I251" s="1" t="s">
        <v>2723</v>
      </c>
      <c r="J251" s="1" t="s">
        <v>2724</v>
      </c>
      <c r="K251" s="1" t="s">
        <v>74</v>
      </c>
      <c r="L251" s="1" t="s">
        <v>74</v>
      </c>
      <c r="M251" s="1" t="s">
        <v>74</v>
      </c>
      <c r="N251" s="1" t="s">
        <v>74</v>
      </c>
      <c r="O251" s="1" t="s">
        <v>2725</v>
      </c>
      <c r="P251" s="1" t="s">
        <v>2726</v>
      </c>
      <c r="Q251" s="1" t="s">
        <v>2727</v>
      </c>
      <c r="R251" s="1" t="s">
        <v>74</v>
      </c>
      <c r="S251" s="1" t="s">
        <v>74</v>
      </c>
      <c r="T251" s="1" t="s">
        <v>74</v>
      </c>
      <c r="U251" s="1" t="s">
        <v>74</v>
      </c>
      <c r="V251" s="1" t="s">
        <v>2728</v>
      </c>
      <c r="W251" s="1" t="s">
        <v>74</v>
      </c>
      <c r="X251" s="1" t="s">
        <v>74</v>
      </c>
      <c r="Y251" s="1" t="s">
        <v>74</v>
      </c>
      <c r="Z251" s="1" t="s">
        <v>74</v>
      </c>
      <c r="AA251" s="1" t="s">
        <v>2729</v>
      </c>
      <c r="AB251" s="1" t="s">
        <v>2730</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2731</v>
      </c>
      <c r="AP251" s="1" t="s">
        <v>2732</v>
      </c>
      <c r="AQ251" s="1" t="s">
        <v>74</v>
      </c>
      <c r="AR251" s="1" t="s">
        <v>74</v>
      </c>
      <c r="AS251" s="1" t="s">
        <v>74</v>
      </c>
      <c r="AT251" s="1" t="s">
        <v>177</v>
      </c>
      <c r="AU251" s="1">
        <v>2010.0</v>
      </c>
      <c r="AV251" s="1">
        <v>48.0</v>
      </c>
      <c r="AW251" s="1">
        <v>1.0</v>
      </c>
      <c r="AX251" s="1" t="s">
        <v>74</v>
      </c>
      <c r="AY251" s="1" t="s">
        <v>74</v>
      </c>
      <c r="AZ251" s="1" t="s">
        <v>569</v>
      </c>
      <c r="BA251" s="1" t="s">
        <v>74</v>
      </c>
      <c r="BB251" s="1">
        <v>137.0</v>
      </c>
      <c r="BC251" s="1">
        <v>144.0</v>
      </c>
      <c r="BD251" s="1" t="s">
        <v>74</v>
      </c>
      <c r="BE251" s="1" t="s">
        <v>2733</v>
      </c>
      <c r="BF251" s="2" t="str">
        <f>HYPERLINK("http://dx.doi.org/10.1007/s10910-009-9643-0","http://dx.doi.org/10.1007/s10910-009-9643-0")</f>
        <v>http://dx.doi.org/10.1007/s10910-009-9643-0</v>
      </c>
      <c r="BG251" s="1" t="s">
        <v>74</v>
      </c>
      <c r="BH251" s="1" t="s">
        <v>74</v>
      </c>
      <c r="BI251" s="1" t="s">
        <v>74</v>
      </c>
      <c r="BJ251" s="1" t="s">
        <v>74</v>
      </c>
      <c r="BK251" s="1" t="s">
        <v>74</v>
      </c>
      <c r="BL251" s="1" t="s">
        <v>74</v>
      </c>
      <c r="BM251" s="1" t="s">
        <v>74</v>
      </c>
      <c r="BN251" s="1" t="s">
        <v>74</v>
      </c>
      <c r="BO251" s="1" t="s">
        <v>74</v>
      </c>
      <c r="BP251" s="1" t="s">
        <v>74</v>
      </c>
      <c r="BQ251" s="1" t="s">
        <v>74</v>
      </c>
      <c r="BR251" s="1" t="s">
        <v>74</v>
      </c>
      <c r="BS251" s="1" t="s">
        <v>2734</v>
      </c>
      <c r="BT251" s="1" t="str">
        <f>HYPERLINK("https%3A%2F%2Fwww.webofscience.com%2Fwos%2Fwoscc%2Ffull-record%2FWOS:000278580400016","View Full Record in Web of Science")</f>
        <v>View Full Record in Web of Science</v>
      </c>
    </row>
    <row r="252" ht="12.75" customHeight="1">
      <c r="A252" s="1" t="s">
        <v>72</v>
      </c>
      <c r="B252" s="1" t="s">
        <v>2735</v>
      </c>
      <c r="C252" s="1" t="s">
        <v>74</v>
      </c>
      <c r="D252" s="1" t="s">
        <v>74</v>
      </c>
      <c r="E252" s="1" t="s">
        <v>74</v>
      </c>
      <c r="F252" s="1" t="s">
        <v>2736</v>
      </c>
      <c r="G252" s="1" t="s">
        <v>74</v>
      </c>
      <c r="H252" s="1" t="s">
        <v>74</v>
      </c>
      <c r="I252" s="1" t="s">
        <v>2737</v>
      </c>
      <c r="J252" s="1" t="s">
        <v>2738</v>
      </c>
      <c r="K252" s="1" t="s">
        <v>74</v>
      </c>
      <c r="L252" s="1" t="s">
        <v>74</v>
      </c>
      <c r="M252" s="1" t="s">
        <v>74</v>
      </c>
      <c r="N252" s="1" t="s">
        <v>74</v>
      </c>
      <c r="O252" s="1" t="s">
        <v>74</v>
      </c>
      <c r="P252" s="1" t="s">
        <v>74</v>
      </c>
      <c r="Q252" s="1" t="s">
        <v>74</v>
      </c>
      <c r="R252" s="1" t="s">
        <v>74</v>
      </c>
      <c r="S252" s="1" t="s">
        <v>74</v>
      </c>
      <c r="T252" s="1" t="s">
        <v>74</v>
      </c>
      <c r="U252" s="1" t="s">
        <v>74</v>
      </c>
      <c r="V252" s="1" t="s">
        <v>2739</v>
      </c>
      <c r="W252" s="1" t="s">
        <v>74</v>
      </c>
      <c r="X252" s="1" t="s">
        <v>74</v>
      </c>
      <c r="Y252" s="1" t="s">
        <v>74</v>
      </c>
      <c r="Z252" s="1" t="s">
        <v>74</v>
      </c>
      <c r="AA252" s="1" t="s">
        <v>2740</v>
      </c>
      <c r="AB252" s="1" t="s">
        <v>2741</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2742</v>
      </c>
      <c r="AP252" s="1" t="s">
        <v>2743</v>
      </c>
      <c r="AQ252" s="1" t="s">
        <v>74</v>
      </c>
      <c r="AR252" s="1" t="s">
        <v>74</v>
      </c>
      <c r="AS252" s="1" t="s">
        <v>74</v>
      </c>
      <c r="AT252" s="1" t="s">
        <v>1106</v>
      </c>
      <c r="AU252" s="1">
        <v>2010.0</v>
      </c>
      <c r="AV252" s="1">
        <v>51.0</v>
      </c>
      <c r="AW252" s="1">
        <v>1.0</v>
      </c>
      <c r="AX252" s="1" t="s">
        <v>74</v>
      </c>
      <c r="AY252" s="1" t="s">
        <v>74</v>
      </c>
      <c r="AZ252" s="1" t="s">
        <v>74</v>
      </c>
      <c r="BA252" s="1" t="s">
        <v>74</v>
      </c>
      <c r="BB252" s="1">
        <v>84.0</v>
      </c>
      <c r="BC252" s="1">
        <v>87.0</v>
      </c>
      <c r="BD252" s="1" t="s">
        <v>74</v>
      </c>
      <c r="BE252" s="1" t="s">
        <v>2744</v>
      </c>
      <c r="BF252" s="2" t="str">
        <f>HYPERLINK("http://dx.doi.org/10.1007/s10267-009-0004-4","http://dx.doi.org/10.1007/s10267-009-0004-4")</f>
        <v>http://dx.doi.org/10.1007/s10267-009-0004-4</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2745</v>
      </c>
      <c r="BT252" s="1" t="str">
        <f>HYPERLINK("https%3A%2F%2Fwww.webofscience.com%2Fwos%2Fwoscc%2Ffull-record%2FWOS:000274518400012","View Full Record in Web of Science")</f>
        <v>View Full Record in Web of Science</v>
      </c>
    </row>
    <row r="253" ht="12.75" customHeight="1">
      <c r="A253" s="1" t="s">
        <v>72</v>
      </c>
      <c r="B253" s="1" t="s">
        <v>2746</v>
      </c>
      <c r="C253" s="1" t="s">
        <v>74</v>
      </c>
      <c r="D253" s="1" t="s">
        <v>74</v>
      </c>
      <c r="E253" s="1" t="s">
        <v>74</v>
      </c>
      <c r="F253" s="1" t="s">
        <v>2747</v>
      </c>
      <c r="G253" s="1" t="s">
        <v>74</v>
      </c>
      <c r="H253" s="1" t="s">
        <v>74</v>
      </c>
      <c r="I253" s="1" t="s">
        <v>2748</v>
      </c>
      <c r="J253" s="1" t="s">
        <v>2749</v>
      </c>
      <c r="K253" s="1" t="s">
        <v>74</v>
      </c>
      <c r="L253" s="1" t="s">
        <v>74</v>
      </c>
      <c r="M253" s="1" t="s">
        <v>74</v>
      </c>
      <c r="N253" s="1" t="s">
        <v>74</v>
      </c>
      <c r="O253" s="1" t="s">
        <v>2750</v>
      </c>
      <c r="P253" s="1" t="s">
        <v>2751</v>
      </c>
      <c r="Q253" s="1" t="s">
        <v>2752</v>
      </c>
      <c r="R253" s="1" t="s">
        <v>74</v>
      </c>
      <c r="S253" s="1" t="s">
        <v>74</v>
      </c>
      <c r="T253" s="1" t="s">
        <v>74</v>
      </c>
      <c r="U253" s="1" t="s">
        <v>74</v>
      </c>
      <c r="V253" s="1" t="s">
        <v>2753</v>
      </c>
      <c r="W253" s="1" t="s">
        <v>74</v>
      </c>
      <c r="X253" s="1" t="s">
        <v>74</v>
      </c>
      <c r="Y253" s="1" t="s">
        <v>74</v>
      </c>
      <c r="Z253" s="1" t="s">
        <v>74</v>
      </c>
      <c r="AA253" s="1" t="s">
        <v>74</v>
      </c>
      <c r="AB253" s="1" t="s">
        <v>74</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2754</v>
      </c>
      <c r="AP253" s="1" t="s">
        <v>2755</v>
      </c>
      <c r="AQ253" s="1" t="s">
        <v>74</v>
      </c>
      <c r="AR253" s="1" t="s">
        <v>74</v>
      </c>
      <c r="AS253" s="1" t="s">
        <v>74</v>
      </c>
      <c r="AT253" s="1" t="s">
        <v>74</v>
      </c>
      <c r="AU253" s="1">
        <v>2010.0</v>
      </c>
      <c r="AV253" s="1">
        <v>28.0</v>
      </c>
      <c r="AW253" s="1">
        <v>10.0</v>
      </c>
      <c r="AX253" s="1" t="s">
        <v>74</v>
      </c>
      <c r="AY253" s="1" t="s">
        <v>74</v>
      </c>
      <c r="AZ253" s="1" t="s">
        <v>74</v>
      </c>
      <c r="BA253" s="1" t="s">
        <v>74</v>
      </c>
      <c r="BB253" s="1">
        <v>1136.0</v>
      </c>
      <c r="BC253" s="1">
        <v>1141.0</v>
      </c>
      <c r="BD253" s="1" t="s">
        <v>2756</v>
      </c>
      <c r="BE253" s="1" t="s">
        <v>2757</v>
      </c>
      <c r="BF253" s="2" t="str">
        <f>HYPERLINK("http://dx.doi.org/10.1080/07373937.2010.483045","http://dx.doi.org/10.1080/07373937.2010.483045")</f>
        <v>http://dx.doi.org/10.1080/07373937.2010.483045</v>
      </c>
      <c r="BG253" s="1" t="s">
        <v>74</v>
      </c>
      <c r="BH253" s="1" t="s">
        <v>74</v>
      </c>
      <c r="BI253" s="1" t="s">
        <v>74</v>
      </c>
      <c r="BJ253" s="1" t="s">
        <v>74</v>
      </c>
      <c r="BK253" s="1" t="s">
        <v>74</v>
      </c>
      <c r="BL253" s="1" t="s">
        <v>74</v>
      </c>
      <c r="BM253" s="1" t="s">
        <v>74</v>
      </c>
      <c r="BN253" s="1" t="s">
        <v>74</v>
      </c>
      <c r="BO253" s="1" t="s">
        <v>74</v>
      </c>
      <c r="BP253" s="1" t="s">
        <v>74</v>
      </c>
      <c r="BQ253" s="1" t="s">
        <v>74</v>
      </c>
      <c r="BR253" s="1" t="s">
        <v>74</v>
      </c>
      <c r="BS253" s="1" t="s">
        <v>2758</v>
      </c>
      <c r="BT253" s="1" t="str">
        <f>HYPERLINK("https%3A%2F%2Fwww.webofscience.com%2Fwos%2Fwoscc%2Ffull-record%2FWOS:000282689200004","View Full Record in Web of Science")</f>
        <v>View Full Record in Web of Science</v>
      </c>
    </row>
    <row r="254" ht="12.75" customHeight="1">
      <c r="A254" s="1" t="s">
        <v>72</v>
      </c>
      <c r="B254" s="1" t="s">
        <v>2759</v>
      </c>
      <c r="C254" s="1" t="s">
        <v>74</v>
      </c>
      <c r="D254" s="1" t="s">
        <v>74</v>
      </c>
      <c r="E254" s="1" t="s">
        <v>74</v>
      </c>
      <c r="F254" s="1" t="s">
        <v>2760</v>
      </c>
      <c r="G254" s="1" t="s">
        <v>74</v>
      </c>
      <c r="H254" s="1" t="s">
        <v>74</v>
      </c>
      <c r="I254" s="1" t="s">
        <v>2761</v>
      </c>
      <c r="J254" s="1" t="s">
        <v>1577</v>
      </c>
      <c r="K254" s="1" t="s">
        <v>74</v>
      </c>
      <c r="L254" s="1" t="s">
        <v>74</v>
      </c>
      <c r="M254" s="1" t="s">
        <v>74</v>
      </c>
      <c r="N254" s="1" t="s">
        <v>74</v>
      </c>
      <c r="O254" s="1" t="s">
        <v>74</v>
      </c>
      <c r="P254" s="1" t="s">
        <v>74</v>
      </c>
      <c r="Q254" s="1" t="s">
        <v>74</v>
      </c>
      <c r="R254" s="1" t="s">
        <v>74</v>
      </c>
      <c r="S254" s="1" t="s">
        <v>74</v>
      </c>
      <c r="T254" s="1" t="s">
        <v>74</v>
      </c>
      <c r="U254" s="1" t="s">
        <v>74</v>
      </c>
      <c r="V254" s="1" t="s">
        <v>2762</v>
      </c>
      <c r="W254" s="1" t="s">
        <v>74</v>
      </c>
      <c r="X254" s="1" t="s">
        <v>74</v>
      </c>
      <c r="Y254" s="1" t="s">
        <v>74</v>
      </c>
      <c r="Z254" s="1" t="s">
        <v>74</v>
      </c>
      <c r="AA254" s="1" t="s">
        <v>2763</v>
      </c>
      <c r="AB254" s="1" t="s">
        <v>2764</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2765</v>
      </c>
      <c r="AP254" s="1" t="s">
        <v>74</v>
      </c>
      <c r="AQ254" s="1" t="s">
        <v>74</v>
      </c>
      <c r="AR254" s="1" t="s">
        <v>74</v>
      </c>
      <c r="AS254" s="1" t="s">
        <v>74</v>
      </c>
      <c r="AT254" s="1" t="s">
        <v>94</v>
      </c>
      <c r="AU254" s="1">
        <v>2009.0</v>
      </c>
      <c r="AV254" s="1">
        <v>54.0</v>
      </c>
      <c r="AW254" s="1">
        <v>2.0</v>
      </c>
      <c r="AX254" s="1" t="s">
        <v>74</v>
      </c>
      <c r="AY254" s="1" t="s">
        <v>74</v>
      </c>
      <c r="AZ254" s="1" t="s">
        <v>74</v>
      </c>
      <c r="BA254" s="1" t="s">
        <v>74</v>
      </c>
      <c r="BB254" s="1">
        <v>154.0</v>
      </c>
      <c r="BC254" s="1">
        <v>157.0</v>
      </c>
      <c r="BD254" s="1" t="s">
        <v>74</v>
      </c>
      <c r="BE254" s="1" t="s">
        <v>2766</v>
      </c>
      <c r="BF254" s="2" t="str">
        <f>HYPERLINK("http://dx.doi.org/10.4067/S0717-97072009000200013","http://dx.doi.org/10.4067/S0717-97072009000200013")</f>
        <v>http://dx.doi.org/10.4067/S0717-97072009000200013</v>
      </c>
      <c r="BG254" s="1" t="s">
        <v>74</v>
      </c>
      <c r="BH254" s="1" t="s">
        <v>74</v>
      </c>
      <c r="BI254" s="1" t="s">
        <v>74</v>
      </c>
      <c r="BJ254" s="1" t="s">
        <v>74</v>
      </c>
      <c r="BK254" s="1" t="s">
        <v>74</v>
      </c>
      <c r="BL254" s="1" t="s">
        <v>74</v>
      </c>
      <c r="BM254" s="1" t="s">
        <v>74</v>
      </c>
      <c r="BN254" s="1" t="s">
        <v>74</v>
      </c>
      <c r="BO254" s="1" t="s">
        <v>74</v>
      </c>
      <c r="BP254" s="1" t="s">
        <v>74</v>
      </c>
      <c r="BQ254" s="1" t="s">
        <v>74</v>
      </c>
      <c r="BR254" s="1" t="s">
        <v>74</v>
      </c>
      <c r="BS254" s="1" t="s">
        <v>2767</v>
      </c>
      <c r="BT254" s="1" t="str">
        <f>HYPERLINK("https%3A%2F%2Fwww.webofscience.com%2Fwos%2Fwoscc%2Ffull-record%2FWOS:000268073400013","View Full Record in Web of Science")</f>
        <v>View Full Record in Web of Science</v>
      </c>
    </row>
    <row r="255" ht="12.75" customHeight="1">
      <c r="A255" s="1" t="s">
        <v>72</v>
      </c>
      <c r="B255" s="1" t="s">
        <v>2768</v>
      </c>
      <c r="C255" s="1" t="s">
        <v>74</v>
      </c>
      <c r="D255" s="1" t="s">
        <v>74</v>
      </c>
      <c r="E255" s="1" t="s">
        <v>74</v>
      </c>
      <c r="F255" s="1" t="s">
        <v>2769</v>
      </c>
      <c r="G255" s="1" t="s">
        <v>74</v>
      </c>
      <c r="H255" s="1" t="s">
        <v>74</v>
      </c>
      <c r="I255" s="1" t="s">
        <v>2770</v>
      </c>
      <c r="J255" s="1" t="s">
        <v>2771</v>
      </c>
      <c r="K255" s="1" t="s">
        <v>74</v>
      </c>
      <c r="L255" s="1" t="s">
        <v>74</v>
      </c>
      <c r="M255" s="1" t="s">
        <v>74</v>
      </c>
      <c r="N255" s="1" t="s">
        <v>74</v>
      </c>
      <c r="O255" s="1" t="s">
        <v>74</v>
      </c>
      <c r="P255" s="1" t="s">
        <v>74</v>
      </c>
      <c r="Q255" s="1" t="s">
        <v>74</v>
      </c>
      <c r="R255" s="1" t="s">
        <v>74</v>
      </c>
      <c r="S255" s="1" t="s">
        <v>74</v>
      </c>
      <c r="T255" s="1" t="s">
        <v>74</v>
      </c>
      <c r="U255" s="1" t="s">
        <v>74</v>
      </c>
      <c r="V255" s="1" t="s">
        <v>2772</v>
      </c>
      <c r="W255" s="1" t="s">
        <v>74</v>
      </c>
      <c r="X255" s="1" t="s">
        <v>74</v>
      </c>
      <c r="Y255" s="1" t="s">
        <v>74</v>
      </c>
      <c r="Z255" s="1" t="s">
        <v>74</v>
      </c>
      <c r="AA255" s="1" t="s">
        <v>2773</v>
      </c>
      <c r="AB255" s="1" t="s">
        <v>2774</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2775</v>
      </c>
      <c r="AP255" s="1" t="s">
        <v>74</v>
      </c>
      <c r="AQ255" s="1" t="s">
        <v>74</v>
      </c>
      <c r="AR255" s="1" t="s">
        <v>74</v>
      </c>
      <c r="AS255" s="1" t="s">
        <v>74</v>
      </c>
      <c r="AT255" s="1" t="s">
        <v>117</v>
      </c>
      <c r="AU255" s="1">
        <v>2009.0</v>
      </c>
      <c r="AV255" s="1">
        <v>29.0</v>
      </c>
      <c r="AW255" s="1">
        <v>10.0</v>
      </c>
      <c r="AX255" s="1" t="s">
        <v>74</v>
      </c>
      <c r="AY255" s="1" t="s">
        <v>74</v>
      </c>
      <c r="AZ255" s="1" t="s">
        <v>74</v>
      </c>
      <c r="BA255" s="1" t="s">
        <v>74</v>
      </c>
      <c r="BB255" s="1">
        <v>3120.0</v>
      </c>
      <c r="BC255" s="1">
        <v>3131.0</v>
      </c>
      <c r="BD255" s="1" t="s">
        <v>74</v>
      </c>
      <c r="BE255" s="1" t="s">
        <v>2776</v>
      </c>
      <c r="BF255" s="2" t="str">
        <f>HYPERLINK("http://dx.doi.org/10.1523/JNEUROSCI.4778-08.2009","http://dx.doi.org/10.1523/JNEUROSCI.4778-08.2009")</f>
        <v>http://dx.doi.org/10.1523/JNEUROSCI.4778-08.2009</v>
      </c>
      <c r="BG255" s="1" t="s">
        <v>74</v>
      </c>
      <c r="BH255" s="1" t="s">
        <v>74</v>
      </c>
      <c r="BI255" s="1" t="s">
        <v>74</v>
      </c>
      <c r="BJ255" s="1" t="s">
        <v>74</v>
      </c>
      <c r="BK255" s="1" t="s">
        <v>74</v>
      </c>
      <c r="BL255" s="1" t="s">
        <v>74</v>
      </c>
      <c r="BM255" s="1" t="s">
        <v>74</v>
      </c>
      <c r="BN255" s="1">
        <v>1.9279249E7</v>
      </c>
      <c r="BO255" s="1" t="s">
        <v>74</v>
      </c>
      <c r="BP255" s="1" t="s">
        <v>74</v>
      </c>
      <c r="BQ255" s="1" t="s">
        <v>74</v>
      </c>
      <c r="BR255" s="1" t="s">
        <v>74</v>
      </c>
      <c r="BS255" s="1" t="s">
        <v>2777</v>
      </c>
      <c r="BT255" s="1" t="str">
        <f>HYPERLINK("https%3A%2F%2Fwww.webofscience.com%2Fwos%2Fwoscc%2Ffull-record%2FWOS:000264093200014","View Full Record in Web of Science")</f>
        <v>View Full Record in Web of Science</v>
      </c>
    </row>
    <row r="256" ht="12.75" customHeight="1">
      <c r="A256" s="1" t="s">
        <v>72</v>
      </c>
      <c r="B256" s="1" t="s">
        <v>2778</v>
      </c>
      <c r="C256" s="1" t="s">
        <v>74</v>
      </c>
      <c r="D256" s="1" t="s">
        <v>74</v>
      </c>
      <c r="E256" s="1" t="s">
        <v>74</v>
      </c>
      <c r="F256" s="1" t="s">
        <v>2779</v>
      </c>
      <c r="G256" s="1" t="s">
        <v>74</v>
      </c>
      <c r="H256" s="1" t="s">
        <v>74</v>
      </c>
      <c r="I256" s="1" t="s">
        <v>2780</v>
      </c>
      <c r="J256" s="1" t="s">
        <v>2118</v>
      </c>
      <c r="K256" s="1" t="s">
        <v>74</v>
      </c>
      <c r="L256" s="1" t="s">
        <v>74</v>
      </c>
      <c r="M256" s="1" t="s">
        <v>74</v>
      </c>
      <c r="N256" s="1" t="s">
        <v>74</v>
      </c>
      <c r="O256" s="1" t="s">
        <v>74</v>
      </c>
      <c r="P256" s="1" t="s">
        <v>74</v>
      </c>
      <c r="Q256" s="1" t="s">
        <v>74</v>
      </c>
      <c r="R256" s="1" t="s">
        <v>74</v>
      </c>
      <c r="S256" s="1" t="s">
        <v>74</v>
      </c>
      <c r="T256" s="1" t="s">
        <v>74</v>
      </c>
      <c r="U256" s="1" t="s">
        <v>74</v>
      </c>
      <c r="V256" s="1" t="s">
        <v>2781</v>
      </c>
      <c r="W256" s="1" t="s">
        <v>74</v>
      </c>
      <c r="X256" s="1" t="s">
        <v>74</v>
      </c>
      <c r="Y256" s="1" t="s">
        <v>74</v>
      </c>
      <c r="Z256" s="1" t="s">
        <v>74</v>
      </c>
      <c r="AA256" s="1" t="s">
        <v>2782</v>
      </c>
      <c r="AB256" s="1" t="s">
        <v>2783</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2122</v>
      </c>
      <c r="AP256" s="1" t="s">
        <v>2123</v>
      </c>
      <c r="AQ256" s="1" t="s">
        <v>74</v>
      </c>
      <c r="AR256" s="1" t="s">
        <v>74</v>
      </c>
      <c r="AS256" s="1" t="s">
        <v>74</v>
      </c>
      <c r="AT256" s="1" t="s">
        <v>74</v>
      </c>
      <c r="AU256" s="1">
        <v>2009.0</v>
      </c>
      <c r="AV256" s="1">
        <v>8.0</v>
      </c>
      <c r="AW256" s="1">
        <v>2.0</v>
      </c>
      <c r="AX256" s="1" t="s">
        <v>74</v>
      </c>
      <c r="AY256" s="1" t="s">
        <v>74</v>
      </c>
      <c r="AZ256" s="1" t="s">
        <v>74</v>
      </c>
      <c r="BA256" s="1" t="s">
        <v>74</v>
      </c>
      <c r="BB256" s="1">
        <v>255.0</v>
      </c>
      <c r="BC256" s="1">
        <v>263.0</v>
      </c>
      <c r="BD256" s="1" t="s">
        <v>74</v>
      </c>
      <c r="BE256" s="1" t="s">
        <v>2784</v>
      </c>
      <c r="BF256" s="2" t="str">
        <f>HYPERLINK("http://dx.doi.org/10.1039/b815726j","http://dx.doi.org/10.1039/b815726j")</f>
        <v>http://dx.doi.org/10.1039/b815726j</v>
      </c>
      <c r="BG256" s="1" t="s">
        <v>74</v>
      </c>
      <c r="BH256" s="1" t="s">
        <v>74</v>
      </c>
      <c r="BI256" s="1" t="s">
        <v>74</v>
      </c>
      <c r="BJ256" s="1" t="s">
        <v>74</v>
      </c>
      <c r="BK256" s="1" t="s">
        <v>74</v>
      </c>
      <c r="BL256" s="1" t="s">
        <v>74</v>
      </c>
      <c r="BM256" s="1" t="s">
        <v>74</v>
      </c>
      <c r="BN256" s="1">
        <v>1.9247519E7</v>
      </c>
      <c r="BO256" s="1" t="s">
        <v>74</v>
      </c>
      <c r="BP256" s="1" t="s">
        <v>74</v>
      </c>
      <c r="BQ256" s="1" t="s">
        <v>74</v>
      </c>
      <c r="BR256" s="1" t="s">
        <v>74</v>
      </c>
      <c r="BS256" s="1" t="s">
        <v>2785</v>
      </c>
      <c r="BT256" s="1" t="str">
        <f>HYPERLINK("https%3A%2F%2Fwww.webofscience.com%2Fwos%2Fwoscc%2Ffull-record%2FWOS:000263113000017","View Full Record in Web of Science")</f>
        <v>View Full Record in Web of Science</v>
      </c>
    </row>
    <row r="257" ht="12.75" customHeight="1">
      <c r="A257" s="1" t="s">
        <v>72</v>
      </c>
      <c r="B257" s="1" t="s">
        <v>2786</v>
      </c>
      <c r="C257" s="1" t="s">
        <v>74</v>
      </c>
      <c r="D257" s="1" t="s">
        <v>74</v>
      </c>
      <c r="E257" s="1" t="s">
        <v>74</v>
      </c>
      <c r="F257" s="1" t="s">
        <v>2787</v>
      </c>
      <c r="G257" s="1" t="s">
        <v>74</v>
      </c>
      <c r="H257" s="1" t="s">
        <v>74</v>
      </c>
      <c r="I257" s="1" t="s">
        <v>2788</v>
      </c>
      <c r="J257" s="1" t="s">
        <v>2789</v>
      </c>
      <c r="K257" s="1" t="s">
        <v>74</v>
      </c>
      <c r="L257" s="1" t="s">
        <v>74</v>
      </c>
      <c r="M257" s="1" t="s">
        <v>74</v>
      </c>
      <c r="N257" s="1" t="s">
        <v>74</v>
      </c>
      <c r="O257" s="1" t="s">
        <v>74</v>
      </c>
      <c r="P257" s="1" t="s">
        <v>74</v>
      </c>
      <c r="Q257" s="1" t="s">
        <v>74</v>
      </c>
      <c r="R257" s="1" t="s">
        <v>74</v>
      </c>
      <c r="S257" s="1" t="s">
        <v>74</v>
      </c>
      <c r="T257" s="1" t="s">
        <v>74</v>
      </c>
      <c r="U257" s="1" t="s">
        <v>74</v>
      </c>
      <c r="V257" s="1" t="s">
        <v>2790</v>
      </c>
      <c r="W257" s="1" t="s">
        <v>74</v>
      </c>
      <c r="X257" s="1" t="s">
        <v>74</v>
      </c>
      <c r="Y257" s="1" t="s">
        <v>74</v>
      </c>
      <c r="Z257" s="1" t="s">
        <v>74</v>
      </c>
      <c r="AA257" s="1" t="s">
        <v>2791</v>
      </c>
      <c r="AB257" s="1" t="s">
        <v>2792</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2793</v>
      </c>
      <c r="AP257" s="1" t="s">
        <v>74</v>
      </c>
      <c r="AQ257" s="1" t="s">
        <v>74</v>
      </c>
      <c r="AR257" s="1" t="s">
        <v>74</v>
      </c>
      <c r="AS257" s="1" t="s">
        <v>74</v>
      </c>
      <c r="AT257" s="1" t="s">
        <v>2794</v>
      </c>
      <c r="AU257" s="1">
        <v>2008.0</v>
      </c>
      <c r="AV257" s="1">
        <v>93.0</v>
      </c>
      <c r="AW257" s="1">
        <v>2.0</v>
      </c>
      <c r="AX257" s="1" t="s">
        <v>74</v>
      </c>
      <c r="AY257" s="1" t="s">
        <v>74</v>
      </c>
      <c r="AZ257" s="1" t="s">
        <v>74</v>
      </c>
      <c r="BA257" s="1" t="s">
        <v>74</v>
      </c>
      <c r="BB257" s="1" t="s">
        <v>74</v>
      </c>
      <c r="BC257" s="1" t="s">
        <v>74</v>
      </c>
      <c r="BD257" s="1">
        <v>23101.0</v>
      </c>
      <c r="BE257" s="1" t="s">
        <v>2795</v>
      </c>
      <c r="BF257" s="2" t="str">
        <f>HYPERLINK("http://dx.doi.org/10.1063/1.2956681","http://dx.doi.org/10.1063/1.2956681")</f>
        <v>http://dx.doi.org/10.1063/1.2956681</v>
      </c>
      <c r="BG257" s="1" t="s">
        <v>74</v>
      </c>
      <c r="BH257" s="1" t="s">
        <v>74</v>
      </c>
      <c r="BI257" s="1" t="s">
        <v>74</v>
      </c>
      <c r="BJ257" s="1" t="s">
        <v>74</v>
      </c>
      <c r="BK257" s="1" t="s">
        <v>74</v>
      </c>
      <c r="BL257" s="1" t="s">
        <v>74</v>
      </c>
      <c r="BM257" s="1" t="s">
        <v>74</v>
      </c>
      <c r="BN257" s="1" t="s">
        <v>74</v>
      </c>
      <c r="BO257" s="1" t="s">
        <v>74</v>
      </c>
      <c r="BP257" s="1" t="s">
        <v>74</v>
      </c>
      <c r="BQ257" s="1" t="s">
        <v>74</v>
      </c>
      <c r="BR257" s="1" t="s">
        <v>74</v>
      </c>
      <c r="BS257" s="1" t="s">
        <v>2796</v>
      </c>
      <c r="BT257" s="1" t="str">
        <f>HYPERLINK("https%3A%2F%2Fwww.webofscience.com%2Fwos%2Fwoscc%2Ffull-record%2FWOS:000257796100078","View Full Record in Web of Science")</f>
        <v>View Full Record in Web of Science</v>
      </c>
    </row>
    <row r="258" ht="12.75" customHeight="1">
      <c r="A258" s="1" t="s">
        <v>72</v>
      </c>
      <c r="B258" s="1" t="s">
        <v>1506</v>
      </c>
      <c r="C258" s="1" t="s">
        <v>74</v>
      </c>
      <c r="D258" s="1" t="s">
        <v>74</v>
      </c>
      <c r="E258" s="1" t="s">
        <v>74</v>
      </c>
      <c r="F258" s="1" t="s">
        <v>1507</v>
      </c>
      <c r="G258" s="1" t="s">
        <v>74</v>
      </c>
      <c r="H258" s="1" t="s">
        <v>74</v>
      </c>
      <c r="I258" s="1" t="s">
        <v>2797</v>
      </c>
      <c r="J258" s="1" t="s">
        <v>1509</v>
      </c>
      <c r="K258" s="1" t="s">
        <v>74</v>
      </c>
      <c r="L258" s="1" t="s">
        <v>74</v>
      </c>
      <c r="M258" s="1" t="s">
        <v>74</v>
      </c>
      <c r="N258" s="1" t="s">
        <v>74</v>
      </c>
      <c r="O258" s="1" t="s">
        <v>74</v>
      </c>
      <c r="P258" s="1" t="s">
        <v>74</v>
      </c>
      <c r="Q258" s="1" t="s">
        <v>74</v>
      </c>
      <c r="R258" s="1" t="s">
        <v>74</v>
      </c>
      <c r="S258" s="1" t="s">
        <v>74</v>
      </c>
      <c r="T258" s="1" t="s">
        <v>74</v>
      </c>
      <c r="U258" s="1" t="s">
        <v>74</v>
      </c>
      <c r="V258" s="1" t="s">
        <v>2798</v>
      </c>
      <c r="W258" s="1" t="s">
        <v>74</v>
      </c>
      <c r="X258" s="1" t="s">
        <v>74</v>
      </c>
      <c r="Y258" s="1" t="s">
        <v>74</v>
      </c>
      <c r="Z258" s="1" t="s">
        <v>74</v>
      </c>
      <c r="AA258" s="1" t="s">
        <v>74</v>
      </c>
      <c r="AB258" s="1" t="s">
        <v>74</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1511</v>
      </c>
      <c r="AP258" s="1" t="s">
        <v>1512</v>
      </c>
      <c r="AQ258" s="1" t="s">
        <v>74</v>
      </c>
      <c r="AR258" s="1" t="s">
        <v>74</v>
      </c>
      <c r="AS258" s="1" t="s">
        <v>74</v>
      </c>
      <c r="AT258" s="1" t="s">
        <v>2799</v>
      </c>
      <c r="AU258" s="1">
        <v>2008.0</v>
      </c>
      <c r="AV258" s="1">
        <v>663.0</v>
      </c>
      <c r="AW258" s="1">
        <v>4.0</v>
      </c>
      <c r="AX258" s="1" t="s">
        <v>74</v>
      </c>
      <c r="AY258" s="1" t="s">
        <v>74</v>
      </c>
      <c r="AZ258" s="1" t="s">
        <v>74</v>
      </c>
      <c r="BA258" s="1" t="s">
        <v>74</v>
      </c>
      <c r="BB258" s="1">
        <v>338.0</v>
      </c>
      <c r="BC258" s="1">
        <v>341.0</v>
      </c>
      <c r="BD258" s="1" t="s">
        <v>74</v>
      </c>
      <c r="BE258" s="1" t="s">
        <v>2800</v>
      </c>
      <c r="BF258" s="2" t="str">
        <f>HYPERLINK("http://dx.doi.org/10.1016/j.physletb.2008.04.035","http://dx.doi.org/10.1016/j.physletb.2008.04.035")</f>
        <v>http://dx.doi.org/10.1016/j.physletb.2008.04.035</v>
      </c>
      <c r="BG258" s="1" t="s">
        <v>74</v>
      </c>
      <c r="BH258" s="1" t="s">
        <v>74</v>
      </c>
      <c r="BI258" s="1" t="s">
        <v>74</v>
      </c>
      <c r="BJ258" s="1" t="s">
        <v>74</v>
      </c>
      <c r="BK258" s="1" t="s">
        <v>74</v>
      </c>
      <c r="BL258" s="1" t="s">
        <v>74</v>
      </c>
      <c r="BM258" s="1" t="s">
        <v>74</v>
      </c>
      <c r="BN258" s="1" t="s">
        <v>74</v>
      </c>
      <c r="BO258" s="1" t="s">
        <v>74</v>
      </c>
      <c r="BP258" s="1" t="s">
        <v>74</v>
      </c>
      <c r="BQ258" s="1" t="s">
        <v>74</v>
      </c>
      <c r="BR258" s="1" t="s">
        <v>74</v>
      </c>
      <c r="BS258" s="1" t="s">
        <v>2801</v>
      </c>
      <c r="BT258" s="1" t="str">
        <f>HYPERLINK("https%3A%2F%2Fwww.webofscience.com%2Fwos%2Fwoscc%2Ffull-record%2FWOS:000256463400011","View Full Record in Web of Science")</f>
        <v>View Full Record in Web of Science</v>
      </c>
    </row>
    <row r="259" ht="12.75" customHeight="1">
      <c r="A259" s="1" t="s">
        <v>72</v>
      </c>
      <c r="B259" s="1" t="s">
        <v>2802</v>
      </c>
      <c r="C259" s="1" t="s">
        <v>74</v>
      </c>
      <c r="D259" s="1" t="s">
        <v>74</v>
      </c>
      <c r="E259" s="1" t="s">
        <v>74</v>
      </c>
      <c r="F259" s="1" t="s">
        <v>2803</v>
      </c>
      <c r="G259" s="1" t="s">
        <v>74</v>
      </c>
      <c r="H259" s="1" t="s">
        <v>74</v>
      </c>
      <c r="I259" s="1" t="s">
        <v>2804</v>
      </c>
      <c r="J259" s="1" t="s">
        <v>2805</v>
      </c>
      <c r="K259" s="1" t="s">
        <v>74</v>
      </c>
      <c r="L259" s="1" t="s">
        <v>74</v>
      </c>
      <c r="M259" s="1" t="s">
        <v>74</v>
      </c>
      <c r="N259" s="1" t="s">
        <v>74</v>
      </c>
      <c r="O259" s="1" t="s">
        <v>74</v>
      </c>
      <c r="P259" s="1" t="s">
        <v>74</v>
      </c>
      <c r="Q259" s="1" t="s">
        <v>74</v>
      </c>
      <c r="R259" s="1" t="s">
        <v>74</v>
      </c>
      <c r="S259" s="1" t="s">
        <v>74</v>
      </c>
      <c r="T259" s="1" t="s">
        <v>74</v>
      </c>
      <c r="U259" s="1" t="s">
        <v>74</v>
      </c>
      <c r="V259" s="1" t="s">
        <v>2806</v>
      </c>
      <c r="W259" s="1" t="s">
        <v>74</v>
      </c>
      <c r="X259" s="1" t="s">
        <v>74</v>
      </c>
      <c r="Y259" s="1" t="s">
        <v>74</v>
      </c>
      <c r="Z259" s="1" t="s">
        <v>74</v>
      </c>
      <c r="AA259" s="1" t="s">
        <v>2807</v>
      </c>
      <c r="AB259" s="1" t="s">
        <v>2808</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2809</v>
      </c>
      <c r="AP259" s="1" t="s">
        <v>74</v>
      </c>
      <c r="AQ259" s="1" t="s">
        <v>74</v>
      </c>
      <c r="AR259" s="1" t="s">
        <v>74</v>
      </c>
      <c r="AS259" s="1" t="s">
        <v>74</v>
      </c>
      <c r="AT259" s="1" t="s">
        <v>408</v>
      </c>
      <c r="AU259" s="1">
        <v>2008.0</v>
      </c>
      <c r="AV259" s="1">
        <v>66.0</v>
      </c>
      <c r="AW259" s="1">
        <v>1.0</v>
      </c>
      <c r="AX259" s="1" t="s">
        <v>74</v>
      </c>
      <c r="AY259" s="1" t="s">
        <v>74</v>
      </c>
      <c r="AZ259" s="1" t="s">
        <v>74</v>
      </c>
      <c r="BA259" s="1" t="s">
        <v>74</v>
      </c>
      <c r="BB259" s="1">
        <v>22.0</v>
      </c>
      <c r="BC259" s="1">
        <v>25.0</v>
      </c>
      <c r="BD259" s="1" t="s">
        <v>74</v>
      </c>
      <c r="BE259" s="1" t="s">
        <v>2810</v>
      </c>
      <c r="BF259" s="2" t="str">
        <f>HYPERLINK("http://dx.doi.org/10.1590/S0004-282X2008000100006","http://dx.doi.org/10.1590/S0004-282X2008000100006")</f>
        <v>http://dx.doi.org/10.1590/S0004-282X2008000100006</v>
      </c>
      <c r="BG259" s="1" t="s">
        <v>74</v>
      </c>
      <c r="BH259" s="1" t="s">
        <v>74</v>
      </c>
      <c r="BI259" s="1" t="s">
        <v>74</v>
      </c>
      <c r="BJ259" s="1" t="s">
        <v>74</v>
      </c>
      <c r="BK259" s="1" t="s">
        <v>74</v>
      </c>
      <c r="BL259" s="1" t="s">
        <v>74</v>
      </c>
      <c r="BM259" s="1" t="s">
        <v>74</v>
      </c>
      <c r="BN259" s="1">
        <v>1.8392408E7</v>
      </c>
      <c r="BO259" s="1" t="s">
        <v>74</v>
      </c>
      <c r="BP259" s="1" t="s">
        <v>74</v>
      </c>
      <c r="BQ259" s="1" t="s">
        <v>74</v>
      </c>
      <c r="BR259" s="1" t="s">
        <v>74</v>
      </c>
      <c r="BS259" s="1" t="s">
        <v>2811</v>
      </c>
      <c r="BT259" s="1" t="str">
        <f>HYPERLINK("https%3A%2F%2Fwww.webofscience.com%2Fwos%2Fwoscc%2Ffull-record%2FWOS:000254580100006","View Full Record in Web of Science")</f>
        <v>View Full Record in Web of Science</v>
      </c>
    </row>
    <row r="260" ht="12.75" customHeight="1">
      <c r="A260" s="1" t="s">
        <v>72</v>
      </c>
      <c r="B260" s="1" t="s">
        <v>2812</v>
      </c>
      <c r="C260" s="1" t="s">
        <v>74</v>
      </c>
      <c r="D260" s="1" t="s">
        <v>74</v>
      </c>
      <c r="E260" s="1" t="s">
        <v>74</v>
      </c>
      <c r="F260" s="1" t="s">
        <v>2813</v>
      </c>
      <c r="G260" s="1" t="s">
        <v>74</v>
      </c>
      <c r="H260" s="1" t="s">
        <v>74</v>
      </c>
      <c r="I260" s="1" t="s">
        <v>2814</v>
      </c>
      <c r="J260" s="1" t="s">
        <v>447</v>
      </c>
      <c r="K260" s="1" t="s">
        <v>74</v>
      </c>
      <c r="L260" s="1" t="s">
        <v>74</v>
      </c>
      <c r="M260" s="1" t="s">
        <v>74</v>
      </c>
      <c r="N260" s="1" t="s">
        <v>74</v>
      </c>
      <c r="O260" s="1" t="s">
        <v>74</v>
      </c>
      <c r="P260" s="1" t="s">
        <v>74</v>
      </c>
      <c r="Q260" s="1" t="s">
        <v>74</v>
      </c>
      <c r="R260" s="1" t="s">
        <v>74</v>
      </c>
      <c r="S260" s="1" t="s">
        <v>74</v>
      </c>
      <c r="T260" s="1" t="s">
        <v>74</v>
      </c>
      <c r="U260" s="1" t="s">
        <v>74</v>
      </c>
      <c r="V260" s="1" t="s">
        <v>2815</v>
      </c>
      <c r="W260" s="1" t="s">
        <v>74</v>
      </c>
      <c r="X260" s="1" t="s">
        <v>74</v>
      </c>
      <c r="Y260" s="1" t="s">
        <v>74</v>
      </c>
      <c r="Z260" s="1" t="s">
        <v>74</v>
      </c>
      <c r="AA260" s="1" t="s">
        <v>2816</v>
      </c>
      <c r="AB260" s="1" t="s">
        <v>2817</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451</v>
      </c>
      <c r="AP260" s="1" t="s">
        <v>2818</v>
      </c>
      <c r="AQ260" s="1" t="s">
        <v>74</v>
      </c>
      <c r="AR260" s="1" t="s">
        <v>74</v>
      </c>
      <c r="AS260" s="1" t="s">
        <v>74</v>
      </c>
      <c r="AT260" s="1" t="s">
        <v>2819</v>
      </c>
      <c r="AU260" s="1">
        <v>2007.0</v>
      </c>
      <c r="AV260" s="1">
        <v>45.0</v>
      </c>
      <c r="AW260" s="1">
        <v>2.0</v>
      </c>
      <c r="AX260" s="1" t="s">
        <v>74</v>
      </c>
      <c r="AY260" s="1" t="s">
        <v>74</v>
      </c>
      <c r="AZ260" s="1" t="s">
        <v>74</v>
      </c>
      <c r="BA260" s="1" t="s">
        <v>74</v>
      </c>
      <c r="BB260" s="1">
        <v>77.0</v>
      </c>
      <c r="BC260" s="1">
        <v>80.0</v>
      </c>
      <c r="BD260" s="1" t="s">
        <v>74</v>
      </c>
      <c r="BE260" s="1" t="s">
        <v>2820</v>
      </c>
      <c r="BF260" s="2" t="str">
        <f>HYPERLINK("http://dx.doi.org/10.33588/rn.4502.2006599","http://dx.doi.org/10.33588/rn.4502.2006599")</f>
        <v>http://dx.doi.org/10.33588/rn.4502.2006599</v>
      </c>
      <c r="BG260" s="1" t="s">
        <v>74</v>
      </c>
      <c r="BH260" s="1" t="s">
        <v>74</v>
      </c>
      <c r="BI260" s="1" t="s">
        <v>74</v>
      </c>
      <c r="BJ260" s="1" t="s">
        <v>74</v>
      </c>
      <c r="BK260" s="1" t="s">
        <v>74</v>
      </c>
      <c r="BL260" s="1" t="s">
        <v>74</v>
      </c>
      <c r="BM260" s="1" t="s">
        <v>74</v>
      </c>
      <c r="BN260" s="1">
        <v>1.7642046E7</v>
      </c>
      <c r="BO260" s="1" t="s">
        <v>74</v>
      </c>
      <c r="BP260" s="1" t="s">
        <v>74</v>
      </c>
      <c r="BQ260" s="1" t="s">
        <v>74</v>
      </c>
      <c r="BR260" s="1" t="s">
        <v>74</v>
      </c>
      <c r="BS260" s="1" t="s">
        <v>2821</v>
      </c>
      <c r="BT260" s="1" t="str">
        <f>HYPERLINK("https%3A%2F%2Fwww.webofscience.com%2Fwos%2Fwoscc%2Ffull-record%2FWOS:000253131000004","View Full Record in Web of Science")</f>
        <v>View Full Record in Web of Science</v>
      </c>
    </row>
    <row r="261" ht="12.75" customHeight="1">
      <c r="A261" s="1" t="s">
        <v>72</v>
      </c>
      <c r="B261" s="1" t="s">
        <v>2822</v>
      </c>
      <c r="C261" s="1" t="s">
        <v>74</v>
      </c>
      <c r="D261" s="1" t="s">
        <v>74</v>
      </c>
      <c r="E261" s="1" t="s">
        <v>74</v>
      </c>
      <c r="F261" s="1" t="s">
        <v>2823</v>
      </c>
      <c r="G261" s="1" t="s">
        <v>74</v>
      </c>
      <c r="H261" s="1" t="s">
        <v>74</v>
      </c>
      <c r="I261" s="1" t="s">
        <v>2824</v>
      </c>
      <c r="J261" s="1" t="s">
        <v>2825</v>
      </c>
      <c r="K261" s="1" t="s">
        <v>74</v>
      </c>
      <c r="L261" s="1" t="s">
        <v>74</v>
      </c>
      <c r="M261" s="1" t="s">
        <v>74</v>
      </c>
      <c r="N261" s="1" t="s">
        <v>74</v>
      </c>
      <c r="O261" s="1" t="s">
        <v>74</v>
      </c>
      <c r="P261" s="1" t="s">
        <v>74</v>
      </c>
      <c r="Q261" s="1" t="s">
        <v>74</v>
      </c>
      <c r="R261" s="1" t="s">
        <v>74</v>
      </c>
      <c r="S261" s="1" t="s">
        <v>74</v>
      </c>
      <c r="T261" s="1" t="s">
        <v>74</v>
      </c>
      <c r="U261" s="1" t="s">
        <v>74</v>
      </c>
      <c r="V261" s="1" t="s">
        <v>2826</v>
      </c>
      <c r="W261" s="1" t="s">
        <v>74</v>
      </c>
      <c r="X261" s="1" t="s">
        <v>74</v>
      </c>
      <c r="Y261" s="1" t="s">
        <v>74</v>
      </c>
      <c r="Z261" s="1" t="s">
        <v>74</v>
      </c>
      <c r="AA261" s="1" t="s">
        <v>2827</v>
      </c>
      <c r="AB261" s="1" t="s">
        <v>2828</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2829</v>
      </c>
      <c r="AP261" s="1" t="s">
        <v>2830</v>
      </c>
      <c r="AQ261" s="1" t="s">
        <v>74</v>
      </c>
      <c r="AR261" s="1" t="s">
        <v>74</v>
      </c>
      <c r="AS261" s="1" t="s">
        <v>74</v>
      </c>
      <c r="AT261" s="1" t="s">
        <v>2604</v>
      </c>
      <c r="AU261" s="1">
        <v>2007.0</v>
      </c>
      <c r="AV261" s="1">
        <v>83.0</v>
      </c>
      <c r="AW261" s="1">
        <v>4.0</v>
      </c>
      <c r="AX261" s="1" t="s">
        <v>74</v>
      </c>
      <c r="AY261" s="1" t="s">
        <v>74</v>
      </c>
      <c r="AZ261" s="1" t="s">
        <v>74</v>
      </c>
      <c r="BA261" s="1" t="s">
        <v>74</v>
      </c>
      <c r="BB261" s="1">
        <v>357.0</v>
      </c>
      <c r="BC261" s="1">
        <v>362.0</v>
      </c>
      <c r="BD261" s="1" t="s">
        <v>74</v>
      </c>
      <c r="BE261" s="1" t="s">
        <v>2831</v>
      </c>
      <c r="BF261" s="2" t="str">
        <f>HYPERLINK("http://dx.doi.org/10.2223/JPED.1679","http://dx.doi.org/10.2223/JPED.1679")</f>
        <v>http://dx.doi.org/10.2223/JPED.1679</v>
      </c>
      <c r="BG261" s="1" t="s">
        <v>74</v>
      </c>
      <c r="BH261" s="1" t="s">
        <v>74</v>
      </c>
      <c r="BI261" s="1" t="s">
        <v>74</v>
      </c>
      <c r="BJ261" s="1" t="s">
        <v>74</v>
      </c>
      <c r="BK261" s="1" t="s">
        <v>74</v>
      </c>
      <c r="BL261" s="1" t="s">
        <v>74</v>
      </c>
      <c r="BM261" s="1" t="s">
        <v>74</v>
      </c>
      <c r="BN261" s="1">
        <v>1.7676238E7</v>
      </c>
      <c r="BO261" s="1" t="s">
        <v>74</v>
      </c>
      <c r="BP261" s="1" t="s">
        <v>74</v>
      </c>
      <c r="BQ261" s="1" t="s">
        <v>74</v>
      </c>
      <c r="BR261" s="1" t="s">
        <v>74</v>
      </c>
      <c r="BS261" s="1" t="s">
        <v>2832</v>
      </c>
      <c r="BT261" s="1" t="str">
        <f>HYPERLINK("https%3A%2F%2Fwww.webofscience.com%2Fwos%2Fwoscc%2Ffull-record%2FWOS:000254506500012","View Full Record in Web of Science")</f>
        <v>View Full Record in Web of Science</v>
      </c>
    </row>
    <row r="262" ht="12.75" customHeight="1">
      <c r="A262" s="1" t="s">
        <v>72</v>
      </c>
      <c r="B262" s="1" t="s">
        <v>2833</v>
      </c>
      <c r="C262" s="1" t="s">
        <v>74</v>
      </c>
      <c r="D262" s="1" t="s">
        <v>74</v>
      </c>
      <c r="E262" s="1" t="s">
        <v>74</v>
      </c>
      <c r="F262" s="1" t="s">
        <v>2834</v>
      </c>
      <c r="G262" s="1" t="s">
        <v>74</v>
      </c>
      <c r="H262" s="1" t="s">
        <v>74</v>
      </c>
      <c r="I262" s="1" t="s">
        <v>2835</v>
      </c>
      <c r="J262" s="1" t="s">
        <v>380</v>
      </c>
      <c r="K262" s="1" t="s">
        <v>74</v>
      </c>
      <c r="L262" s="1" t="s">
        <v>74</v>
      </c>
      <c r="M262" s="1" t="s">
        <v>74</v>
      </c>
      <c r="N262" s="1" t="s">
        <v>74</v>
      </c>
      <c r="O262" s="1" t="s">
        <v>74</v>
      </c>
      <c r="P262" s="1" t="s">
        <v>74</v>
      </c>
      <c r="Q262" s="1" t="s">
        <v>74</v>
      </c>
      <c r="R262" s="1" t="s">
        <v>74</v>
      </c>
      <c r="S262" s="1" t="s">
        <v>74</v>
      </c>
      <c r="T262" s="1" t="s">
        <v>74</v>
      </c>
      <c r="U262" s="1" t="s">
        <v>74</v>
      </c>
      <c r="V262" s="1" t="s">
        <v>2836</v>
      </c>
      <c r="W262" s="1" t="s">
        <v>74</v>
      </c>
      <c r="X262" s="1" t="s">
        <v>74</v>
      </c>
      <c r="Y262" s="1" t="s">
        <v>74</v>
      </c>
      <c r="Z262" s="1" t="s">
        <v>74</v>
      </c>
      <c r="AA262" s="1" t="s">
        <v>2837</v>
      </c>
      <c r="AB262" s="1" t="s">
        <v>2838</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384</v>
      </c>
      <c r="AP262" s="1" t="s">
        <v>385</v>
      </c>
      <c r="AQ262" s="1" t="s">
        <v>74</v>
      </c>
      <c r="AR262" s="1" t="s">
        <v>74</v>
      </c>
      <c r="AS262" s="1" t="s">
        <v>74</v>
      </c>
      <c r="AT262" s="1" t="s">
        <v>82</v>
      </c>
      <c r="AU262" s="1">
        <v>2006.0</v>
      </c>
      <c r="AV262" s="1">
        <v>29.0</v>
      </c>
      <c r="AW262" s="1">
        <v>5.0</v>
      </c>
      <c r="AX262" s="1" t="s">
        <v>74</v>
      </c>
      <c r="AY262" s="1" t="s">
        <v>74</v>
      </c>
      <c r="AZ262" s="1" t="s">
        <v>74</v>
      </c>
      <c r="BA262" s="1" t="s">
        <v>74</v>
      </c>
      <c r="BB262" s="1">
        <v>519.0</v>
      </c>
      <c r="BC262" s="1">
        <v>531.0</v>
      </c>
      <c r="BD262" s="1" t="s">
        <v>74</v>
      </c>
      <c r="BE262" s="1" t="s">
        <v>2839</v>
      </c>
      <c r="BF262" s="2" t="str">
        <f>HYPERLINK("http://dx.doi.org/10.1111/j.1745-4530.2006.00077.x","http://dx.doi.org/10.1111/j.1745-4530.2006.00077.x")</f>
        <v>http://dx.doi.org/10.1111/j.1745-4530.2006.00077.x</v>
      </c>
      <c r="BG262" s="1" t="s">
        <v>74</v>
      </c>
      <c r="BH262" s="1" t="s">
        <v>74</v>
      </c>
      <c r="BI262" s="1" t="s">
        <v>74</v>
      </c>
      <c r="BJ262" s="1" t="s">
        <v>74</v>
      </c>
      <c r="BK262" s="1" t="s">
        <v>74</v>
      </c>
      <c r="BL262" s="1" t="s">
        <v>74</v>
      </c>
      <c r="BM262" s="1" t="s">
        <v>74</v>
      </c>
      <c r="BN262" s="1" t="s">
        <v>74</v>
      </c>
      <c r="BO262" s="1" t="s">
        <v>74</v>
      </c>
      <c r="BP262" s="1" t="s">
        <v>74</v>
      </c>
      <c r="BQ262" s="1" t="s">
        <v>74</v>
      </c>
      <c r="BR262" s="1" t="s">
        <v>74</v>
      </c>
      <c r="BS262" s="1" t="s">
        <v>2840</v>
      </c>
      <c r="BT262" s="1" t="str">
        <f>HYPERLINK("https%3A%2F%2Fwww.webofscience.com%2Fwos%2Fwoscc%2Ffull-record%2FWOS:000240661700006","View Full Record in Web of Science")</f>
        <v>View Full Record in Web of Science</v>
      </c>
    </row>
    <row r="263" ht="12.75" customHeight="1">
      <c r="A263" s="1" t="s">
        <v>72</v>
      </c>
      <c r="B263" s="1" t="s">
        <v>2841</v>
      </c>
      <c r="C263" s="1" t="s">
        <v>74</v>
      </c>
      <c r="D263" s="1" t="s">
        <v>74</v>
      </c>
      <c r="E263" s="1" t="s">
        <v>74</v>
      </c>
      <c r="F263" s="1" t="s">
        <v>2841</v>
      </c>
      <c r="G263" s="1" t="s">
        <v>74</v>
      </c>
      <c r="H263" s="1" t="s">
        <v>74</v>
      </c>
      <c r="I263" s="1" t="s">
        <v>2842</v>
      </c>
      <c r="J263" s="1" t="s">
        <v>2843</v>
      </c>
      <c r="K263" s="1" t="s">
        <v>74</v>
      </c>
      <c r="L263" s="1" t="s">
        <v>74</v>
      </c>
      <c r="M263" s="1" t="s">
        <v>74</v>
      </c>
      <c r="N263" s="1" t="s">
        <v>74</v>
      </c>
      <c r="O263" s="1" t="s">
        <v>74</v>
      </c>
      <c r="P263" s="1" t="s">
        <v>74</v>
      </c>
      <c r="Q263" s="1" t="s">
        <v>74</v>
      </c>
      <c r="R263" s="1" t="s">
        <v>74</v>
      </c>
      <c r="S263" s="1" t="s">
        <v>74</v>
      </c>
      <c r="T263" s="1" t="s">
        <v>74</v>
      </c>
      <c r="U263" s="1" t="s">
        <v>74</v>
      </c>
      <c r="V263" s="1" t="s">
        <v>2844</v>
      </c>
      <c r="W263" s="1" t="s">
        <v>74</v>
      </c>
      <c r="X263" s="1" t="s">
        <v>74</v>
      </c>
      <c r="Y263" s="1" t="s">
        <v>74</v>
      </c>
      <c r="Z263" s="1" t="s">
        <v>74</v>
      </c>
      <c r="AA263" s="1" t="s">
        <v>1570</v>
      </c>
      <c r="AB263" s="1" t="s">
        <v>809</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2845</v>
      </c>
      <c r="AP263" s="1" t="s">
        <v>2846</v>
      </c>
      <c r="AQ263" s="1" t="s">
        <v>74</v>
      </c>
      <c r="AR263" s="1" t="s">
        <v>74</v>
      </c>
      <c r="AS263" s="1" t="s">
        <v>74</v>
      </c>
      <c r="AT263" s="1" t="s">
        <v>2847</v>
      </c>
      <c r="AU263" s="1">
        <v>2004.0</v>
      </c>
      <c r="AV263" s="1">
        <v>1025.0</v>
      </c>
      <c r="AW263" s="1" t="s">
        <v>409</v>
      </c>
      <c r="AX263" s="1" t="s">
        <v>74</v>
      </c>
      <c r="AY263" s="1" t="s">
        <v>74</v>
      </c>
      <c r="AZ263" s="1" t="s">
        <v>74</v>
      </c>
      <c r="BA263" s="1" t="s">
        <v>74</v>
      </c>
      <c r="BB263" s="1">
        <v>186.0</v>
      </c>
      <c r="BC263" s="1">
        <v>193.0</v>
      </c>
      <c r="BD263" s="1" t="s">
        <v>74</v>
      </c>
      <c r="BE263" s="1" t="s">
        <v>2848</v>
      </c>
      <c r="BF263" s="2" t="str">
        <f>HYPERLINK("http://dx.doi.org/10.1016/j.brainres.2004.07.084","http://dx.doi.org/10.1016/j.brainres.2004.07.084")</f>
        <v>http://dx.doi.org/10.1016/j.brainres.2004.07.084</v>
      </c>
      <c r="BG263" s="1" t="s">
        <v>74</v>
      </c>
      <c r="BH263" s="1" t="s">
        <v>74</v>
      </c>
      <c r="BI263" s="1" t="s">
        <v>74</v>
      </c>
      <c r="BJ263" s="1" t="s">
        <v>74</v>
      </c>
      <c r="BK263" s="1" t="s">
        <v>74</v>
      </c>
      <c r="BL263" s="1" t="s">
        <v>74</v>
      </c>
      <c r="BM263" s="1" t="s">
        <v>74</v>
      </c>
      <c r="BN263" s="1">
        <v>1.5464759E7</v>
      </c>
      <c r="BO263" s="1" t="s">
        <v>74</v>
      </c>
      <c r="BP263" s="1" t="s">
        <v>74</v>
      </c>
      <c r="BQ263" s="1" t="s">
        <v>74</v>
      </c>
      <c r="BR263" s="1" t="s">
        <v>74</v>
      </c>
      <c r="BS263" s="1" t="s">
        <v>2849</v>
      </c>
      <c r="BT263" s="1" t="str">
        <f>HYPERLINK("https%3A%2F%2Fwww.webofscience.com%2Fwos%2Fwoscc%2Ffull-record%2FWOS:000224682700022","View Full Record in Web of Science")</f>
        <v>View Full Record in Web of Science</v>
      </c>
    </row>
    <row r="264" ht="12.75" customHeight="1">
      <c r="A264" s="1" t="s">
        <v>72</v>
      </c>
      <c r="B264" s="1" t="s">
        <v>2850</v>
      </c>
      <c r="C264" s="1" t="s">
        <v>74</v>
      </c>
      <c r="D264" s="1" t="s">
        <v>74</v>
      </c>
      <c r="E264" s="1" t="s">
        <v>74</v>
      </c>
      <c r="F264" s="1" t="s">
        <v>2850</v>
      </c>
      <c r="G264" s="1" t="s">
        <v>74</v>
      </c>
      <c r="H264" s="1" t="s">
        <v>74</v>
      </c>
      <c r="I264" s="1" t="s">
        <v>2851</v>
      </c>
      <c r="J264" s="1" t="s">
        <v>1926</v>
      </c>
      <c r="K264" s="1" t="s">
        <v>74</v>
      </c>
      <c r="L264" s="1" t="s">
        <v>74</v>
      </c>
      <c r="M264" s="1" t="s">
        <v>74</v>
      </c>
      <c r="N264" s="1" t="s">
        <v>74</v>
      </c>
      <c r="O264" s="1" t="s">
        <v>74</v>
      </c>
      <c r="P264" s="1" t="s">
        <v>74</v>
      </c>
      <c r="Q264" s="1" t="s">
        <v>74</v>
      </c>
      <c r="R264" s="1" t="s">
        <v>74</v>
      </c>
      <c r="S264" s="1" t="s">
        <v>74</v>
      </c>
      <c r="T264" s="1" t="s">
        <v>74</v>
      </c>
      <c r="U264" s="1" t="s">
        <v>74</v>
      </c>
      <c r="V264" s="1" t="s">
        <v>2852</v>
      </c>
      <c r="W264" s="1" t="s">
        <v>74</v>
      </c>
      <c r="X264" s="1" t="s">
        <v>74</v>
      </c>
      <c r="Y264" s="1" t="s">
        <v>74</v>
      </c>
      <c r="Z264" s="1" t="s">
        <v>74</v>
      </c>
      <c r="AA264" s="1" t="s">
        <v>2853</v>
      </c>
      <c r="AB264" s="1" t="s">
        <v>2854</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1930</v>
      </c>
      <c r="AP264" s="1" t="s">
        <v>1931</v>
      </c>
      <c r="AQ264" s="1" t="s">
        <v>74</v>
      </c>
      <c r="AR264" s="1" t="s">
        <v>74</v>
      </c>
      <c r="AS264" s="1" t="s">
        <v>74</v>
      </c>
      <c r="AT264" s="1" t="s">
        <v>294</v>
      </c>
      <c r="AU264" s="1">
        <v>2004.0</v>
      </c>
      <c r="AV264" s="1">
        <v>121.0</v>
      </c>
      <c r="AW264" s="1">
        <v>2.0</v>
      </c>
      <c r="AX264" s="1" t="s">
        <v>74</v>
      </c>
      <c r="AY264" s="1" t="s">
        <v>74</v>
      </c>
      <c r="AZ264" s="1" t="s">
        <v>74</v>
      </c>
      <c r="BA264" s="1" t="s">
        <v>74</v>
      </c>
      <c r="BB264" s="1">
        <v>149.0</v>
      </c>
      <c r="BC264" s="1">
        <v>153.0</v>
      </c>
      <c r="BD264" s="1" t="s">
        <v>74</v>
      </c>
      <c r="BE264" s="1" t="s">
        <v>2855</v>
      </c>
      <c r="BF264" s="2" t="str">
        <f>HYPERLINK("http://dx.doi.org/10.1007/s00418-004-0621-0","http://dx.doi.org/10.1007/s00418-004-0621-0")</f>
        <v>http://dx.doi.org/10.1007/s00418-004-0621-0</v>
      </c>
      <c r="BG264" s="1" t="s">
        <v>74</v>
      </c>
      <c r="BH264" s="1" t="s">
        <v>74</v>
      </c>
      <c r="BI264" s="1" t="s">
        <v>74</v>
      </c>
      <c r="BJ264" s="1" t="s">
        <v>74</v>
      </c>
      <c r="BK264" s="1" t="s">
        <v>74</v>
      </c>
      <c r="BL264" s="1" t="s">
        <v>74</v>
      </c>
      <c r="BM264" s="1" t="s">
        <v>74</v>
      </c>
      <c r="BN264" s="1">
        <v>1.4758483E7</v>
      </c>
      <c r="BO264" s="1" t="s">
        <v>74</v>
      </c>
      <c r="BP264" s="1" t="s">
        <v>74</v>
      </c>
      <c r="BQ264" s="1" t="s">
        <v>74</v>
      </c>
      <c r="BR264" s="1" t="s">
        <v>74</v>
      </c>
      <c r="BS264" s="1" t="s">
        <v>2856</v>
      </c>
      <c r="BT264" s="1" t="str">
        <f>HYPERLINK("https%3A%2F%2Fwww.webofscience.com%2Fwos%2Fwoscc%2Ffull-record%2FWOS:000189202100009","View Full Record in Web of Science")</f>
        <v>View Full Record in Web of Science</v>
      </c>
    </row>
    <row r="265" ht="12.75" customHeight="1">
      <c r="A265" s="1" t="s">
        <v>72</v>
      </c>
      <c r="B265" s="1" t="s">
        <v>2857</v>
      </c>
      <c r="C265" s="1" t="s">
        <v>74</v>
      </c>
      <c r="D265" s="1" t="s">
        <v>74</v>
      </c>
      <c r="E265" s="1" t="s">
        <v>74</v>
      </c>
      <c r="F265" s="1" t="s">
        <v>2857</v>
      </c>
      <c r="G265" s="1" t="s">
        <v>74</v>
      </c>
      <c r="H265" s="1" t="s">
        <v>74</v>
      </c>
      <c r="I265" s="1" t="s">
        <v>2858</v>
      </c>
      <c r="J265" s="1" t="s">
        <v>2859</v>
      </c>
      <c r="K265" s="1" t="s">
        <v>74</v>
      </c>
      <c r="L265" s="1" t="s">
        <v>74</v>
      </c>
      <c r="M265" s="1" t="s">
        <v>74</v>
      </c>
      <c r="N265" s="1" t="s">
        <v>74</v>
      </c>
      <c r="O265" s="1" t="s">
        <v>74</v>
      </c>
      <c r="P265" s="1" t="s">
        <v>74</v>
      </c>
      <c r="Q265" s="1" t="s">
        <v>74</v>
      </c>
      <c r="R265" s="1" t="s">
        <v>74</v>
      </c>
      <c r="S265" s="1" t="s">
        <v>74</v>
      </c>
      <c r="T265" s="1" t="s">
        <v>74</v>
      </c>
      <c r="U265" s="1" t="s">
        <v>74</v>
      </c>
      <c r="V265" s="1" t="s">
        <v>2860</v>
      </c>
      <c r="W265" s="1" t="s">
        <v>74</v>
      </c>
      <c r="X265" s="1" t="s">
        <v>74</v>
      </c>
      <c r="Y265" s="1" t="s">
        <v>74</v>
      </c>
      <c r="Z265" s="1" t="s">
        <v>74</v>
      </c>
      <c r="AA265" s="1" t="s">
        <v>2861</v>
      </c>
      <c r="AB265" s="1" t="s">
        <v>2862</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2863</v>
      </c>
      <c r="AP265" s="1" t="s">
        <v>74</v>
      </c>
      <c r="AQ265" s="1" t="s">
        <v>74</v>
      </c>
      <c r="AR265" s="1" t="s">
        <v>74</v>
      </c>
      <c r="AS265" s="1" t="s">
        <v>74</v>
      </c>
      <c r="AT265" s="1" t="s">
        <v>74</v>
      </c>
      <c r="AU265" s="1">
        <v>2004.0</v>
      </c>
      <c r="AV265" s="1">
        <v>20.0</v>
      </c>
      <c r="AW265" s="1">
        <v>2.0</v>
      </c>
      <c r="AX265" s="1" t="s">
        <v>74</v>
      </c>
      <c r="AY265" s="1" t="s">
        <v>74</v>
      </c>
      <c r="AZ265" s="1" t="s">
        <v>74</v>
      </c>
      <c r="BA265" s="1" t="s">
        <v>74</v>
      </c>
      <c r="BB265" s="1">
        <v>212.0</v>
      </c>
      <c r="BC265" s="1">
        <v>225.0</v>
      </c>
      <c r="BD265" s="1" t="s">
        <v>74</v>
      </c>
      <c r="BE265" s="1" t="s">
        <v>74</v>
      </c>
      <c r="BF265" s="1" t="s">
        <v>74</v>
      </c>
      <c r="BG265" s="1" t="s">
        <v>74</v>
      </c>
      <c r="BH265" s="1" t="s">
        <v>74</v>
      </c>
      <c r="BI265" s="1" t="s">
        <v>74</v>
      </c>
      <c r="BJ265" s="1" t="s">
        <v>74</v>
      </c>
      <c r="BK265" s="1" t="s">
        <v>74</v>
      </c>
      <c r="BL265" s="1" t="s">
        <v>74</v>
      </c>
      <c r="BM265" s="1" t="s">
        <v>74</v>
      </c>
      <c r="BN265" s="1" t="s">
        <v>74</v>
      </c>
      <c r="BO265" s="1" t="s">
        <v>74</v>
      </c>
      <c r="BP265" s="1" t="s">
        <v>74</v>
      </c>
      <c r="BQ265" s="1" t="s">
        <v>74</v>
      </c>
      <c r="BR265" s="1" t="s">
        <v>74</v>
      </c>
      <c r="BS265" s="1" t="s">
        <v>2864</v>
      </c>
      <c r="BT265" s="1" t="str">
        <f>HYPERLINK("https%3A%2F%2Fwww.webofscience.com%2Fwos%2Fwoscc%2Ffull-record%2FWOS:000220507900012","View Full Record in Web of Science")</f>
        <v>View Full Record in Web of Science</v>
      </c>
    </row>
    <row r="266" ht="12.75" customHeight="1">
      <c r="A266" s="1" t="s">
        <v>72</v>
      </c>
      <c r="B266" s="1" t="s">
        <v>2865</v>
      </c>
      <c r="C266" s="1" t="s">
        <v>74</v>
      </c>
      <c r="D266" s="1" t="s">
        <v>74</v>
      </c>
      <c r="E266" s="1" t="s">
        <v>74</v>
      </c>
      <c r="F266" s="1" t="s">
        <v>2865</v>
      </c>
      <c r="G266" s="1" t="s">
        <v>74</v>
      </c>
      <c r="H266" s="1" t="s">
        <v>74</v>
      </c>
      <c r="I266" s="1" t="s">
        <v>2866</v>
      </c>
      <c r="J266" s="1" t="s">
        <v>2867</v>
      </c>
      <c r="K266" s="1" t="s">
        <v>74</v>
      </c>
      <c r="L266" s="1" t="s">
        <v>74</v>
      </c>
      <c r="M266" s="1" t="s">
        <v>74</v>
      </c>
      <c r="N266" s="1" t="s">
        <v>74</v>
      </c>
      <c r="O266" s="1" t="s">
        <v>74</v>
      </c>
      <c r="P266" s="1" t="s">
        <v>74</v>
      </c>
      <c r="Q266" s="1" t="s">
        <v>74</v>
      </c>
      <c r="R266" s="1" t="s">
        <v>74</v>
      </c>
      <c r="S266" s="1" t="s">
        <v>74</v>
      </c>
      <c r="T266" s="1" t="s">
        <v>74</v>
      </c>
      <c r="U266" s="1" t="s">
        <v>74</v>
      </c>
      <c r="V266" s="1" t="s">
        <v>2868</v>
      </c>
      <c r="W266" s="1" t="s">
        <v>74</v>
      </c>
      <c r="X266" s="1" t="s">
        <v>74</v>
      </c>
      <c r="Y266" s="1" t="s">
        <v>74</v>
      </c>
      <c r="Z266" s="1" t="s">
        <v>74</v>
      </c>
      <c r="AA266" s="1" t="s">
        <v>2869</v>
      </c>
      <c r="AB266" s="1" t="s">
        <v>2870</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2871</v>
      </c>
      <c r="AP266" s="1" t="s">
        <v>74</v>
      </c>
      <c r="AQ266" s="1" t="s">
        <v>74</v>
      </c>
      <c r="AR266" s="1" t="s">
        <v>74</v>
      </c>
      <c r="AS266" s="1" t="s">
        <v>74</v>
      </c>
      <c r="AT266" s="1" t="s">
        <v>74</v>
      </c>
      <c r="AU266" s="1">
        <v>2000.0</v>
      </c>
      <c r="AV266" s="1">
        <v>31.0</v>
      </c>
      <c r="AW266" s="1" t="s">
        <v>2872</v>
      </c>
      <c r="AX266" s="1" t="s">
        <v>74</v>
      </c>
      <c r="AY266" s="1" t="s">
        <v>74</v>
      </c>
      <c r="AZ266" s="1" t="s">
        <v>74</v>
      </c>
      <c r="BA266" s="1" t="s">
        <v>74</v>
      </c>
      <c r="BB266" s="1">
        <v>3113.0</v>
      </c>
      <c r="BC266" s="1">
        <v>3119.0</v>
      </c>
      <c r="BD266" s="1" t="s">
        <v>74</v>
      </c>
      <c r="BE266" s="1" t="s">
        <v>2873</v>
      </c>
      <c r="BF266" s="2" t="str">
        <f>HYPERLINK("http://dx.doi.org/10.1080/00103620009370654","http://dx.doi.org/10.1080/00103620009370654")</f>
        <v>http://dx.doi.org/10.1080/00103620009370654</v>
      </c>
      <c r="BG266" s="1" t="s">
        <v>74</v>
      </c>
      <c r="BH266" s="1" t="s">
        <v>74</v>
      </c>
      <c r="BI266" s="1" t="s">
        <v>74</v>
      </c>
      <c r="BJ266" s="1" t="s">
        <v>74</v>
      </c>
      <c r="BK266" s="1" t="s">
        <v>74</v>
      </c>
      <c r="BL266" s="1" t="s">
        <v>74</v>
      </c>
      <c r="BM266" s="1" t="s">
        <v>74</v>
      </c>
      <c r="BN266" s="1" t="s">
        <v>74</v>
      </c>
      <c r="BO266" s="1" t="s">
        <v>74</v>
      </c>
      <c r="BP266" s="1" t="s">
        <v>74</v>
      </c>
      <c r="BQ266" s="1" t="s">
        <v>74</v>
      </c>
      <c r="BR266" s="1" t="s">
        <v>74</v>
      </c>
      <c r="BS266" s="1" t="s">
        <v>2874</v>
      </c>
      <c r="BT266" s="1" t="str">
        <f>HYPERLINK("https%3A%2F%2Fwww.webofscience.com%2Fwos%2Fwoscc%2Ffull-record%2FWOS:000165321900012","View Full Record in Web of Science")</f>
        <v>View Full Record in Web of Science</v>
      </c>
    </row>
    <row r="267" ht="12.75" customHeight="1">
      <c r="A267" s="1" t="s">
        <v>72</v>
      </c>
      <c r="B267" s="1" t="s">
        <v>2875</v>
      </c>
      <c r="C267" s="1" t="s">
        <v>74</v>
      </c>
      <c r="D267" s="1" t="s">
        <v>74</v>
      </c>
      <c r="E267" s="1" t="s">
        <v>74</v>
      </c>
      <c r="F267" s="1" t="s">
        <v>2875</v>
      </c>
      <c r="G267" s="1" t="s">
        <v>74</v>
      </c>
      <c r="H267" s="1" t="s">
        <v>74</v>
      </c>
      <c r="I267" s="1" t="s">
        <v>2876</v>
      </c>
      <c r="J267" s="1" t="s">
        <v>2877</v>
      </c>
      <c r="K267" s="1" t="s">
        <v>74</v>
      </c>
      <c r="L267" s="1" t="s">
        <v>74</v>
      </c>
      <c r="M267" s="1" t="s">
        <v>74</v>
      </c>
      <c r="N267" s="1" t="s">
        <v>74</v>
      </c>
      <c r="O267" s="1" t="s">
        <v>74</v>
      </c>
      <c r="P267" s="1" t="s">
        <v>74</v>
      </c>
      <c r="Q267" s="1" t="s">
        <v>74</v>
      </c>
      <c r="R267" s="1" t="s">
        <v>74</v>
      </c>
      <c r="S267" s="1" t="s">
        <v>74</v>
      </c>
      <c r="T267" s="1" t="s">
        <v>74</v>
      </c>
      <c r="U267" s="1" t="s">
        <v>74</v>
      </c>
      <c r="V267" s="1" t="s">
        <v>2878</v>
      </c>
      <c r="W267" s="1" t="s">
        <v>74</v>
      </c>
      <c r="X267" s="1" t="s">
        <v>74</v>
      </c>
      <c r="Y267" s="1" t="s">
        <v>74</v>
      </c>
      <c r="Z267" s="1" t="s">
        <v>74</v>
      </c>
      <c r="AA267" s="1" t="s">
        <v>2879</v>
      </c>
      <c r="AB267" s="1" t="s">
        <v>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2880</v>
      </c>
      <c r="AP267" s="1" t="s">
        <v>74</v>
      </c>
      <c r="AQ267" s="1" t="s">
        <v>74</v>
      </c>
      <c r="AR267" s="1" t="s">
        <v>74</v>
      </c>
      <c r="AS267" s="1" t="s">
        <v>74</v>
      </c>
      <c r="AT267" s="1" t="s">
        <v>177</v>
      </c>
      <c r="AU267" s="1">
        <v>1995.0</v>
      </c>
      <c r="AV267" s="1">
        <v>62.0</v>
      </c>
      <c r="AW267" s="1">
        <v>1.0</v>
      </c>
      <c r="AX267" s="1" t="s">
        <v>74</v>
      </c>
      <c r="AY267" s="1" t="s">
        <v>74</v>
      </c>
      <c r="AZ267" s="1" t="s">
        <v>74</v>
      </c>
      <c r="BA267" s="1" t="s">
        <v>74</v>
      </c>
      <c r="BB267" s="1">
        <v>65.0</v>
      </c>
      <c r="BC267" s="1">
        <v>70.0</v>
      </c>
      <c r="BD267" s="1" t="s">
        <v>74</v>
      </c>
      <c r="BE267" s="1" t="s">
        <v>2881</v>
      </c>
      <c r="BF267" s="2" t="str">
        <f>HYPERLINK("http://dx.doi.org/10.1111/j.1751-1097.1995.tb05240.x","http://dx.doi.org/10.1111/j.1751-1097.1995.tb05240.x")</f>
        <v>http://dx.doi.org/10.1111/j.1751-1097.1995.tb05240.x</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2882</v>
      </c>
      <c r="BT267" s="1" t="str">
        <f>HYPERLINK("https%3A%2F%2Fwww.webofscience.com%2Fwos%2Fwoscc%2Ffull-record%2FWOS:A1995RJ71000010","View Full Record in Web of Science")</f>
        <v>View Full Record in Web of Science</v>
      </c>
    </row>
    <row r="268" ht="12.75" customHeight="1">
      <c r="A268" s="1" t="s">
        <v>72</v>
      </c>
      <c r="B268" s="1" t="s">
        <v>2883</v>
      </c>
      <c r="C268" s="1" t="s">
        <v>74</v>
      </c>
      <c r="D268" s="1" t="s">
        <v>74</v>
      </c>
      <c r="E268" s="1" t="s">
        <v>74</v>
      </c>
      <c r="F268" s="1" t="s">
        <v>2883</v>
      </c>
      <c r="G268" s="1" t="s">
        <v>74</v>
      </c>
      <c r="H268" s="1" t="s">
        <v>74</v>
      </c>
      <c r="I268" s="1" t="s">
        <v>2884</v>
      </c>
      <c r="J268" s="1" t="s">
        <v>2156</v>
      </c>
      <c r="K268" s="1" t="s">
        <v>74</v>
      </c>
      <c r="L268" s="1" t="s">
        <v>74</v>
      </c>
      <c r="M268" s="1" t="s">
        <v>74</v>
      </c>
      <c r="N268" s="1" t="s">
        <v>74</v>
      </c>
      <c r="O268" s="1" t="s">
        <v>2885</v>
      </c>
      <c r="P268" s="1" t="s">
        <v>2886</v>
      </c>
      <c r="Q268" s="1" t="s">
        <v>2887</v>
      </c>
      <c r="R268" s="1" t="s">
        <v>2888</v>
      </c>
      <c r="S268" s="1" t="s">
        <v>74</v>
      </c>
      <c r="T268" s="1" t="s">
        <v>74</v>
      </c>
      <c r="U268" s="1" t="s">
        <v>74</v>
      </c>
      <c r="V268" s="1" t="s">
        <v>2889</v>
      </c>
      <c r="W268" s="1" t="s">
        <v>74</v>
      </c>
      <c r="X268" s="1" t="s">
        <v>74</v>
      </c>
      <c r="Y268" s="1" t="s">
        <v>74</v>
      </c>
      <c r="Z268" s="1" t="s">
        <v>74</v>
      </c>
      <c r="AA268" s="1" t="s">
        <v>2890</v>
      </c>
      <c r="AB268" s="1" t="s">
        <v>2891</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2160</v>
      </c>
      <c r="AP268" s="1" t="s">
        <v>74</v>
      </c>
      <c r="AQ268" s="1" t="s">
        <v>74</v>
      </c>
      <c r="AR268" s="1" t="s">
        <v>74</v>
      </c>
      <c r="AS268" s="1" t="s">
        <v>74</v>
      </c>
      <c r="AT268" s="1" t="s">
        <v>1106</v>
      </c>
      <c r="AU268" s="1">
        <v>1994.0</v>
      </c>
      <c r="AV268" s="1">
        <v>4.0</v>
      </c>
      <c r="AW268" s="1">
        <v>1.0</v>
      </c>
      <c r="AX268" s="1" t="s">
        <v>74</v>
      </c>
      <c r="AY268" s="1" t="s">
        <v>74</v>
      </c>
      <c r="AZ268" s="1" t="s">
        <v>74</v>
      </c>
      <c r="BA268" s="1" t="s">
        <v>74</v>
      </c>
      <c r="BB268" s="1">
        <v>47.0</v>
      </c>
      <c r="BC268" s="1">
        <v>50.0</v>
      </c>
      <c r="BD268" s="1" t="s">
        <v>74</v>
      </c>
      <c r="BE268" s="1" t="s">
        <v>2892</v>
      </c>
      <c r="BF268" s="2" t="str">
        <f>HYPERLINK("http://dx.doi.org/10.1039/jm9940400047","http://dx.doi.org/10.1039/jm9940400047")</f>
        <v>http://dx.doi.org/10.1039/jm9940400047</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2893</v>
      </c>
      <c r="BT268" s="1" t="str">
        <f>HYPERLINK("https%3A%2F%2Fwww.webofscience.com%2Fwos%2Fwoscc%2Ffull-record%2FWOS:A1994MT64400010","View Full Record in Web of Science")</f>
        <v>View Full Record in Web of Science</v>
      </c>
    </row>
    <row r="269" ht="12.75" customHeight="1">
      <c r="A269" s="1" t="s">
        <v>72</v>
      </c>
      <c r="B269" s="1" t="s">
        <v>2894</v>
      </c>
      <c r="C269" s="1" t="s">
        <v>74</v>
      </c>
      <c r="D269" s="1" t="s">
        <v>74</v>
      </c>
      <c r="E269" s="1" t="s">
        <v>74</v>
      </c>
      <c r="F269" s="1" t="s">
        <v>2894</v>
      </c>
      <c r="G269" s="1" t="s">
        <v>74</v>
      </c>
      <c r="H269" s="1" t="s">
        <v>74</v>
      </c>
      <c r="I269" s="1" t="s">
        <v>2895</v>
      </c>
      <c r="J269" s="1" t="s">
        <v>2896</v>
      </c>
      <c r="K269" s="1" t="s">
        <v>74</v>
      </c>
      <c r="L269" s="1" t="s">
        <v>74</v>
      </c>
      <c r="M269" s="1" t="s">
        <v>74</v>
      </c>
      <c r="N269" s="1" t="s">
        <v>74</v>
      </c>
      <c r="O269" s="1" t="s">
        <v>2897</v>
      </c>
      <c r="P269" s="1" t="s">
        <v>2898</v>
      </c>
      <c r="Q269" s="1" t="s">
        <v>2899</v>
      </c>
      <c r="R269" s="1" t="s">
        <v>2900</v>
      </c>
      <c r="S269" s="1" t="s">
        <v>74</v>
      </c>
      <c r="T269" s="1" t="s">
        <v>74</v>
      </c>
      <c r="U269" s="1" t="s">
        <v>74</v>
      </c>
      <c r="V269" s="1" t="s">
        <v>2901</v>
      </c>
      <c r="W269" s="1" t="s">
        <v>74</v>
      </c>
      <c r="X269" s="1" t="s">
        <v>74</v>
      </c>
      <c r="Y269" s="1" t="s">
        <v>74</v>
      </c>
      <c r="Z269" s="1" t="s">
        <v>74</v>
      </c>
      <c r="AA269" s="1" t="s">
        <v>74</v>
      </c>
      <c r="AB269" s="1" t="s">
        <v>74</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2902</v>
      </c>
      <c r="AP269" s="1" t="s">
        <v>74</v>
      </c>
      <c r="AQ269" s="1" t="s">
        <v>74</v>
      </c>
      <c r="AR269" s="1" t="s">
        <v>74</v>
      </c>
      <c r="AS269" s="1" t="s">
        <v>74</v>
      </c>
      <c r="AT269" s="1" t="s">
        <v>74</v>
      </c>
      <c r="AU269" s="1">
        <v>1991.0</v>
      </c>
      <c r="AV269" s="1">
        <v>67.0</v>
      </c>
      <c r="AW269" s="1" t="s">
        <v>2903</v>
      </c>
      <c r="AX269" s="1" t="s">
        <v>74</v>
      </c>
      <c r="AY269" s="1" t="s">
        <v>74</v>
      </c>
      <c r="AZ269" s="1" t="s">
        <v>74</v>
      </c>
      <c r="BA269" s="1" t="s">
        <v>74</v>
      </c>
      <c r="BB269" s="1">
        <v>581.0</v>
      </c>
      <c r="BC269" s="1">
        <v>585.0</v>
      </c>
      <c r="BD269" s="1" t="s">
        <v>74</v>
      </c>
      <c r="BE269" s="1" t="s">
        <v>2904</v>
      </c>
      <c r="BF269" s="2" t="str">
        <f>HYPERLINK("http://dx.doi.org/10.1007/BF02398204","http://dx.doi.org/10.1007/BF02398204")</f>
        <v>http://dx.doi.org/10.1007/BF02398204</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2905</v>
      </c>
      <c r="BT269" s="1" t="str">
        <f>HYPERLINK("https%3A%2F%2Fwww.webofscience.com%2Fwos%2Fwoscc%2Ffull-record%2FWOS:A1991GY21800025","View Full Record in Web of Science")</f>
        <v>View Full Record in Web of Science</v>
      </c>
    </row>
    <row r="270" ht="12.75" customHeight="1">
      <c r="A270" s="1" t="s">
        <v>72</v>
      </c>
      <c r="B270" s="1" t="s">
        <v>2906</v>
      </c>
      <c r="C270" s="1" t="s">
        <v>74</v>
      </c>
      <c r="D270" s="1" t="s">
        <v>74</v>
      </c>
      <c r="E270" s="1" t="s">
        <v>74</v>
      </c>
      <c r="F270" s="1" t="s">
        <v>2906</v>
      </c>
      <c r="G270" s="1" t="s">
        <v>74</v>
      </c>
      <c r="H270" s="1" t="s">
        <v>74</v>
      </c>
      <c r="I270" s="1" t="s">
        <v>2907</v>
      </c>
      <c r="J270" s="1" t="s">
        <v>2908</v>
      </c>
      <c r="K270" s="1" t="s">
        <v>74</v>
      </c>
      <c r="L270" s="1" t="s">
        <v>74</v>
      </c>
      <c r="M270" s="1" t="s">
        <v>74</v>
      </c>
      <c r="N270" s="1" t="s">
        <v>74</v>
      </c>
      <c r="O270" s="1" t="s">
        <v>74</v>
      </c>
      <c r="P270" s="1" t="s">
        <v>74</v>
      </c>
      <c r="Q270" s="1" t="s">
        <v>74</v>
      </c>
      <c r="R270" s="1" t="s">
        <v>74</v>
      </c>
      <c r="S270" s="1" t="s">
        <v>74</v>
      </c>
      <c r="T270" s="1" t="s">
        <v>74</v>
      </c>
      <c r="U270" s="1" t="s">
        <v>74</v>
      </c>
      <c r="V270" s="1" t="s">
        <v>74</v>
      </c>
      <c r="W270" s="1" t="s">
        <v>74</v>
      </c>
      <c r="X270" s="1" t="s">
        <v>74</v>
      </c>
      <c r="Y270" s="1" t="s">
        <v>74</v>
      </c>
      <c r="Z270" s="1" t="s">
        <v>74</v>
      </c>
      <c r="AA270" s="1" t="s">
        <v>2214</v>
      </c>
      <c r="AB270" s="1" t="s">
        <v>2215</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2909</v>
      </c>
      <c r="AP270" s="1" t="s">
        <v>74</v>
      </c>
      <c r="AQ270" s="1" t="s">
        <v>74</v>
      </c>
      <c r="AR270" s="1" t="s">
        <v>74</v>
      </c>
      <c r="AS270" s="1" t="s">
        <v>74</v>
      </c>
      <c r="AT270" s="1" t="s">
        <v>1279</v>
      </c>
      <c r="AU270" s="1">
        <v>1986.0</v>
      </c>
      <c r="AV270" s="1">
        <v>19.0</v>
      </c>
      <c r="AW270" s="1">
        <v>4.0</v>
      </c>
      <c r="AX270" s="1" t="s">
        <v>74</v>
      </c>
      <c r="AY270" s="1" t="s">
        <v>74</v>
      </c>
      <c r="AZ270" s="1" t="s">
        <v>74</v>
      </c>
      <c r="BA270" s="1" t="s">
        <v>74</v>
      </c>
      <c r="BB270" s="1">
        <v>990.0</v>
      </c>
      <c r="BC270" s="1">
        <v>994.0</v>
      </c>
      <c r="BD270" s="1" t="s">
        <v>74</v>
      </c>
      <c r="BE270" s="1" t="s">
        <v>2910</v>
      </c>
      <c r="BF270" s="2" t="str">
        <f>HYPERLINK("http://dx.doi.org/10.1021/ma00158a010","http://dx.doi.org/10.1021/ma00158a010")</f>
        <v>http://dx.doi.org/10.1021/ma00158a010</v>
      </c>
      <c r="BG270" s="1" t="s">
        <v>74</v>
      </c>
      <c r="BH270" s="1" t="s">
        <v>74</v>
      </c>
      <c r="BI270" s="1" t="s">
        <v>74</v>
      </c>
      <c r="BJ270" s="1" t="s">
        <v>74</v>
      </c>
      <c r="BK270" s="1" t="s">
        <v>74</v>
      </c>
      <c r="BL270" s="1" t="s">
        <v>74</v>
      </c>
      <c r="BM270" s="1" t="s">
        <v>74</v>
      </c>
      <c r="BN270" s="1" t="s">
        <v>74</v>
      </c>
      <c r="BO270" s="1" t="s">
        <v>74</v>
      </c>
      <c r="BP270" s="1" t="s">
        <v>74</v>
      </c>
      <c r="BQ270" s="1" t="s">
        <v>74</v>
      </c>
      <c r="BR270" s="1" t="s">
        <v>74</v>
      </c>
      <c r="BS270" s="1" t="s">
        <v>2911</v>
      </c>
      <c r="BT270" s="1" t="str">
        <f>HYPERLINK("https%3A%2F%2Fwww.webofscience.com%2Fwos%2Fwoscc%2Ffull-record%2FWOS:A1986A985300010","View Full Record in Web of Science")</f>
        <v>View Full Record in Web of Science</v>
      </c>
    </row>
    <row r="271" ht="12.75" customHeight="1">
      <c r="A271" s="1" t="s">
        <v>72</v>
      </c>
      <c r="B271" s="1" t="s">
        <v>2912</v>
      </c>
      <c r="C271" s="1" t="s">
        <v>74</v>
      </c>
      <c r="D271" s="1" t="s">
        <v>74</v>
      </c>
      <c r="E271" s="1" t="s">
        <v>74</v>
      </c>
      <c r="F271" s="1" t="s">
        <v>2913</v>
      </c>
      <c r="G271" s="1" t="s">
        <v>74</v>
      </c>
      <c r="H271" s="1" t="s">
        <v>74</v>
      </c>
      <c r="I271" s="1" t="s">
        <v>2914</v>
      </c>
      <c r="J271" s="1" t="s">
        <v>1192</v>
      </c>
      <c r="K271" s="1" t="s">
        <v>74</v>
      </c>
      <c r="L271" s="1" t="s">
        <v>74</v>
      </c>
      <c r="M271" s="1" t="s">
        <v>74</v>
      </c>
      <c r="N271" s="1" t="s">
        <v>74</v>
      </c>
      <c r="O271" s="1" t="s">
        <v>74</v>
      </c>
      <c r="P271" s="1" t="s">
        <v>74</v>
      </c>
      <c r="Q271" s="1" t="s">
        <v>74</v>
      </c>
      <c r="R271" s="1" t="s">
        <v>74</v>
      </c>
      <c r="S271" s="1" t="s">
        <v>74</v>
      </c>
      <c r="T271" s="1" t="s">
        <v>74</v>
      </c>
      <c r="U271" s="1" t="s">
        <v>74</v>
      </c>
      <c r="V271" s="1" t="s">
        <v>74</v>
      </c>
      <c r="W271" s="1" t="s">
        <v>74</v>
      </c>
      <c r="X271" s="1" t="s">
        <v>74</v>
      </c>
      <c r="Y271" s="1" t="s">
        <v>74</v>
      </c>
      <c r="Z271" s="1" t="s">
        <v>74</v>
      </c>
      <c r="AA271" s="1" t="s">
        <v>2915</v>
      </c>
      <c r="AB271" s="1" t="s">
        <v>2916</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1196</v>
      </c>
      <c r="AP271" s="1" t="s">
        <v>74</v>
      </c>
      <c r="AQ271" s="1" t="s">
        <v>74</v>
      </c>
      <c r="AR271" s="1" t="s">
        <v>74</v>
      </c>
      <c r="AS271" s="1" t="s">
        <v>74</v>
      </c>
      <c r="AT271" s="1" t="s">
        <v>82</v>
      </c>
      <c r="AU271" s="1">
        <v>2024.0</v>
      </c>
      <c r="AV271" s="1">
        <v>24.0</v>
      </c>
      <c r="AW271" s="1">
        <v>9.0</v>
      </c>
      <c r="AX271" s="1" t="s">
        <v>74</v>
      </c>
      <c r="AY271" s="1" t="s">
        <v>74</v>
      </c>
      <c r="AZ271" s="1" t="s">
        <v>74</v>
      </c>
      <c r="BA271" s="1" t="s">
        <v>74</v>
      </c>
      <c r="BB271" s="1" t="s">
        <v>74</v>
      </c>
      <c r="BC271" s="1" t="s">
        <v>74</v>
      </c>
      <c r="BD271" s="1" t="s">
        <v>2917</v>
      </c>
      <c r="BE271" s="1" t="s">
        <v>2918</v>
      </c>
      <c r="BF271" s="2" t="str">
        <f>HYPERLINK("http://dx.doi.org/10.5867/medwave.2024.09.3029","http://dx.doi.org/10.5867/medwave.2024.09.3029")</f>
        <v>http://dx.doi.org/10.5867/medwave.2024.09.3029</v>
      </c>
      <c r="BG271" s="1" t="s">
        <v>74</v>
      </c>
      <c r="BH271" s="1" t="s">
        <v>74</v>
      </c>
      <c r="BI271" s="1" t="s">
        <v>74</v>
      </c>
      <c r="BJ271" s="1" t="s">
        <v>74</v>
      </c>
      <c r="BK271" s="1" t="s">
        <v>74</v>
      </c>
      <c r="BL271" s="1" t="s">
        <v>74</v>
      </c>
      <c r="BM271" s="1" t="s">
        <v>74</v>
      </c>
      <c r="BN271" s="1">
        <v>3.943722E7</v>
      </c>
      <c r="BO271" s="1" t="s">
        <v>74</v>
      </c>
      <c r="BP271" s="1" t="s">
        <v>74</v>
      </c>
      <c r="BQ271" s="1" t="s">
        <v>74</v>
      </c>
      <c r="BR271" s="1" t="s">
        <v>74</v>
      </c>
      <c r="BS271" s="1" t="s">
        <v>2919</v>
      </c>
      <c r="BT271" s="1" t="str">
        <f>HYPERLINK("https%3A%2F%2Fwww.webofscience.com%2Fwos%2Fwoscc%2Ffull-record%2FWOS:001362789700004","View Full Record in Web of Science")</f>
        <v>View Full Record in Web of Science</v>
      </c>
    </row>
    <row r="272" ht="12.75" customHeight="1">
      <c r="A272" s="1" t="s">
        <v>72</v>
      </c>
      <c r="B272" s="1" t="s">
        <v>2920</v>
      </c>
      <c r="C272" s="1" t="s">
        <v>74</v>
      </c>
      <c r="D272" s="1" t="s">
        <v>74</v>
      </c>
      <c r="E272" s="1" t="s">
        <v>74</v>
      </c>
      <c r="F272" s="1" t="s">
        <v>2921</v>
      </c>
      <c r="G272" s="1" t="s">
        <v>74</v>
      </c>
      <c r="H272" s="1" t="s">
        <v>74</v>
      </c>
      <c r="I272" s="1" t="s">
        <v>2922</v>
      </c>
      <c r="J272" s="1" t="s">
        <v>2923</v>
      </c>
      <c r="K272" s="1" t="s">
        <v>74</v>
      </c>
      <c r="L272" s="1" t="s">
        <v>74</v>
      </c>
      <c r="M272" s="1" t="s">
        <v>74</v>
      </c>
      <c r="N272" s="1" t="s">
        <v>74</v>
      </c>
      <c r="O272" s="1" t="s">
        <v>74</v>
      </c>
      <c r="P272" s="1" t="s">
        <v>74</v>
      </c>
      <c r="Q272" s="1" t="s">
        <v>74</v>
      </c>
      <c r="R272" s="1" t="s">
        <v>74</v>
      </c>
      <c r="S272" s="1" t="s">
        <v>74</v>
      </c>
      <c r="T272" s="1" t="s">
        <v>74</v>
      </c>
      <c r="U272" s="1" t="s">
        <v>74</v>
      </c>
      <c r="V272" s="1" t="s">
        <v>2924</v>
      </c>
      <c r="W272" s="1" t="s">
        <v>74</v>
      </c>
      <c r="X272" s="1" t="s">
        <v>74</v>
      </c>
      <c r="Y272" s="1" t="s">
        <v>74</v>
      </c>
      <c r="Z272" s="1" t="s">
        <v>74</v>
      </c>
      <c r="AA272" s="1" t="s">
        <v>2925</v>
      </c>
      <c r="AB272" s="1" t="s">
        <v>74</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74</v>
      </c>
      <c r="AP272" s="1" t="s">
        <v>2926</v>
      </c>
      <c r="AQ272" s="1" t="s">
        <v>74</v>
      </c>
      <c r="AR272" s="1" t="s">
        <v>74</v>
      </c>
      <c r="AS272" s="1" t="s">
        <v>74</v>
      </c>
      <c r="AT272" s="1" t="s">
        <v>94</v>
      </c>
      <c r="AU272" s="1">
        <v>2024.0</v>
      </c>
      <c r="AV272" s="1">
        <v>51.0</v>
      </c>
      <c r="AW272" s="1" t="s">
        <v>74</v>
      </c>
      <c r="AX272" s="1" t="s">
        <v>74</v>
      </c>
      <c r="AY272" s="1" t="s">
        <v>74</v>
      </c>
      <c r="AZ272" s="1" t="s">
        <v>74</v>
      </c>
      <c r="BA272" s="1" t="s">
        <v>74</v>
      </c>
      <c r="BB272" s="1" t="s">
        <v>74</v>
      </c>
      <c r="BC272" s="1" t="s">
        <v>74</v>
      </c>
      <c r="BD272" s="1" t="s">
        <v>2927</v>
      </c>
      <c r="BE272" s="1" t="s">
        <v>2928</v>
      </c>
      <c r="BF272" s="2" t="str">
        <f>HYPERLINK("http://dx.doi.org/10.1016/j.gecco.2024.e02940","http://dx.doi.org/10.1016/j.gecco.2024.e02940")</f>
        <v>http://dx.doi.org/10.1016/j.gecco.2024.e02940</v>
      </c>
      <c r="BG272" s="1" t="s">
        <v>74</v>
      </c>
      <c r="BH272" s="1" t="s">
        <v>74</v>
      </c>
      <c r="BI272" s="1" t="s">
        <v>74</v>
      </c>
      <c r="BJ272" s="1" t="s">
        <v>74</v>
      </c>
      <c r="BK272" s="1" t="s">
        <v>74</v>
      </c>
      <c r="BL272" s="1" t="s">
        <v>74</v>
      </c>
      <c r="BM272" s="1" t="s">
        <v>74</v>
      </c>
      <c r="BN272" s="1" t="s">
        <v>74</v>
      </c>
      <c r="BO272" s="1" t="s">
        <v>74</v>
      </c>
      <c r="BP272" s="1" t="s">
        <v>74</v>
      </c>
      <c r="BQ272" s="1" t="s">
        <v>74</v>
      </c>
      <c r="BR272" s="1" t="s">
        <v>74</v>
      </c>
      <c r="BS272" s="1" t="s">
        <v>2929</v>
      </c>
      <c r="BT272" s="1" t="str">
        <f>HYPERLINK("https%3A%2F%2Fwww.webofscience.com%2Fwos%2Fwoscc%2Ffull-record%2FWOS:001228640000001","View Full Record in Web of Science")</f>
        <v>View Full Record in Web of Science</v>
      </c>
    </row>
    <row r="273" ht="12.75" customHeight="1">
      <c r="A273" s="1" t="s">
        <v>207</v>
      </c>
      <c r="B273" s="1" t="s">
        <v>2930</v>
      </c>
      <c r="C273" s="1" t="s">
        <v>74</v>
      </c>
      <c r="D273" s="1" t="s">
        <v>74</v>
      </c>
      <c r="E273" s="1" t="s">
        <v>224</v>
      </c>
      <c r="F273" s="1" t="s">
        <v>2931</v>
      </c>
      <c r="G273" s="1" t="s">
        <v>74</v>
      </c>
      <c r="H273" s="1" t="s">
        <v>74</v>
      </c>
      <c r="I273" s="1" t="s">
        <v>2932</v>
      </c>
      <c r="J273" s="1" t="s">
        <v>2933</v>
      </c>
      <c r="K273" s="1" t="s">
        <v>74</v>
      </c>
      <c r="L273" s="1" t="s">
        <v>74</v>
      </c>
      <c r="M273" s="1" t="s">
        <v>74</v>
      </c>
      <c r="N273" s="1" t="s">
        <v>74</v>
      </c>
      <c r="O273" s="1" t="s">
        <v>2934</v>
      </c>
      <c r="P273" s="1" t="s">
        <v>2935</v>
      </c>
      <c r="Q273" s="1" t="s">
        <v>2936</v>
      </c>
      <c r="R273" s="1" t="s">
        <v>224</v>
      </c>
      <c r="S273" s="1" t="s">
        <v>74</v>
      </c>
      <c r="T273" s="1" t="s">
        <v>74</v>
      </c>
      <c r="U273" s="1" t="s">
        <v>74</v>
      </c>
      <c r="V273" s="1" t="s">
        <v>2937</v>
      </c>
      <c r="W273" s="1" t="s">
        <v>74</v>
      </c>
      <c r="X273" s="1" t="s">
        <v>74</v>
      </c>
      <c r="Y273" s="1" t="s">
        <v>74</v>
      </c>
      <c r="Z273" s="1" t="s">
        <v>74</v>
      </c>
      <c r="AA273" s="1" t="s">
        <v>74</v>
      </c>
      <c r="AB273" s="1" t="s">
        <v>74</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74</v>
      </c>
      <c r="AP273" s="1" t="s">
        <v>74</v>
      </c>
      <c r="AQ273" s="1" t="s">
        <v>2938</v>
      </c>
      <c r="AR273" s="1" t="s">
        <v>74</v>
      </c>
      <c r="AS273" s="1" t="s">
        <v>74</v>
      </c>
      <c r="AT273" s="1" t="s">
        <v>74</v>
      </c>
      <c r="AU273" s="1">
        <v>2024.0</v>
      </c>
      <c r="AV273" s="1" t="s">
        <v>74</v>
      </c>
      <c r="AW273" s="1" t="s">
        <v>74</v>
      </c>
      <c r="AX273" s="1" t="s">
        <v>74</v>
      </c>
      <c r="AY273" s="1" t="s">
        <v>74</v>
      </c>
      <c r="AZ273" s="1" t="s">
        <v>74</v>
      </c>
      <c r="BA273" s="1" t="s">
        <v>74</v>
      </c>
      <c r="BB273" s="1" t="s">
        <v>74</v>
      </c>
      <c r="BC273" s="1" t="s">
        <v>74</v>
      </c>
      <c r="BD273" s="1" t="s">
        <v>74</v>
      </c>
      <c r="BE273" s="1" t="s">
        <v>2939</v>
      </c>
      <c r="BF273" s="2" t="str">
        <f>HYPERLINK("http://dx.doi.org/10.1109/SGSMA58694.2024.10571466","http://dx.doi.org/10.1109/SGSMA58694.2024.10571466")</f>
        <v>http://dx.doi.org/10.1109/SGSMA58694.2024.10571466</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2940</v>
      </c>
      <c r="BT273" s="1" t="str">
        <f>HYPERLINK("https%3A%2F%2Fwww.webofscience.com%2Fwos%2Fwoscc%2Ffull-record%2FWOS:001260341500019","View Full Record in Web of Science")</f>
        <v>View Full Record in Web of Science</v>
      </c>
    </row>
    <row r="274" ht="12.75" customHeight="1">
      <c r="A274" s="1" t="s">
        <v>72</v>
      </c>
      <c r="B274" s="1" t="s">
        <v>2941</v>
      </c>
      <c r="C274" s="1" t="s">
        <v>74</v>
      </c>
      <c r="D274" s="1" t="s">
        <v>74</v>
      </c>
      <c r="E274" s="1" t="s">
        <v>74</v>
      </c>
      <c r="F274" s="1" t="s">
        <v>2942</v>
      </c>
      <c r="G274" s="1" t="s">
        <v>74</v>
      </c>
      <c r="H274" s="1" t="s">
        <v>74</v>
      </c>
      <c r="I274" s="1" t="s">
        <v>2943</v>
      </c>
      <c r="J274" s="1" t="s">
        <v>1831</v>
      </c>
      <c r="K274" s="1" t="s">
        <v>74</v>
      </c>
      <c r="L274" s="1" t="s">
        <v>74</v>
      </c>
      <c r="M274" s="1" t="s">
        <v>74</v>
      </c>
      <c r="N274" s="1" t="s">
        <v>74</v>
      </c>
      <c r="O274" s="1" t="s">
        <v>74</v>
      </c>
      <c r="P274" s="1" t="s">
        <v>74</v>
      </c>
      <c r="Q274" s="1" t="s">
        <v>74</v>
      </c>
      <c r="R274" s="1" t="s">
        <v>74</v>
      </c>
      <c r="S274" s="1" t="s">
        <v>74</v>
      </c>
      <c r="T274" s="1" t="s">
        <v>74</v>
      </c>
      <c r="U274" s="1" t="s">
        <v>74</v>
      </c>
      <c r="V274" s="1" t="s">
        <v>2944</v>
      </c>
      <c r="W274" s="1" t="s">
        <v>74</v>
      </c>
      <c r="X274" s="1" t="s">
        <v>74</v>
      </c>
      <c r="Y274" s="1" t="s">
        <v>74</v>
      </c>
      <c r="Z274" s="1" t="s">
        <v>74</v>
      </c>
      <c r="AA274" s="1" t="s">
        <v>2945</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1835</v>
      </c>
      <c r="AP274" s="1" t="s">
        <v>1836</v>
      </c>
      <c r="AQ274" s="1" t="s">
        <v>74</v>
      </c>
      <c r="AR274" s="1" t="s">
        <v>74</v>
      </c>
      <c r="AS274" s="1" t="s">
        <v>74</v>
      </c>
      <c r="AT274" s="1" t="s">
        <v>870</v>
      </c>
      <c r="AU274" s="1">
        <v>2023.0</v>
      </c>
      <c r="AV274" s="1">
        <v>376.0</v>
      </c>
      <c r="AW274" s="1" t="s">
        <v>74</v>
      </c>
      <c r="AX274" s="1" t="s">
        <v>74</v>
      </c>
      <c r="AY274" s="1" t="s">
        <v>74</v>
      </c>
      <c r="AZ274" s="1" t="s">
        <v>74</v>
      </c>
      <c r="BA274" s="1" t="s">
        <v>74</v>
      </c>
      <c r="BB274" s="1">
        <v>340.0</v>
      </c>
      <c r="BC274" s="1">
        <v>369.0</v>
      </c>
      <c r="BD274" s="1" t="s">
        <v>74</v>
      </c>
      <c r="BE274" s="1" t="s">
        <v>2946</v>
      </c>
      <c r="BF274" s="2" t="str">
        <f>HYPERLINK("http://dx.doi.org/10.1016/j.jde.2023.08.023","http://dx.doi.org/10.1016/j.jde.2023.08.023")</f>
        <v>http://dx.doi.org/10.1016/j.jde.2023.08.023</v>
      </c>
      <c r="BG274" s="1" t="s">
        <v>74</v>
      </c>
      <c r="BH274" s="1" t="s">
        <v>1742</v>
      </c>
      <c r="BI274" s="1" t="s">
        <v>74</v>
      </c>
      <c r="BJ274" s="1" t="s">
        <v>74</v>
      </c>
      <c r="BK274" s="1" t="s">
        <v>74</v>
      </c>
      <c r="BL274" s="1" t="s">
        <v>74</v>
      </c>
      <c r="BM274" s="1" t="s">
        <v>74</v>
      </c>
      <c r="BN274" s="1" t="s">
        <v>74</v>
      </c>
      <c r="BO274" s="1" t="s">
        <v>74</v>
      </c>
      <c r="BP274" s="1" t="s">
        <v>74</v>
      </c>
      <c r="BQ274" s="1" t="s">
        <v>74</v>
      </c>
      <c r="BR274" s="1" t="s">
        <v>74</v>
      </c>
      <c r="BS274" s="1" t="s">
        <v>2947</v>
      </c>
      <c r="BT274" s="1" t="str">
        <f>HYPERLINK("https%3A%2F%2Fwww.webofscience.com%2Fwos%2Fwoscc%2Ffull-record%2FWOS:001079857800001","View Full Record in Web of Science")</f>
        <v>View Full Record in Web of Science</v>
      </c>
    </row>
    <row r="275" ht="12.75" customHeight="1">
      <c r="A275" s="1" t="s">
        <v>72</v>
      </c>
      <c r="B275" s="1" t="s">
        <v>2948</v>
      </c>
      <c r="C275" s="1" t="s">
        <v>74</v>
      </c>
      <c r="D275" s="1" t="s">
        <v>74</v>
      </c>
      <c r="E275" s="1" t="s">
        <v>74</v>
      </c>
      <c r="F275" s="1" t="s">
        <v>2949</v>
      </c>
      <c r="G275" s="1" t="s">
        <v>74</v>
      </c>
      <c r="H275" s="1" t="s">
        <v>74</v>
      </c>
      <c r="I275" s="1" t="s">
        <v>2950</v>
      </c>
      <c r="J275" s="1" t="s">
        <v>2951</v>
      </c>
      <c r="K275" s="1" t="s">
        <v>74</v>
      </c>
      <c r="L275" s="1" t="s">
        <v>74</v>
      </c>
      <c r="M275" s="1" t="s">
        <v>74</v>
      </c>
      <c r="N275" s="1" t="s">
        <v>74</v>
      </c>
      <c r="O275" s="1" t="s">
        <v>74</v>
      </c>
      <c r="P275" s="1" t="s">
        <v>74</v>
      </c>
      <c r="Q275" s="1" t="s">
        <v>74</v>
      </c>
      <c r="R275" s="1" t="s">
        <v>74</v>
      </c>
      <c r="S275" s="1" t="s">
        <v>74</v>
      </c>
      <c r="T275" s="1" t="s">
        <v>74</v>
      </c>
      <c r="U275" s="1" t="s">
        <v>74</v>
      </c>
      <c r="V275" s="1" t="s">
        <v>2952</v>
      </c>
      <c r="W275" s="1" t="s">
        <v>74</v>
      </c>
      <c r="X275" s="1" t="s">
        <v>74</v>
      </c>
      <c r="Y275" s="1" t="s">
        <v>74</v>
      </c>
      <c r="Z275" s="1" t="s">
        <v>74</v>
      </c>
      <c r="AA275" s="1" t="s">
        <v>2953</v>
      </c>
      <c r="AB275" s="1" t="s">
        <v>2954</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74</v>
      </c>
      <c r="AP275" s="1" t="s">
        <v>2955</v>
      </c>
      <c r="AQ275" s="1" t="s">
        <v>74</v>
      </c>
      <c r="AR275" s="1" t="s">
        <v>74</v>
      </c>
      <c r="AS275" s="1" t="s">
        <v>74</v>
      </c>
      <c r="AT275" s="1" t="s">
        <v>271</v>
      </c>
      <c r="AU275" s="1">
        <v>2023.0</v>
      </c>
      <c r="AV275" s="1">
        <v>12.0</v>
      </c>
      <c r="AW275" s="1">
        <v>9.0</v>
      </c>
      <c r="AX275" s="1" t="s">
        <v>74</v>
      </c>
      <c r="AY275" s="1" t="s">
        <v>74</v>
      </c>
      <c r="AZ275" s="1" t="s">
        <v>74</v>
      </c>
      <c r="BA275" s="1" t="s">
        <v>74</v>
      </c>
      <c r="BB275" s="1" t="s">
        <v>74</v>
      </c>
      <c r="BC275" s="1" t="s">
        <v>74</v>
      </c>
      <c r="BD275" s="1">
        <v>1704.0</v>
      </c>
      <c r="BE275" s="1" t="s">
        <v>2956</v>
      </c>
      <c r="BF275" s="2" t="str">
        <f>HYPERLINK("http://dx.doi.org/10.3390/land12091704","http://dx.doi.org/10.3390/land12091704")</f>
        <v>http://dx.doi.org/10.3390/land12091704</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2957</v>
      </c>
      <c r="BT275" s="1" t="str">
        <f>HYPERLINK("https%3A%2F%2Fwww.webofscience.com%2Fwos%2Fwoscc%2Ffull-record%2FWOS:001074169900001","View Full Record in Web of Science")</f>
        <v>View Full Record in Web of Science</v>
      </c>
    </row>
    <row r="276" ht="12.75" customHeight="1">
      <c r="A276" s="1" t="s">
        <v>72</v>
      </c>
      <c r="B276" s="1" t="s">
        <v>2958</v>
      </c>
      <c r="C276" s="1" t="s">
        <v>74</v>
      </c>
      <c r="D276" s="1" t="s">
        <v>74</v>
      </c>
      <c r="E276" s="1" t="s">
        <v>74</v>
      </c>
      <c r="F276" s="1" t="s">
        <v>2959</v>
      </c>
      <c r="G276" s="1" t="s">
        <v>74</v>
      </c>
      <c r="H276" s="1" t="s">
        <v>74</v>
      </c>
      <c r="I276" s="1" t="s">
        <v>2960</v>
      </c>
      <c r="J276" s="1" t="s">
        <v>2961</v>
      </c>
      <c r="K276" s="1" t="s">
        <v>74</v>
      </c>
      <c r="L276" s="1" t="s">
        <v>74</v>
      </c>
      <c r="M276" s="1" t="s">
        <v>74</v>
      </c>
      <c r="N276" s="1" t="s">
        <v>74</v>
      </c>
      <c r="O276" s="1" t="s">
        <v>74</v>
      </c>
      <c r="P276" s="1" t="s">
        <v>74</v>
      </c>
      <c r="Q276" s="1" t="s">
        <v>74</v>
      </c>
      <c r="R276" s="1" t="s">
        <v>74</v>
      </c>
      <c r="S276" s="1" t="s">
        <v>74</v>
      </c>
      <c r="T276" s="1" t="s">
        <v>74</v>
      </c>
      <c r="U276" s="1" t="s">
        <v>74</v>
      </c>
      <c r="V276" s="1" t="s">
        <v>74</v>
      </c>
      <c r="W276" s="1" t="s">
        <v>74</v>
      </c>
      <c r="X276" s="1" t="s">
        <v>74</v>
      </c>
      <c r="Y276" s="1" t="s">
        <v>74</v>
      </c>
      <c r="Z276" s="1" t="s">
        <v>74</v>
      </c>
      <c r="AA276" s="1" t="s">
        <v>2962</v>
      </c>
      <c r="AB276" s="1" t="s">
        <v>74</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2963</v>
      </c>
      <c r="AP276" s="1" t="s">
        <v>2964</v>
      </c>
      <c r="AQ276" s="1" t="s">
        <v>74</v>
      </c>
      <c r="AR276" s="1" t="s">
        <v>74</v>
      </c>
      <c r="AS276" s="1" t="s">
        <v>74</v>
      </c>
      <c r="AT276" s="1" t="s">
        <v>282</v>
      </c>
      <c r="AU276" s="1">
        <v>2023.0</v>
      </c>
      <c r="AV276" s="1">
        <v>79.0</v>
      </c>
      <c r="AW276" s="1" t="s">
        <v>74</v>
      </c>
      <c r="AX276" s="1" t="s">
        <v>74</v>
      </c>
      <c r="AY276" s="1">
        <v>1.0</v>
      </c>
      <c r="AZ276" s="1" t="s">
        <v>74</v>
      </c>
      <c r="BA276" s="1" t="s">
        <v>2965</v>
      </c>
      <c r="BB276" s="1">
        <v>397.0</v>
      </c>
      <c r="BC276" s="1">
        <v>397.0</v>
      </c>
      <c r="BD276" s="1" t="s">
        <v>74</v>
      </c>
      <c r="BE276" s="1" t="s">
        <v>74</v>
      </c>
      <c r="BF276" s="1" t="s">
        <v>74</v>
      </c>
      <c r="BG276" s="1" t="s">
        <v>74</v>
      </c>
      <c r="BH276" s="1" t="s">
        <v>74</v>
      </c>
      <c r="BI276" s="1" t="s">
        <v>74</v>
      </c>
      <c r="BJ276" s="1" t="s">
        <v>74</v>
      </c>
      <c r="BK276" s="1" t="s">
        <v>74</v>
      </c>
      <c r="BL276" s="1" t="s">
        <v>74</v>
      </c>
      <c r="BM276" s="1" t="s">
        <v>74</v>
      </c>
      <c r="BN276" s="1" t="s">
        <v>74</v>
      </c>
      <c r="BO276" s="1" t="s">
        <v>74</v>
      </c>
      <c r="BP276" s="1" t="s">
        <v>74</v>
      </c>
      <c r="BQ276" s="1" t="s">
        <v>74</v>
      </c>
      <c r="BR276" s="1" t="s">
        <v>74</v>
      </c>
      <c r="BS276" s="1" t="s">
        <v>2966</v>
      </c>
      <c r="BT276" s="1" t="str">
        <f>HYPERLINK("https%3A%2F%2Fwww.webofscience.com%2Fwos%2Fwoscc%2Ffull-record%2FWOS:001084581001358","View Full Record in Web of Science")</f>
        <v>View Full Record in Web of Science</v>
      </c>
    </row>
    <row r="277" ht="12.75" customHeight="1">
      <c r="A277" s="1" t="s">
        <v>72</v>
      </c>
      <c r="B277" s="1" t="s">
        <v>2967</v>
      </c>
      <c r="C277" s="1" t="s">
        <v>74</v>
      </c>
      <c r="D277" s="1" t="s">
        <v>74</v>
      </c>
      <c r="E277" s="1" t="s">
        <v>74</v>
      </c>
      <c r="F277" s="1" t="s">
        <v>2968</v>
      </c>
      <c r="G277" s="1" t="s">
        <v>74</v>
      </c>
      <c r="H277" s="1" t="s">
        <v>74</v>
      </c>
      <c r="I277" s="1" t="s">
        <v>2969</v>
      </c>
      <c r="J277" s="1" t="s">
        <v>2970</v>
      </c>
      <c r="K277" s="1" t="s">
        <v>74</v>
      </c>
      <c r="L277" s="1" t="s">
        <v>74</v>
      </c>
      <c r="M277" s="1" t="s">
        <v>74</v>
      </c>
      <c r="N277" s="1" t="s">
        <v>74</v>
      </c>
      <c r="O277" s="1" t="s">
        <v>74</v>
      </c>
      <c r="P277" s="1" t="s">
        <v>74</v>
      </c>
      <c r="Q277" s="1" t="s">
        <v>74</v>
      </c>
      <c r="R277" s="1" t="s">
        <v>74</v>
      </c>
      <c r="S277" s="1" t="s">
        <v>74</v>
      </c>
      <c r="T277" s="1" t="s">
        <v>74</v>
      </c>
      <c r="U277" s="1" t="s">
        <v>74</v>
      </c>
      <c r="V277" s="1" t="s">
        <v>2971</v>
      </c>
      <c r="W277" s="1" t="s">
        <v>74</v>
      </c>
      <c r="X277" s="1" t="s">
        <v>74</v>
      </c>
      <c r="Y277" s="1" t="s">
        <v>74</v>
      </c>
      <c r="Z277" s="1" t="s">
        <v>74</v>
      </c>
      <c r="AA277" s="1" t="s">
        <v>74</v>
      </c>
      <c r="AB277" s="1" t="s">
        <v>2972</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2973</v>
      </c>
      <c r="AP277" s="1" t="s">
        <v>2974</v>
      </c>
      <c r="AQ277" s="1" t="s">
        <v>74</v>
      </c>
      <c r="AR277" s="1" t="s">
        <v>74</v>
      </c>
      <c r="AS277" s="1" t="s">
        <v>74</v>
      </c>
      <c r="AT277" s="1" t="s">
        <v>177</v>
      </c>
      <c r="AU277" s="1">
        <v>2023.0</v>
      </c>
      <c r="AV277" s="1">
        <v>35.0</v>
      </c>
      <c r="AW277" s="1">
        <v>7.0</v>
      </c>
      <c r="AX277" s="1" t="s">
        <v>74</v>
      </c>
      <c r="AY277" s="1" t="s">
        <v>74</v>
      </c>
      <c r="AZ277" s="1" t="s">
        <v>74</v>
      </c>
      <c r="BA277" s="1" t="s">
        <v>74</v>
      </c>
      <c r="BB277" s="1" t="s">
        <v>74</v>
      </c>
      <c r="BC277" s="1" t="s">
        <v>74</v>
      </c>
      <c r="BD277" s="1" t="s">
        <v>74</v>
      </c>
      <c r="BE277" s="1" t="s">
        <v>2975</v>
      </c>
      <c r="BF277" s="2" t="str">
        <f>HYPERLINK("http://dx.doi.org/10.1111/jne.13308","http://dx.doi.org/10.1111/jne.13308")</f>
        <v>http://dx.doi.org/10.1111/jne.13308</v>
      </c>
      <c r="BG277" s="1" t="s">
        <v>74</v>
      </c>
      <c r="BH277" s="1" t="s">
        <v>2976</v>
      </c>
      <c r="BI277" s="1" t="s">
        <v>74</v>
      </c>
      <c r="BJ277" s="1" t="s">
        <v>74</v>
      </c>
      <c r="BK277" s="1" t="s">
        <v>74</v>
      </c>
      <c r="BL277" s="1" t="s">
        <v>74</v>
      </c>
      <c r="BM277" s="1" t="s">
        <v>74</v>
      </c>
      <c r="BN277" s="1">
        <v>3.728518E7</v>
      </c>
      <c r="BO277" s="1" t="s">
        <v>74</v>
      </c>
      <c r="BP277" s="1" t="s">
        <v>74</v>
      </c>
      <c r="BQ277" s="1" t="s">
        <v>74</v>
      </c>
      <c r="BR277" s="1" t="s">
        <v>74</v>
      </c>
      <c r="BS277" s="1" t="s">
        <v>2977</v>
      </c>
      <c r="BT277" s="1" t="str">
        <f>HYPERLINK("https%3A%2F%2Fwww.webofscience.com%2Fwos%2Fwoscc%2Ffull-record%2FWOS:001002715900001","View Full Record in Web of Science")</f>
        <v>View Full Record in Web of Science</v>
      </c>
    </row>
    <row r="278" ht="12.75" customHeight="1">
      <c r="A278" s="1" t="s">
        <v>72</v>
      </c>
      <c r="B278" s="1" t="s">
        <v>2978</v>
      </c>
      <c r="C278" s="1" t="s">
        <v>74</v>
      </c>
      <c r="D278" s="1" t="s">
        <v>74</v>
      </c>
      <c r="E278" s="1" t="s">
        <v>74</v>
      </c>
      <c r="F278" s="1" t="s">
        <v>2979</v>
      </c>
      <c r="G278" s="1" t="s">
        <v>74</v>
      </c>
      <c r="H278" s="1" t="s">
        <v>74</v>
      </c>
      <c r="I278" s="1" t="s">
        <v>2980</v>
      </c>
      <c r="J278" s="1" t="s">
        <v>2981</v>
      </c>
      <c r="K278" s="1" t="s">
        <v>74</v>
      </c>
      <c r="L278" s="1" t="s">
        <v>74</v>
      </c>
      <c r="M278" s="1" t="s">
        <v>74</v>
      </c>
      <c r="N278" s="1" t="s">
        <v>74</v>
      </c>
      <c r="O278" s="1" t="s">
        <v>74</v>
      </c>
      <c r="P278" s="1" t="s">
        <v>74</v>
      </c>
      <c r="Q278" s="1" t="s">
        <v>74</v>
      </c>
      <c r="R278" s="1" t="s">
        <v>74</v>
      </c>
      <c r="S278" s="1" t="s">
        <v>74</v>
      </c>
      <c r="T278" s="1" t="s">
        <v>74</v>
      </c>
      <c r="U278" s="1" t="s">
        <v>74</v>
      </c>
      <c r="V278" s="1" t="s">
        <v>2982</v>
      </c>
      <c r="W278" s="1" t="s">
        <v>74</v>
      </c>
      <c r="X278" s="1" t="s">
        <v>74</v>
      </c>
      <c r="Y278" s="1" t="s">
        <v>74</v>
      </c>
      <c r="Z278" s="1" t="s">
        <v>74</v>
      </c>
      <c r="AA278" s="1" t="s">
        <v>2983</v>
      </c>
      <c r="AB278" s="1" t="s">
        <v>2984</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2985</v>
      </c>
      <c r="AP278" s="1" t="s">
        <v>2986</v>
      </c>
      <c r="AQ278" s="1" t="s">
        <v>74</v>
      </c>
      <c r="AR278" s="1" t="s">
        <v>74</v>
      </c>
      <c r="AS278" s="1" t="s">
        <v>74</v>
      </c>
      <c r="AT278" s="1" t="s">
        <v>2987</v>
      </c>
      <c r="AU278" s="1">
        <v>2023.0</v>
      </c>
      <c r="AV278" s="1">
        <v>349.0</v>
      </c>
      <c r="AW278" s="1" t="s">
        <v>74</v>
      </c>
      <c r="AX278" s="1" t="s">
        <v>74</v>
      </c>
      <c r="AY278" s="1" t="s">
        <v>74</v>
      </c>
      <c r="AZ278" s="1" t="s">
        <v>74</v>
      </c>
      <c r="BA278" s="1" t="s">
        <v>74</v>
      </c>
      <c r="BB278" s="1" t="s">
        <v>74</v>
      </c>
      <c r="BC278" s="1" t="s">
        <v>74</v>
      </c>
      <c r="BD278" s="1">
        <v>108465.0</v>
      </c>
      <c r="BE278" s="1" t="s">
        <v>2988</v>
      </c>
      <c r="BF278" s="2" t="str">
        <f>HYPERLINK("http://dx.doi.org/10.1016/j.agee.2023.108465","http://dx.doi.org/10.1016/j.agee.2023.108465")</f>
        <v>http://dx.doi.org/10.1016/j.agee.2023.108465</v>
      </c>
      <c r="BG278" s="1" t="s">
        <v>74</v>
      </c>
      <c r="BH278" s="1" t="s">
        <v>2989</v>
      </c>
      <c r="BI278" s="1" t="s">
        <v>74</v>
      </c>
      <c r="BJ278" s="1" t="s">
        <v>74</v>
      </c>
      <c r="BK278" s="1" t="s">
        <v>74</v>
      </c>
      <c r="BL278" s="1" t="s">
        <v>74</v>
      </c>
      <c r="BM278" s="1" t="s">
        <v>74</v>
      </c>
      <c r="BN278" s="1" t="s">
        <v>74</v>
      </c>
      <c r="BO278" s="1" t="s">
        <v>74</v>
      </c>
      <c r="BP278" s="1" t="s">
        <v>74</v>
      </c>
      <c r="BQ278" s="1" t="s">
        <v>74</v>
      </c>
      <c r="BR278" s="1" t="s">
        <v>74</v>
      </c>
      <c r="BS278" s="1" t="s">
        <v>2990</v>
      </c>
      <c r="BT278" s="1" t="str">
        <f>HYPERLINK("https%3A%2F%2Fwww.webofscience.com%2Fwos%2Fwoscc%2Ffull-record%2FWOS:001001997000001","View Full Record in Web of Science")</f>
        <v>View Full Record in Web of Science</v>
      </c>
    </row>
    <row r="279" ht="12.75" customHeight="1">
      <c r="A279" s="1" t="s">
        <v>72</v>
      </c>
      <c r="B279" s="1" t="s">
        <v>2991</v>
      </c>
      <c r="C279" s="1" t="s">
        <v>74</v>
      </c>
      <c r="D279" s="1" t="s">
        <v>74</v>
      </c>
      <c r="E279" s="1" t="s">
        <v>74</v>
      </c>
      <c r="F279" s="1" t="s">
        <v>2992</v>
      </c>
      <c r="G279" s="1" t="s">
        <v>74</v>
      </c>
      <c r="H279" s="1" t="s">
        <v>74</v>
      </c>
      <c r="I279" s="1" t="s">
        <v>2993</v>
      </c>
      <c r="J279" s="1" t="s">
        <v>2994</v>
      </c>
      <c r="K279" s="1" t="s">
        <v>74</v>
      </c>
      <c r="L279" s="1" t="s">
        <v>74</v>
      </c>
      <c r="M279" s="1" t="s">
        <v>74</v>
      </c>
      <c r="N279" s="1" t="s">
        <v>74</v>
      </c>
      <c r="O279" s="1" t="s">
        <v>74</v>
      </c>
      <c r="P279" s="1" t="s">
        <v>74</v>
      </c>
      <c r="Q279" s="1" t="s">
        <v>74</v>
      </c>
      <c r="R279" s="1" t="s">
        <v>74</v>
      </c>
      <c r="S279" s="1" t="s">
        <v>74</v>
      </c>
      <c r="T279" s="1" t="s">
        <v>74</v>
      </c>
      <c r="U279" s="1" t="s">
        <v>74</v>
      </c>
      <c r="V279" s="1" t="s">
        <v>2995</v>
      </c>
      <c r="W279" s="1" t="s">
        <v>74</v>
      </c>
      <c r="X279" s="1" t="s">
        <v>74</v>
      </c>
      <c r="Y279" s="1" t="s">
        <v>74</v>
      </c>
      <c r="Z279" s="1" t="s">
        <v>74</v>
      </c>
      <c r="AA279" s="1" t="s">
        <v>2996</v>
      </c>
      <c r="AB279" s="1" t="s">
        <v>74</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2997</v>
      </c>
      <c r="AP279" s="1" t="s">
        <v>2998</v>
      </c>
      <c r="AQ279" s="1" t="s">
        <v>74</v>
      </c>
      <c r="AR279" s="1" t="s">
        <v>74</v>
      </c>
      <c r="AS279" s="1" t="s">
        <v>74</v>
      </c>
      <c r="AT279" s="1" t="s">
        <v>2999</v>
      </c>
      <c r="AU279" s="1">
        <v>2023.0</v>
      </c>
      <c r="AV279" s="1">
        <v>656.0</v>
      </c>
      <c r="AW279" s="1" t="s">
        <v>74</v>
      </c>
      <c r="AX279" s="1" t="s">
        <v>2279</v>
      </c>
      <c r="AY279" s="1" t="s">
        <v>74</v>
      </c>
      <c r="AZ279" s="1" t="s">
        <v>74</v>
      </c>
      <c r="BA279" s="1" t="s">
        <v>74</v>
      </c>
      <c r="BB279" s="1" t="s">
        <v>74</v>
      </c>
      <c r="BC279" s="1" t="s">
        <v>74</v>
      </c>
      <c r="BD279" s="1">
        <v>130359.0</v>
      </c>
      <c r="BE279" s="1" t="s">
        <v>3000</v>
      </c>
      <c r="BF279" s="2" t="str">
        <f>HYPERLINK("http://dx.doi.org/10.1016/j.colsurfa.2022.130359","http://dx.doi.org/10.1016/j.colsurfa.2022.130359")</f>
        <v>http://dx.doi.org/10.1016/j.colsurfa.2022.130359</v>
      </c>
      <c r="BG279" s="1" t="s">
        <v>74</v>
      </c>
      <c r="BH279" s="1" t="s">
        <v>3001</v>
      </c>
      <c r="BI279" s="1" t="s">
        <v>74</v>
      </c>
      <c r="BJ279" s="1" t="s">
        <v>74</v>
      </c>
      <c r="BK279" s="1" t="s">
        <v>74</v>
      </c>
      <c r="BL279" s="1" t="s">
        <v>74</v>
      </c>
      <c r="BM279" s="1" t="s">
        <v>74</v>
      </c>
      <c r="BN279" s="1" t="s">
        <v>74</v>
      </c>
      <c r="BO279" s="1" t="s">
        <v>74</v>
      </c>
      <c r="BP279" s="1" t="s">
        <v>74</v>
      </c>
      <c r="BQ279" s="1" t="s">
        <v>74</v>
      </c>
      <c r="BR279" s="1" t="s">
        <v>74</v>
      </c>
      <c r="BS279" s="1" t="s">
        <v>3002</v>
      </c>
      <c r="BT279" s="1" t="str">
        <f>HYPERLINK("https%3A%2F%2Fwww.webofscience.com%2Fwos%2Fwoscc%2Ffull-record%2FWOS:000877597600001","View Full Record in Web of Science")</f>
        <v>View Full Record in Web of Science</v>
      </c>
    </row>
    <row r="280" ht="12.75" customHeight="1">
      <c r="A280" s="1" t="s">
        <v>72</v>
      </c>
      <c r="B280" s="1" t="s">
        <v>3003</v>
      </c>
      <c r="C280" s="1" t="s">
        <v>74</v>
      </c>
      <c r="D280" s="1" t="s">
        <v>74</v>
      </c>
      <c r="E280" s="1" t="s">
        <v>74</v>
      </c>
      <c r="F280" s="1" t="s">
        <v>3004</v>
      </c>
      <c r="G280" s="1" t="s">
        <v>74</v>
      </c>
      <c r="H280" s="1" t="s">
        <v>74</v>
      </c>
      <c r="I280" s="1" t="s">
        <v>3005</v>
      </c>
      <c r="J280" s="1" t="s">
        <v>3006</v>
      </c>
      <c r="K280" s="1" t="s">
        <v>74</v>
      </c>
      <c r="L280" s="1" t="s">
        <v>74</v>
      </c>
      <c r="M280" s="1" t="s">
        <v>74</v>
      </c>
      <c r="N280" s="1" t="s">
        <v>74</v>
      </c>
      <c r="O280" s="1" t="s">
        <v>74</v>
      </c>
      <c r="P280" s="1" t="s">
        <v>74</v>
      </c>
      <c r="Q280" s="1" t="s">
        <v>74</v>
      </c>
      <c r="R280" s="1" t="s">
        <v>74</v>
      </c>
      <c r="S280" s="1" t="s">
        <v>74</v>
      </c>
      <c r="T280" s="1" t="s">
        <v>74</v>
      </c>
      <c r="U280" s="1" t="s">
        <v>74</v>
      </c>
      <c r="V280" s="1" t="s">
        <v>3007</v>
      </c>
      <c r="W280" s="1" t="s">
        <v>74</v>
      </c>
      <c r="X280" s="1" t="s">
        <v>74</v>
      </c>
      <c r="Y280" s="1" t="s">
        <v>74</v>
      </c>
      <c r="Z280" s="1" t="s">
        <v>74</v>
      </c>
      <c r="AA280" s="1" t="s">
        <v>74</v>
      </c>
      <c r="AB280" s="1" t="s">
        <v>74</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74</v>
      </c>
      <c r="AP280" s="1" t="s">
        <v>3008</v>
      </c>
      <c r="AQ280" s="1" t="s">
        <v>74</v>
      </c>
      <c r="AR280" s="1" t="s">
        <v>74</v>
      </c>
      <c r="AS280" s="1" t="s">
        <v>74</v>
      </c>
      <c r="AT280" s="1" t="s">
        <v>1502</v>
      </c>
      <c r="AU280" s="1">
        <v>2022.0</v>
      </c>
      <c r="AV280" s="1">
        <v>2.0</v>
      </c>
      <c r="AW280" s="1">
        <v>2.0</v>
      </c>
      <c r="AX280" s="1" t="s">
        <v>74</v>
      </c>
      <c r="AY280" s="1" t="s">
        <v>74</v>
      </c>
      <c r="AZ280" s="1" t="s">
        <v>74</v>
      </c>
      <c r="BA280" s="1" t="s">
        <v>74</v>
      </c>
      <c r="BB280" s="1">
        <v>197.0</v>
      </c>
      <c r="BC280" s="1">
        <v>232.0</v>
      </c>
      <c r="BD280" s="1" t="s">
        <v>74</v>
      </c>
      <c r="BE280" s="1" t="s">
        <v>3009</v>
      </c>
      <c r="BF280" s="2" t="str">
        <f>HYPERLINK("http://dx.doi.org/10.3390/mining2020012","http://dx.doi.org/10.3390/mining2020012")</f>
        <v>http://dx.doi.org/10.3390/mining2020012</v>
      </c>
      <c r="BG280" s="1" t="s">
        <v>74</v>
      </c>
      <c r="BH280" s="1" t="s">
        <v>74</v>
      </c>
      <c r="BI280" s="1" t="s">
        <v>74</v>
      </c>
      <c r="BJ280" s="1" t="s">
        <v>74</v>
      </c>
      <c r="BK280" s="1" t="s">
        <v>74</v>
      </c>
      <c r="BL280" s="1" t="s">
        <v>74</v>
      </c>
      <c r="BM280" s="1" t="s">
        <v>74</v>
      </c>
      <c r="BN280" s="1" t="s">
        <v>74</v>
      </c>
      <c r="BO280" s="1" t="s">
        <v>74</v>
      </c>
      <c r="BP280" s="1" t="s">
        <v>74</v>
      </c>
      <c r="BQ280" s="1" t="s">
        <v>74</v>
      </c>
      <c r="BR280" s="1" t="s">
        <v>74</v>
      </c>
      <c r="BS280" s="1" t="s">
        <v>3010</v>
      </c>
      <c r="BT280" s="1" t="str">
        <f>HYPERLINK("https%3A%2F%2Fwww.webofscience.com%2Fwos%2Fwoscc%2Ffull-record%2FWOS:001466807700001","View Full Record in Web of Science")</f>
        <v>View Full Record in Web of Science</v>
      </c>
    </row>
    <row r="281" ht="12.75" customHeight="1">
      <c r="A281" s="1" t="s">
        <v>72</v>
      </c>
      <c r="B281" s="1" t="s">
        <v>3011</v>
      </c>
      <c r="C281" s="1" t="s">
        <v>74</v>
      </c>
      <c r="D281" s="1" t="s">
        <v>74</v>
      </c>
      <c r="E281" s="1" t="s">
        <v>74</v>
      </c>
      <c r="F281" s="1" t="s">
        <v>3012</v>
      </c>
      <c r="G281" s="1" t="s">
        <v>74</v>
      </c>
      <c r="H281" s="1" t="s">
        <v>74</v>
      </c>
      <c r="I281" s="1" t="s">
        <v>3013</v>
      </c>
      <c r="J281" s="1" t="s">
        <v>3014</v>
      </c>
      <c r="K281" s="1" t="s">
        <v>74</v>
      </c>
      <c r="L281" s="1" t="s">
        <v>74</v>
      </c>
      <c r="M281" s="1" t="s">
        <v>74</v>
      </c>
      <c r="N281" s="1" t="s">
        <v>74</v>
      </c>
      <c r="O281" s="1" t="s">
        <v>74</v>
      </c>
      <c r="P281" s="1" t="s">
        <v>74</v>
      </c>
      <c r="Q281" s="1" t="s">
        <v>74</v>
      </c>
      <c r="R281" s="1" t="s">
        <v>74</v>
      </c>
      <c r="S281" s="1" t="s">
        <v>74</v>
      </c>
      <c r="T281" s="1" t="s">
        <v>74</v>
      </c>
      <c r="U281" s="1" t="s">
        <v>74</v>
      </c>
      <c r="V281" s="1" t="s">
        <v>3015</v>
      </c>
      <c r="W281" s="1" t="s">
        <v>74</v>
      </c>
      <c r="X281" s="1" t="s">
        <v>74</v>
      </c>
      <c r="Y281" s="1" t="s">
        <v>74</v>
      </c>
      <c r="Z281" s="1" t="s">
        <v>74</v>
      </c>
      <c r="AA281" s="1" t="s">
        <v>74</v>
      </c>
      <c r="AB281" s="1" t="s">
        <v>3016</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3017</v>
      </c>
      <c r="AP281" s="1" t="s">
        <v>3018</v>
      </c>
      <c r="AQ281" s="1" t="s">
        <v>74</v>
      </c>
      <c r="AR281" s="1" t="s">
        <v>74</v>
      </c>
      <c r="AS281" s="1" t="s">
        <v>74</v>
      </c>
      <c r="AT281" s="1" t="s">
        <v>3019</v>
      </c>
      <c r="AU281" s="1">
        <v>2022.0</v>
      </c>
      <c r="AV281" s="1">
        <v>45.0</v>
      </c>
      <c r="AW281" s="1">
        <v>3.0</v>
      </c>
      <c r="AX281" s="1" t="s">
        <v>74</v>
      </c>
      <c r="AY281" s="1" t="s">
        <v>74</v>
      </c>
      <c r="AZ281" s="1" t="s">
        <v>569</v>
      </c>
      <c r="BA281" s="1" t="s">
        <v>74</v>
      </c>
      <c r="BB281" s="1">
        <v>309.0</v>
      </c>
      <c r="BC281" s="1">
        <v>321.0</v>
      </c>
      <c r="BD281" s="1" t="s">
        <v>74</v>
      </c>
      <c r="BE281" s="1" t="s">
        <v>3020</v>
      </c>
      <c r="BF281" s="2" t="str">
        <f>HYPERLINK("http://dx.doi.org/10.1080/1743727X.2022.2052721","http://dx.doi.org/10.1080/1743727X.2022.2052721")</f>
        <v>http://dx.doi.org/10.1080/1743727X.2022.2052721</v>
      </c>
      <c r="BG281" s="1" t="s">
        <v>74</v>
      </c>
      <c r="BH281" s="1" t="s">
        <v>636</v>
      </c>
      <c r="BI281" s="1" t="s">
        <v>74</v>
      </c>
      <c r="BJ281" s="1" t="s">
        <v>74</v>
      </c>
      <c r="BK281" s="1" t="s">
        <v>74</v>
      </c>
      <c r="BL281" s="1" t="s">
        <v>74</v>
      </c>
      <c r="BM281" s="1" t="s">
        <v>74</v>
      </c>
      <c r="BN281" s="1" t="s">
        <v>74</v>
      </c>
      <c r="BO281" s="1" t="s">
        <v>74</v>
      </c>
      <c r="BP281" s="1" t="s">
        <v>74</v>
      </c>
      <c r="BQ281" s="1" t="s">
        <v>74</v>
      </c>
      <c r="BR281" s="1" t="s">
        <v>74</v>
      </c>
      <c r="BS281" s="1" t="s">
        <v>3021</v>
      </c>
      <c r="BT281" s="1" t="str">
        <f>HYPERLINK("https%3A%2F%2Fwww.webofscience.com%2Fwos%2Fwoscc%2Ffull-record%2FWOS:000783399000001","View Full Record in Web of Science")</f>
        <v>View Full Record in Web of Science</v>
      </c>
    </row>
    <row r="282" ht="12.75" customHeight="1">
      <c r="A282" s="1" t="s">
        <v>72</v>
      </c>
      <c r="B282" s="1" t="s">
        <v>3022</v>
      </c>
      <c r="C282" s="1" t="s">
        <v>74</v>
      </c>
      <c r="D282" s="1" t="s">
        <v>74</v>
      </c>
      <c r="E282" s="1" t="s">
        <v>74</v>
      </c>
      <c r="F282" s="1" t="s">
        <v>3023</v>
      </c>
      <c r="G282" s="1" t="s">
        <v>74</v>
      </c>
      <c r="H282" s="1" t="s">
        <v>74</v>
      </c>
      <c r="I282" s="1" t="s">
        <v>3024</v>
      </c>
      <c r="J282" s="1" t="s">
        <v>1769</v>
      </c>
      <c r="K282" s="1" t="s">
        <v>74</v>
      </c>
      <c r="L282" s="1" t="s">
        <v>74</v>
      </c>
      <c r="M282" s="1" t="s">
        <v>74</v>
      </c>
      <c r="N282" s="1" t="s">
        <v>74</v>
      </c>
      <c r="O282" s="1" t="s">
        <v>74</v>
      </c>
      <c r="P282" s="1" t="s">
        <v>74</v>
      </c>
      <c r="Q282" s="1" t="s">
        <v>74</v>
      </c>
      <c r="R282" s="1" t="s">
        <v>74</v>
      </c>
      <c r="S282" s="1" t="s">
        <v>74</v>
      </c>
      <c r="T282" s="1" t="s">
        <v>74</v>
      </c>
      <c r="U282" s="1" t="s">
        <v>74</v>
      </c>
      <c r="V282" s="1" t="s">
        <v>3025</v>
      </c>
      <c r="W282" s="1" t="s">
        <v>74</v>
      </c>
      <c r="X282" s="1" t="s">
        <v>74</v>
      </c>
      <c r="Y282" s="1" t="s">
        <v>74</v>
      </c>
      <c r="Z282" s="1" t="s">
        <v>74</v>
      </c>
      <c r="AA282" s="1" t="s">
        <v>3026</v>
      </c>
      <c r="AB282" s="1" t="s">
        <v>3027</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74</v>
      </c>
      <c r="AP282" s="1" t="s">
        <v>1771</v>
      </c>
      <c r="AQ282" s="1" t="s">
        <v>74</v>
      </c>
      <c r="AR282" s="1" t="s">
        <v>74</v>
      </c>
      <c r="AS282" s="1" t="s">
        <v>74</v>
      </c>
      <c r="AT282" s="1" t="s">
        <v>294</v>
      </c>
      <c r="AU282" s="1">
        <v>2022.0</v>
      </c>
      <c r="AV282" s="1">
        <v>12.0</v>
      </c>
      <c r="AW282" s="1">
        <v>2.0</v>
      </c>
      <c r="AX282" s="1" t="s">
        <v>74</v>
      </c>
      <c r="AY282" s="1" t="s">
        <v>74</v>
      </c>
      <c r="AZ282" s="1" t="s">
        <v>74</v>
      </c>
      <c r="BA282" s="1" t="s">
        <v>74</v>
      </c>
      <c r="BB282" s="1" t="s">
        <v>74</v>
      </c>
      <c r="BC282" s="1" t="s">
        <v>74</v>
      </c>
      <c r="BD282" s="1">
        <v>190.0</v>
      </c>
      <c r="BE282" s="1" t="s">
        <v>3028</v>
      </c>
      <c r="BF282" s="2" t="str">
        <f>HYPERLINK("http://dx.doi.org/10.3390/min12020190","http://dx.doi.org/10.3390/min12020190")</f>
        <v>http://dx.doi.org/10.3390/min12020190</v>
      </c>
      <c r="BG282" s="1" t="s">
        <v>74</v>
      </c>
      <c r="BH282" s="1" t="s">
        <v>74</v>
      </c>
      <c r="BI282" s="1" t="s">
        <v>74</v>
      </c>
      <c r="BJ282" s="1" t="s">
        <v>74</v>
      </c>
      <c r="BK282" s="1" t="s">
        <v>74</v>
      </c>
      <c r="BL282" s="1" t="s">
        <v>74</v>
      </c>
      <c r="BM282" s="1" t="s">
        <v>74</v>
      </c>
      <c r="BN282" s="1" t="s">
        <v>74</v>
      </c>
      <c r="BO282" s="1" t="s">
        <v>74</v>
      </c>
      <c r="BP282" s="1" t="s">
        <v>74</v>
      </c>
      <c r="BQ282" s="1" t="s">
        <v>74</v>
      </c>
      <c r="BR282" s="1" t="s">
        <v>74</v>
      </c>
      <c r="BS282" s="1" t="s">
        <v>3029</v>
      </c>
      <c r="BT282" s="1" t="str">
        <f>HYPERLINK("https%3A%2F%2Fwww.webofscience.com%2Fwos%2Fwoscc%2Ffull-record%2FWOS:000764342600001","View Full Record in Web of Science")</f>
        <v>View Full Record in Web of Science</v>
      </c>
    </row>
    <row r="283" ht="12.75" customHeight="1">
      <c r="A283" s="1" t="s">
        <v>72</v>
      </c>
      <c r="B283" s="1" t="s">
        <v>3030</v>
      </c>
      <c r="C283" s="1" t="s">
        <v>74</v>
      </c>
      <c r="D283" s="1" t="s">
        <v>74</v>
      </c>
      <c r="E283" s="1" t="s">
        <v>74</v>
      </c>
      <c r="F283" s="1" t="s">
        <v>3031</v>
      </c>
      <c r="G283" s="1" t="s">
        <v>74</v>
      </c>
      <c r="H283" s="1" t="s">
        <v>74</v>
      </c>
      <c r="I283" s="1" t="s">
        <v>3032</v>
      </c>
      <c r="J283" s="1" t="s">
        <v>3033</v>
      </c>
      <c r="K283" s="1" t="s">
        <v>74</v>
      </c>
      <c r="L283" s="1" t="s">
        <v>74</v>
      </c>
      <c r="M283" s="1" t="s">
        <v>74</v>
      </c>
      <c r="N283" s="1" t="s">
        <v>74</v>
      </c>
      <c r="O283" s="1" t="s">
        <v>74</v>
      </c>
      <c r="P283" s="1" t="s">
        <v>74</v>
      </c>
      <c r="Q283" s="1" t="s">
        <v>74</v>
      </c>
      <c r="R283" s="1" t="s">
        <v>74</v>
      </c>
      <c r="S283" s="1" t="s">
        <v>74</v>
      </c>
      <c r="T283" s="1" t="s">
        <v>74</v>
      </c>
      <c r="U283" s="1" t="s">
        <v>74</v>
      </c>
      <c r="V283" s="1" t="s">
        <v>3034</v>
      </c>
      <c r="W283" s="1" t="s">
        <v>74</v>
      </c>
      <c r="X283" s="1" t="s">
        <v>74</v>
      </c>
      <c r="Y283" s="1" t="s">
        <v>74</v>
      </c>
      <c r="Z283" s="1" t="s">
        <v>74</v>
      </c>
      <c r="AA283" s="1" t="s">
        <v>3035</v>
      </c>
      <c r="AB283" s="1" t="s">
        <v>3036</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74</v>
      </c>
      <c r="AP283" s="1" t="s">
        <v>3037</v>
      </c>
      <c r="AQ283" s="1" t="s">
        <v>74</v>
      </c>
      <c r="AR283" s="1" t="s">
        <v>74</v>
      </c>
      <c r="AS283" s="1" t="s">
        <v>74</v>
      </c>
      <c r="AT283" s="1" t="s">
        <v>374</v>
      </c>
      <c r="AU283" s="1">
        <v>2021.0</v>
      </c>
      <c r="AV283" s="1">
        <v>14.0</v>
      </c>
      <c r="AW283" s="1">
        <v>21.0</v>
      </c>
      <c r="AX283" s="1" t="s">
        <v>74</v>
      </c>
      <c r="AY283" s="1" t="s">
        <v>74</v>
      </c>
      <c r="AZ283" s="1" t="s">
        <v>74</v>
      </c>
      <c r="BA283" s="1" t="s">
        <v>74</v>
      </c>
      <c r="BB283" s="1" t="s">
        <v>74</v>
      </c>
      <c r="BC283" s="1" t="s">
        <v>74</v>
      </c>
      <c r="BD283" s="1">
        <v>7231.0</v>
      </c>
      <c r="BE283" s="1" t="s">
        <v>3038</v>
      </c>
      <c r="BF283" s="2" t="str">
        <f>HYPERLINK("http://dx.doi.org/10.3390/en14217231","http://dx.doi.org/10.3390/en14217231")</f>
        <v>http://dx.doi.org/10.3390/en14217231</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3039</v>
      </c>
      <c r="BT283" s="1" t="str">
        <f>HYPERLINK("https%3A%2F%2Fwww.webofscience.com%2Fwos%2Fwoscc%2Ffull-record%2FWOS:000718547200001","View Full Record in Web of Science")</f>
        <v>View Full Record in Web of Science</v>
      </c>
    </row>
    <row r="284" ht="12.75" customHeight="1">
      <c r="A284" s="1" t="s">
        <v>72</v>
      </c>
      <c r="B284" s="1" t="s">
        <v>3040</v>
      </c>
      <c r="C284" s="1" t="s">
        <v>74</v>
      </c>
      <c r="D284" s="1" t="s">
        <v>74</v>
      </c>
      <c r="E284" s="1" t="s">
        <v>74</v>
      </c>
      <c r="F284" s="1" t="s">
        <v>3041</v>
      </c>
      <c r="G284" s="1" t="s">
        <v>74</v>
      </c>
      <c r="H284" s="1" t="s">
        <v>74</v>
      </c>
      <c r="I284" s="1" t="s">
        <v>3042</v>
      </c>
      <c r="J284" s="1" t="s">
        <v>3043</v>
      </c>
      <c r="K284" s="1" t="s">
        <v>74</v>
      </c>
      <c r="L284" s="1" t="s">
        <v>74</v>
      </c>
      <c r="M284" s="1" t="s">
        <v>74</v>
      </c>
      <c r="N284" s="1" t="s">
        <v>74</v>
      </c>
      <c r="O284" s="1" t="s">
        <v>74</v>
      </c>
      <c r="P284" s="1" t="s">
        <v>74</v>
      </c>
      <c r="Q284" s="1" t="s">
        <v>74</v>
      </c>
      <c r="R284" s="1" t="s">
        <v>74</v>
      </c>
      <c r="S284" s="1" t="s">
        <v>74</v>
      </c>
      <c r="T284" s="1" t="s">
        <v>74</v>
      </c>
      <c r="U284" s="1" t="s">
        <v>74</v>
      </c>
      <c r="V284" s="1" t="s">
        <v>3044</v>
      </c>
      <c r="W284" s="1" t="s">
        <v>74</v>
      </c>
      <c r="X284" s="1" t="s">
        <v>74</v>
      </c>
      <c r="Y284" s="1" t="s">
        <v>74</v>
      </c>
      <c r="Z284" s="1" t="s">
        <v>74</v>
      </c>
      <c r="AA284" s="1" t="s">
        <v>3045</v>
      </c>
      <c r="AB284" s="1" t="s">
        <v>3046</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74</v>
      </c>
      <c r="AP284" s="1" t="s">
        <v>3047</v>
      </c>
      <c r="AQ284" s="1" t="s">
        <v>74</v>
      </c>
      <c r="AR284" s="1" t="s">
        <v>74</v>
      </c>
      <c r="AS284" s="1" t="s">
        <v>74</v>
      </c>
      <c r="AT284" s="1" t="s">
        <v>94</v>
      </c>
      <c r="AU284" s="1">
        <v>2021.0</v>
      </c>
      <c r="AV284" s="1">
        <v>11.0</v>
      </c>
      <c r="AW284" s="1">
        <v>6.0</v>
      </c>
      <c r="AX284" s="1" t="s">
        <v>74</v>
      </c>
      <c r="AY284" s="1" t="s">
        <v>74</v>
      </c>
      <c r="AZ284" s="1" t="s">
        <v>74</v>
      </c>
      <c r="BA284" s="1" t="s">
        <v>74</v>
      </c>
      <c r="BB284" s="1" t="s">
        <v>74</v>
      </c>
      <c r="BC284" s="1" t="s">
        <v>74</v>
      </c>
      <c r="BD284" s="1">
        <v>961.0</v>
      </c>
      <c r="BE284" s="1" t="s">
        <v>3048</v>
      </c>
      <c r="BF284" s="2" t="str">
        <f>HYPERLINK("http://dx.doi.org/10.3390/met11060961","http://dx.doi.org/10.3390/met11060961")</f>
        <v>http://dx.doi.org/10.3390/met11060961</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3049</v>
      </c>
      <c r="BT284" s="1" t="str">
        <f>HYPERLINK("https%3A%2F%2Fwww.webofscience.com%2Fwos%2Fwoscc%2Ffull-record%2FWOS:000666010800001","View Full Record in Web of Science")</f>
        <v>View Full Record in Web of Science</v>
      </c>
    </row>
    <row r="285" ht="12.75" customHeight="1">
      <c r="A285" s="1" t="s">
        <v>72</v>
      </c>
      <c r="B285" s="1" t="s">
        <v>3050</v>
      </c>
      <c r="C285" s="1" t="s">
        <v>74</v>
      </c>
      <c r="D285" s="1" t="s">
        <v>74</v>
      </c>
      <c r="E285" s="1" t="s">
        <v>74</v>
      </c>
      <c r="F285" s="1" t="s">
        <v>3051</v>
      </c>
      <c r="G285" s="1" t="s">
        <v>74</v>
      </c>
      <c r="H285" s="1" t="s">
        <v>74</v>
      </c>
      <c r="I285" s="1" t="s">
        <v>3052</v>
      </c>
      <c r="J285" s="1" t="s">
        <v>403</v>
      </c>
      <c r="K285" s="1" t="s">
        <v>74</v>
      </c>
      <c r="L285" s="1" t="s">
        <v>74</v>
      </c>
      <c r="M285" s="1" t="s">
        <v>74</v>
      </c>
      <c r="N285" s="1" t="s">
        <v>74</v>
      </c>
      <c r="O285" s="1" t="s">
        <v>74</v>
      </c>
      <c r="P285" s="1" t="s">
        <v>74</v>
      </c>
      <c r="Q285" s="1" t="s">
        <v>74</v>
      </c>
      <c r="R285" s="1" t="s">
        <v>74</v>
      </c>
      <c r="S285" s="1" t="s">
        <v>74</v>
      </c>
      <c r="T285" s="1" t="s">
        <v>74</v>
      </c>
      <c r="U285" s="1" t="s">
        <v>74</v>
      </c>
      <c r="V285" s="1" t="s">
        <v>3053</v>
      </c>
      <c r="W285" s="1" t="s">
        <v>74</v>
      </c>
      <c r="X285" s="1" t="s">
        <v>74</v>
      </c>
      <c r="Y285" s="1" t="s">
        <v>74</v>
      </c>
      <c r="Z285" s="1" t="s">
        <v>74</v>
      </c>
      <c r="AA285" s="1" t="s">
        <v>3054</v>
      </c>
      <c r="AB285" s="1" t="s">
        <v>3055</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406</v>
      </c>
      <c r="AP285" s="1" t="s">
        <v>407</v>
      </c>
      <c r="AQ285" s="1" t="s">
        <v>74</v>
      </c>
      <c r="AR285" s="1" t="s">
        <v>74</v>
      </c>
      <c r="AS285" s="1" t="s">
        <v>74</v>
      </c>
      <c r="AT285" s="1" t="s">
        <v>94</v>
      </c>
      <c r="AU285" s="1">
        <v>2021.0</v>
      </c>
      <c r="AV285" s="1">
        <v>81.0</v>
      </c>
      <c r="AW285" s="1">
        <v>6.0</v>
      </c>
      <c r="AX285" s="1" t="s">
        <v>74</v>
      </c>
      <c r="AY285" s="1" t="s">
        <v>74</v>
      </c>
      <c r="AZ285" s="1" t="s">
        <v>74</v>
      </c>
      <c r="BA285" s="1" t="s">
        <v>74</v>
      </c>
      <c r="BB285" s="1" t="s">
        <v>74</v>
      </c>
      <c r="BC285" s="1" t="s">
        <v>74</v>
      </c>
      <c r="BD285" s="1">
        <v>489.0</v>
      </c>
      <c r="BE285" s="1" t="s">
        <v>3056</v>
      </c>
      <c r="BF285" s="2" t="str">
        <f>HYPERLINK("http://dx.doi.org/10.1140/epjc/s10052-021-09230-5","http://dx.doi.org/10.1140/epjc/s10052-021-09230-5")</f>
        <v>http://dx.doi.org/10.1140/epjc/s10052-021-09230-5</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3057</v>
      </c>
      <c r="BT285" s="1" t="str">
        <f>HYPERLINK("https%3A%2F%2Fwww.webofscience.com%2Fwos%2Fwoscc%2Ffull-record%2FWOS:000657455300005","View Full Record in Web of Science")</f>
        <v>View Full Record in Web of Science</v>
      </c>
    </row>
    <row r="286" ht="12.75" customHeight="1">
      <c r="A286" s="1" t="s">
        <v>207</v>
      </c>
      <c r="B286" s="1" t="s">
        <v>3058</v>
      </c>
      <c r="C286" s="1" t="s">
        <v>74</v>
      </c>
      <c r="D286" s="1" t="s">
        <v>74</v>
      </c>
      <c r="E286" s="1" t="s">
        <v>224</v>
      </c>
      <c r="F286" s="1" t="s">
        <v>3059</v>
      </c>
      <c r="G286" s="1" t="s">
        <v>74</v>
      </c>
      <c r="H286" s="1" t="s">
        <v>74</v>
      </c>
      <c r="I286" s="1" t="s">
        <v>3060</v>
      </c>
      <c r="J286" s="1" t="s">
        <v>3061</v>
      </c>
      <c r="K286" s="1" t="s">
        <v>3062</v>
      </c>
      <c r="L286" s="1" t="s">
        <v>74</v>
      </c>
      <c r="M286" s="1" t="s">
        <v>74</v>
      </c>
      <c r="N286" s="1" t="s">
        <v>74</v>
      </c>
      <c r="O286" s="1" t="s">
        <v>3063</v>
      </c>
      <c r="P286" s="1" t="s">
        <v>3064</v>
      </c>
      <c r="Q286" s="1" t="s">
        <v>3065</v>
      </c>
      <c r="R286" s="1" t="s">
        <v>224</v>
      </c>
      <c r="S286" s="1" t="s">
        <v>74</v>
      </c>
      <c r="T286" s="1" t="s">
        <v>74</v>
      </c>
      <c r="U286" s="1" t="s">
        <v>74</v>
      </c>
      <c r="V286" s="1" t="s">
        <v>3066</v>
      </c>
      <c r="W286" s="1" t="s">
        <v>74</v>
      </c>
      <c r="X286" s="1" t="s">
        <v>74</v>
      </c>
      <c r="Y286" s="1" t="s">
        <v>74</v>
      </c>
      <c r="Z286" s="1" t="s">
        <v>74</v>
      </c>
      <c r="AA286" s="1" t="s">
        <v>3067</v>
      </c>
      <c r="AB286" s="1" t="s">
        <v>3068</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3069</v>
      </c>
      <c r="AP286" s="1" t="s">
        <v>74</v>
      </c>
      <c r="AQ286" s="1" t="s">
        <v>74</v>
      </c>
      <c r="AR286" s="1" t="s">
        <v>74</v>
      </c>
      <c r="AS286" s="1" t="s">
        <v>74</v>
      </c>
      <c r="AT286" s="1" t="s">
        <v>74</v>
      </c>
      <c r="AU286" s="1">
        <v>2020.0</v>
      </c>
      <c r="AV286" s="1" t="s">
        <v>74</v>
      </c>
      <c r="AW286" s="1" t="s">
        <v>74</v>
      </c>
      <c r="AX286" s="1" t="s">
        <v>74</v>
      </c>
      <c r="AY286" s="1" t="s">
        <v>74</v>
      </c>
      <c r="AZ286" s="1" t="s">
        <v>74</v>
      </c>
      <c r="BA286" s="1" t="s">
        <v>74</v>
      </c>
      <c r="BB286" s="1">
        <v>948.0</v>
      </c>
      <c r="BC286" s="1">
        <v>955.0</v>
      </c>
      <c r="BD286" s="1" t="s">
        <v>74</v>
      </c>
      <c r="BE286" s="1" t="s">
        <v>74</v>
      </c>
      <c r="BF286" s="1" t="s">
        <v>74</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3070</v>
      </c>
      <c r="BT286" s="1" t="str">
        <f>HYPERLINK("https%3A%2F%2Fwww.webofscience.com%2Fwos%2Fwoscc%2Ffull-record%2FWOS:000659968200139","View Full Record in Web of Science")</f>
        <v>View Full Record in Web of Science</v>
      </c>
    </row>
    <row r="287" ht="12.75" customHeight="1">
      <c r="A287" s="1" t="s">
        <v>72</v>
      </c>
      <c r="B287" s="1" t="s">
        <v>3071</v>
      </c>
      <c r="C287" s="1" t="s">
        <v>74</v>
      </c>
      <c r="D287" s="1" t="s">
        <v>74</v>
      </c>
      <c r="E287" s="1" t="s">
        <v>74</v>
      </c>
      <c r="F287" s="1" t="s">
        <v>3072</v>
      </c>
      <c r="G287" s="1" t="s">
        <v>74</v>
      </c>
      <c r="H287" s="1" t="s">
        <v>74</v>
      </c>
      <c r="I287" s="1" t="s">
        <v>3073</v>
      </c>
      <c r="J287" s="1" t="s">
        <v>3074</v>
      </c>
      <c r="K287" s="1" t="s">
        <v>74</v>
      </c>
      <c r="L287" s="1" t="s">
        <v>74</v>
      </c>
      <c r="M287" s="1" t="s">
        <v>74</v>
      </c>
      <c r="N287" s="1" t="s">
        <v>74</v>
      </c>
      <c r="O287" s="1" t="s">
        <v>74</v>
      </c>
      <c r="P287" s="1" t="s">
        <v>74</v>
      </c>
      <c r="Q287" s="1" t="s">
        <v>74</v>
      </c>
      <c r="R287" s="1" t="s">
        <v>74</v>
      </c>
      <c r="S287" s="1" t="s">
        <v>74</v>
      </c>
      <c r="T287" s="1" t="s">
        <v>74</v>
      </c>
      <c r="U287" s="1" t="s">
        <v>74</v>
      </c>
      <c r="V287" s="1" t="s">
        <v>3075</v>
      </c>
      <c r="W287" s="1" t="s">
        <v>74</v>
      </c>
      <c r="X287" s="1" t="s">
        <v>74</v>
      </c>
      <c r="Y287" s="1" t="s">
        <v>74</v>
      </c>
      <c r="Z287" s="1" t="s">
        <v>74</v>
      </c>
      <c r="AA287" s="1" t="s">
        <v>1467</v>
      </c>
      <c r="AB287" s="1" t="s">
        <v>3076</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3077</v>
      </c>
      <c r="AP287" s="1" t="s">
        <v>3078</v>
      </c>
      <c r="AQ287" s="1" t="s">
        <v>74</v>
      </c>
      <c r="AR287" s="1" t="s">
        <v>74</v>
      </c>
      <c r="AS287" s="1" t="s">
        <v>74</v>
      </c>
      <c r="AT287" s="1" t="s">
        <v>94</v>
      </c>
      <c r="AU287" s="1">
        <v>2019.0</v>
      </c>
      <c r="AV287" s="1">
        <v>51.0</v>
      </c>
      <c r="AW287" s="1">
        <v>3.0</v>
      </c>
      <c r="AX287" s="1" t="s">
        <v>74</v>
      </c>
      <c r="AY287" s="1" t="s">
        <v>74</v>
      </c>
      <c r="AZ287" s="1" t="s">
        <v>74</v>
      </c>
      <c r="BA287" s="1" t="s">
        <v>74</v>
      </c>
      <c r="BB287" s="1">
        <v>1216.0</v>
      </c>
      <c r="BC287" s="1">
        <v>1243.0</v>
      </c>
      <c r="BD287" s="1" t="s">
        <v>74</v>
      </c>
      <c r="BE287" s="1" t="s">
        <v>3079</v>
      </c>
      <c r="BF287" s="2" t="str">
        <f>HYPERLINK("http://dx.doi.org/10.3758/s13428-018-1059-y","http://dx.doi.org/10.3758/s13428-018-1059-y")</f>
        <v>http://dx.doi.org/10.3758/s13428-018-1059-y</v>
      </c>
      <c r="BG287" s="1" t="s">
        <v>74</v>
      </c>
      <c r="BH287" s="1" t="s">
        <v>74</v>
      </c>
      <c r="BI287" s="1" t="s">
        <v>74</v>
      </c>
      <c r="BJ287" s="1" t="s">
        <v>74</v>
      </c>
      <c r="BK287" s="1" t="s">
        <v>74</v>
      </c>
      <c r="BL287" s="1" t="s">
        <v>74</v>
      </c>
      <c r="BM287" s="1" t="s">
        <v>74</v>
      </c>
      <c r="BN287" s="1">
        <v>2.9934696E7</v>
      </c>
      <c r="BO287" s="1" t="s">
        <v>74</v>
      </c>
      <c r="BP287" s="1" t="s">
        <v>74</v>
      </c>
      <c r="BQ287" s="1" t="s">
        <v>74</v>
      </c>
      <c r="BR287" s="1" t="s">
        <v>74</v>
      </c>
      <c r="BS287" s="1" t="s">
        <v>3080</v>
      </c>
      <c r="BT287" s="1" t="str">
        <f>HYPERLINK("https%3A%2F%2Fwww.webofscience.com%2Fwos%2Fwoscc%2Ffull-record%2FWOS:000469448400015","View Full Record in Web of Science")</f>
        <v>View Full Record in Web of Science</v>
      </c>
    </row>
    <row r="288" ht="12.75" customHeight="1">
      <c r="A288" s="1" t="s">
        <v>72</v>
      </c>
      <c r="B288" s="1" t="s">
        <v>3081</v>
      </c>
      <c r="C288" s="1" t="s">
        <v>74</v>
      </c>
      <c r="D288" s="1" t="s">
        <v>74</v>
      </c>
      <c r="E288" s="1" t="s">
        <v>74</v>
      </c>
      <c r="F288" s="1" t="s">
        <v>3082</v>
      </c>
      <c r="G288" s="1" t="s">
        <v>74</v>
      </c>
      <c r="H288" s="1" t="s">
        <v>74</v>
      </c>
      <c r="I288" s="1" t="s">
        <v>3083</v>
      </c>
      <c r="J288" s="1" t="s">
        <v>3084</v>
      </c>
      <c r="K288" s="1" t="s">
        <v>74</v>
      </c>
      <c r="L288" s="1" t="s">
        <v>74</v>
      </c>
      <c r="M288" s="1" t="s">
        <v>74</v>
      </c>
      <c r="N288" s="1" t="s">
        <v>74</v>
      </c>
      <c r="O288" s="1" t="s">
        <v>74</v>
      </c>
      <c r="P288" s="1" t="s">
        <v>74</v>
      </c>
      <c r="Q288" s="1" t="s">
        <v>74</v>
      </c>
      <c r="R288" s="1" t="s">
        <v>74</v>
      </c>
      <c r="S288" s="1" t="s">
        <v>74</v>
      </c>
      <c r="T288" s="1" t="s">
        <v>74</v>
      </c>
      <c r="U288" s="1" t="s">
        <v>74</v>
      </c>
      <c r="V288" s="1" t="s">
        <v>3085</v>
      </c>
      <c r="W288" s="1" t="s">
        <v>74</v>
      </c>
      <c r="X288" s="1" t="s">
        <v>74</v>
      </c>
      <c r="Y288" s="1" t="s">
        <v>74</v>
      </c>
      <c r="Z288" s="1" t="s">
        <v>74</v>
      </c>
      <c r="AA288" s="1" t="s">
        <v>74</v>
      </c>
      <c r="AB288" s="1" t="s">
        <v>3086</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3087</v>
      </c>
      <c r="AP288" s="1" t="s">
        <v>3088</v>
      </c>
      <c r="AQ288" s="1" t="s">
        <v>74</v>
      </c>
      <c r="AR288" s="1" t="s">
        <v>74</v>
      </c>
      <c r="AS288" s="1" t="s">
        <v>74</v>
      </c>
      <c r="AT288" s="1" t="s">
        <v>1279</v>
      </c>
      <c r="AU288" s="1">
        <v>2019.0</v>
      </c>
      <c r="AV288" s="1">
        <v>39.0</v>
      </c>
      <c r="AW288" s="1" t="s">
        <v>74</v>
      </c>
      <c r="AX288" s="1">
        <v>4.0</v>
      </c>
      <c r="AY288" s="1" t="s">
        <v>74</v>
      </c>
      <c r="AZ288" s="1" t="s">
        <v>74</v>
      </c>
      <c r="BA288" s="1" t="s">
        <v>74</v>
      </c>
      <c r="BB288" s="1">
        <v>865.0</v>
      </c>
      <c r="BC288" s="1">
        <v>888.0</v>
      </c>
      <c r="BD288" s="1" t="s">
        <v>74</v>
      </c>
      <c r="BE288" s="1" t="s">
        <v>3089</v>
      </c>
      <c r="BF288" s="2" t="str">
        <f>HYPERLINK("http://dx.doi.org/10.1017/etds.2017.50","http://dx.doi.org/10.1017/etds.2017.50")</f>
        <v>http://dx.doi.org/10.1017/etds.2017.50</v>
      </c>
      <c r="BG288" s="1" t="s">
        <v>74</v>
      </c>
      <c r="BH288" s="1" t="s">
        <v>74</v>
      </c>
      <c r="BI288" s="1" t="s">
        <v>74</v>
      </c>
      <c r="BJ288" s="1" t="s">
        <v>74</v>
      </c>
      <c r="BK288" s="1" t="s">
        <v>74</v>
      </c>
      <c r="BL288" s="1" t="s">
        <v>74</v>
      </c>
      <c r="BM288" s="1" t="s">
        <v>74</v>
      </c>
      <c r="BN288" s="1" t="s">
        <v>74</v>
      </c>
      <c r="BO288" s="1" t="s">
        <v>74</v>
      </c>
      <c r="BP288" s="1" t="s">
        <v>74</v>
      </c>
      <c r="BQ288" s="1" t="s">
        <v>74</v>
      </c>
      <c r="BR288" s="1" t="s">
        <v>74</v>
      </c>
      <c r="BS288" s="1" t="s">
        <v>3090</v>
      </c>
      <c r="BT288" s="1" t="str">
        <f>HYPERLINK("https%3A%2F%2Fwww.webofscience.com%2Fwos%2Fwoscc%2Ffull-record%2FWOS:000459725600001","View Full Record in Web of Science")</f>
        <v>View Full Record in Web of Science</v>
      </c>
    </row>
    <row r="289" ht="12.75" customHeight="1">
      <c r="A289" s="1" t="s">
        <v>72</v>
      </c>
      <c r="B289" s="1" t="s">
        <v>3091</v>
      </c>
      <c r="C289" s="1" t="s">
        <v>74</v>
      </c>
      <c r="D289" s="1" t="s">
        <v>74</v>
      </c>
      <c r="E289" s="1" t="s">
        <v>74</v>
      </c>
      <c r="F289" s="1" t="s">
        <v>3092</v>
      </c>
      <c r="G289" s="1" t="s">
        <v>74</v>
      </c>
      <c r="H289" s="1" t="s">
        <v>74</v>
      </c>
      <c r="I289" s="1" t="s">
        <v>3093</v>
      </c>
      <c r="J289" s="1" t="s">
        <v>3094</v>
      </c>
      <c r="K289" s="1" t="s">
        <v>74</v>
      </c>
      <c r="L289" s="1" t="s">
        <v>74</v>
      </c>
      <c r="M289" s="1" t="s">
        <v>74</v>
      </c>
      <c r="N289" s="1" t="s">
        <v>74</v>
      </c>
      <c r="O289" s="1" t="s">
        <v>74</v>
      </c>
      <c r="P289" s="1" t="s">
        <v>74</v>
      </c>
      <c r="Q289" s="1" t="s">
        <v>74</v>
      </c>
      <c r="R289" s="1" t="s">
        <v>74</v>
      </c>
      <c r="S289" s="1" t="s">
        <v>74</v>
      </c>
      <c r="T289" s="1" t="s">
        <v>74</v>
      </c>
      <c r="U289" s="1" t="s">
        <v>74</v>
      </c>
      <c r="V289" s="1" t="s">
        <v>3095</v>
      </c>
      <c r="W289" s="1" t="s">
        <v>74</v>
      </c>
      <c r="X289" s="1" t="s">
        <v>74</v>
      </c>
      <c r="Y289" s="1" t="s">
        <v>74</v>
      </c>
      <c r="Z289" s="1" t="s">
        <v>74</v>
      </c>
      <c r="AA289" s="1" t="s">
        <v>3096</v>
      </c>
      <c r="AB289" s="1" t="s">
        <v>74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3097</v>
      </c>
      <c r="AP289" s="1" t="s">
        <v>74</v>
      </c>
      <c r="AQ289" s="1" t="s">
        <v>74</v>
      </c>
      <c r="AR289" s="1" t="s">
        <v>74</v>
      </c>
      <c r="AS289" s="1" t="s">
        <v>74</v>
      </c>
      <c r="AT289" s="1" t="s">
        <v>294</v>
      </c>
      <c r="AU289" s="1">
        <v>2019.0</v>
      </c>
      <c r="AV289" s="1">
        <v>45.0</v>
      </c>
      <c r="AW289" s="1" t="s">
        <v>74</v>
      </c>
      <c r="AX289" s="1" t="s">
        <v>74</v>
      </c>
      <c r="AY289" s="1" t="s">
        <v>74</v>
      </c>
      <c r="AZ289" s="1" t="s">
        <v>74</v>
      </c>
      <c r="BA289" s="1" t="s">
        <v>74</v>
      </c>
      <c r="BB289" s="1">
        <v>704.0</v>
      </c>
      <c r="BC289" s="1">
        <v>720.0</v>
      </c>
      <c r="BD289" s="1" t="s">
        <v>74</v>
      </c>
      <c r="BE289" s="1" t="s">
        <v>3098</v>
      </c>
      <c r="BF289" s="2" t="str">
        <f>HYPERLINK("http://dx.doi.org/10.1016/j.nonrwa.2018.07.029","http://dx.doi.org/10.1016/j.nonrwa.2018.07.029")</f>
        <v>http://dx.doi.org/10.1016/j.nonrwa.2018.07.029</v>
      </c>
      <c r="BG289" s="1" t="s">
        <v>74</v>
      </c>
      <c r="BH289" s="1" t="s">
        <v>74</v>
      </c>
      <c r="BI289" s="1" t="s">
        <v>74</v>
      </c>
      <c r="BJ289" s="1" t="s">
        <v>74</v>
      </c>
      <c r="BK289" s="1" t="s">
        <v>74</v>
      </c>
      <c r="BL289" s="1" t="s">
        <v>74</v>
      </c>
      <c r="BM289" s="1" t="s">
        <v>74</v>
      </c>
      <c r="BN289" s="1" t="s">
        <v>74</v>
      </c>
      <c r="BO289" s="1" t="s">
        <v>74</v>
      </c>
      <c r="BP289" s="1" t="s">
        <v>74</v>
      </c>
      <c r="BQ289" s="1" t="s">
        <v>74</v>
      </c>
      <c r="BR289" s="1" t="s">
        <v>74</v>
      </c>
      <c r="BS289" s="1" t="s">
        <v>3099</v>
      </c>
      <c r="BT289" s="1" t="str">
        <f>HYPERLINK("https%3A%2F%2Fwww.webofscience.com%2Fwos%2Fwoscc%2Ffull-record%2FWOS:000447085800039","View Full Record in Web of Science")</f>
        <v>View Full Record in Web of Science</v>
      </c>
    </row>
    <row r="290" ht="12.75" customHeight="1">
      <c r="A290" s="1" t="s">
        <v>207</v>
      </c>
      <c r="B290" s="1" t="s">
        <v>3100</v>
      </c>
      <c r="C290" s="1" t="s">
        <v>74</v>
      </c>
      <c r="D290" s="1" t="s">
        <v>74</v>
      </c>
      <c r="E290" s="1" t="s">
        <v>224</v>
      </c>
      <c r="F290" s="1" t="s">
        <v>3101</v>
      </c>
      <c r="G290" s="1" t="s">
        <v>74</v>
      </c>
      <c r="H290" s="1" t="s">
        <v>74</v>
      </c>
      <c r="I290" s="1" t="s">
        <v>3102</v>
      </c>
      <c r="J290" s="1" t="s">
        <v>3103</v>
      </c>
      <c r="K290" s="1" t="s">
        <v>74</v>
      </c>
      <c r="L290" s="1" t="s">
        <v>74</v>
      </c>
      <c r="M290" s="1" t="s">
        <v>74</v>
      </c>
      <c r="N290" s="1" t="s">
        <v>74</v>
      </c>
      <c r="O290" s="1" t="s">
        <v>3104</v>
      </c>
      <c r="P290" s="1" t="s">
        <v>3105</v>
      </c>
      <c r="Q290" s="1" t="s">
        <v>3106</v>
      </c>
      <c r="R290" s="1" t="s">
        <v>3107</v>
      </c>
      <c r="S290" s="1" t="s">
        <v>74</v>
      </c>
      <c r="T290" s="1" t="s">
        <v>74</v>
      </c>
      <c r="U290" s="1" t="s">
        <v>74</v>
      </c>
      <c r="V290" s="1" t="s">
        <v>3108</v>
      </c>
      <c r="W290" s="1" t="s">
        <v>74</v>
      </c>
      <c r="X290" s="1" t="s">
        <v>74</v>
      </c>
      <c r="Y290" s="1" t="s">
        <v>74</v>
      </c>
      <c r="Z290" s="1" t="s">
        <v>74</v>
      </c>
      <c r="AA290" s="1" t="s">
        <v>3109</v>
      </c>
      <c r="AB290" s="1" t="s">
        <v>3110</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74</v>
      </c>
      <c r="AP290" s="1" t="s">
        <v>74</v>
      </c>
      <c r="AQ290" s="1" t="s">
        <v>3111</v>
      </c>
      <c r="AR290" s="1" t="s">
        <v>74</v>
      </c>
      <c r="AS290" s="1" t="s">
        <v>74</v>
      </c>
      <c r="AT290" s="1" t="s">
        <v>74</v>
      </c>
      <c r="AU290" s="1">
        <v>2019.0</v>
      </c>
      <c r="AV290" s="1" t="s">
        <v>74</v>
      </c>
      <c r="AW290" s="1" t="s">
        <v>74</v>
      </c>
      <c r="AX290" s="1" t="s">
        <v>74</v>
      </c>
      <c r="AY290" s="1" t="s">
        <v>74</v>
      </c>
      <c r="AZ290" s="1" t="s">
        <v>74</v>
      </c>
      <c r="BA290" s="1" t="s">
        <v>74</v>
      </c>
      <c r="BB290" s="1" t="s">
        <v>74</v>
      </c>
      <c r="BC290" s="1" t="s">
        <v>74</v>
      </c>
      <c r="BD290" s="1" t="s">
        <v>74</v>
      </c>
      <c r="BE290" s="1" t="s">
        <v>74</v>
      </c>
      <c r="BF290" s="1" t="s">
        <v>74</v>
      </c>
      <c r="BG290" s="1" t="s">
        <v>74</v>
      </c>
      <c r="BH290" s="1" t="s">
        <v>74</v>
      </c>
      <c r="BI290" s="1" t="s">
        <v>74</v>
      </c>
      <c r="BJ290" s="1" t="s">
        <v>74</v>
      </c>
      <c r="BK290" s="1" t="s">
        <v>74</v>
      </c>
      <c r="BL290" s="1" t="s">
        <v>74</v>
      </c>
      <c r="BM290" s="1" t="s">
        <v>74</v>
      </c>
      <c r="BN290" s="1" t="s">
        <v>74</v>
      </c>
      <c r="BO290" s="1" t="s">
        <v>74</v>
      </c>
      <c r="BP290" s="1" t="s">
        <v>74</v>
      </c>
      <c r="BQ290" s="1" t="s">
        <v>74</v>
      </c>
      <c r="BR290" s="1" t="s">
        <v>74</v>
      </c>
      <c r="BS290" s="1" t="s">
        <v>3112</v>
      </c>
      <c r="BT290" s="1" t="str">
        <f>HYPERLINK("https%3A%2F%2Fwww.webofscience.com%2Fwos%2Fwoscc%2Ffull-record%2FWOS:000505687800029","View Full Record in Web of Science")</f>
        <v>View Full Record in Web of Science</v>
      </c>
    </row>
    <row r="291" ht="12.75" customHeight="1">
      <c r="A291" s="1" t="s">
        <v>72</v>
      </c>
      <c r="B291" s="1" t="s">
        <v>3113</v>
      </c>
      <c r="C291" s="1" t="s">
        <v>74</v>
      </c>
      <c r="D291" s="1" t="s">
        <v>74</v>
      </c>
      <c r="E291" s="1" t="s">
        <v>74</v>
      </c>
      <c r="F291" s="1" t="s">
        <v>3114</v>
      </c>
      <c r="G291" s="1" t="s">
        <v>74</v>
      </c>
      <c r="H291" s="1" t="s">
        <v>74</v>
      </c>
      <c r="I291" s="1" t="s">
        <v>3115</v>
      </c>
      <c r="J291" s="1" t="s">
        <v>3116</v>
      </c>
      <c r="K291" s="1" t="s">
        <v>74</v>
      </c>
      <c r="L291" s="1" t="s">
        <v>74</v>
      </c>
      <c r="M291" s="1" t="s">
        <v>74</v>
      </c>
      <c r="N291" s="1" t="s">
        <v>74</v>
      </c>
      <c r="O291" s="1" t="s">
        <v>74</v>
      </c>
      <c r="P291" s="1" t="s">
        <v>74</v>
      </c>
      <c r="Q291" s="1" t="s">
        <v>74</v>
      </c>
      <c r="R291" s="1" t="s">
        <v>74</v>
      </c>
      <c r="S291" s="1" t="s">
        <v>74</v>
      </c>
      <c r="T291" s="1" t="s">
        <v>74</v>
      </c>
      <c r="U291" s="1" t="s">
        <v>74</v>
      </c>
      <c r="V291" s="1" t="s">
        <v>3117</v>
      </c>
      <c r="W291" s="1" t="s">
        <v>74</v>
      </c>
      <c r="X291" s="1" t="s">
        <v>74</v>
      </c>
      <c r="Y291" s="1" t="s">
        <v>74</v>
      </c>
      <c r="Z291" s="1" t="s">
        <v>74</v>
      </c>
      <c r="AA291" s="1" t="s">
        <v>3118</v>
      </c>
      <c r="AB291" s="1" t="s">
        <v>3119</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3120</v>
      </c>
      <c r="AP291" s="1" t="s">
        <v>74</v>
      </c>
      <c r="AQ291" s="1" t="s">
        <v>74</v>
      </c>
      <c r="AR291" s="1" t="s">
        <v>74</v>
      </c>
      <c r="AS291" s="1" t="s">
        <v>74</v>
      </c>
      <c r="AT291" s="1" t="s">
        <v>2604</v>
      </c>
      <c r="AU291" s="1">
        <v>2018.0</v>
      </c>
      <c r="AV291" s="1">
        <v>9.0</v>
      </c>
      <c r="AW291" s="1">
        <v>4.0</v>
      </c>
      <c r="AX291" s="1" t="s">
        <v>74</v>
      </c>
      <c r="AY291" s="1" t="s">
        <v>74</v>
      </c>
      <c r="AZ291" s="1" t="s">
        <v>74</v>
      </c>
      <c r="BA291" s="1" t="s">
        <v>74</v>
      </c>
      <c r="BB291" s="1" t="s">
        <v>74</v>
      </c>
      <c r="BC291" s="1" t="s">
        <v>74</v>
      </c>
      <c r="BD291" s="1" t="s">
        <v>3121</v>
      </c>
      <c r="BE291" s="1" t="s">
        <v>3122</v>
      </c>
      <c r="BF291" s="2" t="str">
        <f>HYPERLINK("http://dx.doi.org/10.1128/mBio.00626-18","http://dx.doi.org/10.1128/mBio.00626-18")</f>
        <v>http://dx.doi.org/10.1128/mBio.00626-18</v>
      </c>
      <c r="BG291" s="1" t="s">
        <v>74</v>
      </c>
      <c r="BH291" s="1" t="s">
        <v>74</v>
      </c>
      <c r="BI291" s="1" t="s">
        <v>74</v>
      </c>
      <c r="BJ291" s="1" t="s">
        <v>74</v>
      </c>
      <c r="BK291" s="1" t="s">
        <v>74</v>
      </c>
      <c r="BL291" s="1" t="s">
        <v>74</v>
      </c>
      <c r="BM291" s="1" t="s">
        <v>74</v>
      </c>
      <c r="BN291" s="1">
        <v>3.0065085E7</v>
      </c>
      <c r="BO291" s="1" t="s">
        <v>74</v>
      </c>
      <c r="BP291" s="1" t="s">
        <v>74</v>
      </c>
      <c r="BQ291" s="1" t="s">
        <v>74</v>
      </c>
      <c r="BR291" s="1" t="s">
        <v>74</v>
      </c>
      <c r="BS291" s="1" t="s">
        <v>3123</v>
      </c>
      <c r="BT291" s="1" t="str">
        <f>HYPERLINK("https%3A%2F%2Fwww.webofscience.com%2Fwos%2Fwoscc%2Ffull-record%2FWOS:000443884300004","View Full Record in Web of Science")</f>
        <v>View Full Record in Web of Science</v>
      </c>
    </row>
    <row r="292" ht="12.75" customHeight="1">
      <c r="A292" s="1" t="s">
        <v>72</v>
      </c>
      <c r="B292" s="1" t="s">
        <v>3124</v>
      </c>
      <c r="C292" s="1" t="s">
        <v>74</v>
      </c>
      <c r="D292" s="1" t="s">
        <v>74</v>
      </c>
      <c r="E292" s="1" t="s">
        <v>74</v>
      </c>
      <c r="F292" s="1" t="s">
        <v>3125</v>
      </c>
      <c r="G292" s="1" t="s">
        <v>74</v>
      </c>
      <c r="H292" s="1" t="s">
        <v>74</v>
      </c>
      <c r="I292" s="1" t="s">
        <v>3126</v>
      </c>
      <c r="J292" s="1" t="s">
        <v>3127</v>
      </c>
      <c r="K292" s="1" t="s">
        <v>74</v>
      </c>
      <c r="L292" s="1" t="s">
        <v>74</v>
      </c>
      <c r="M292" s="1" t="s">
        <v>74</v>
      </c>
      <c r="N292" s="1" t="s">
        <v>74</v>
      </c>
      <c r="O292" s="1" t="s">
        <v>74</v>
      </c>
      <c r="P292" s="1" t="s">
        <v>74</v>
      </c>
      <c r="Q292" s="1" t="s">
        <v>74</v>
      </c>
      <c r="R292" s="1" t="s">
        <v>74</v>
      </c>
      <c r="S292" s="1" t="s">
        <v>74</v>
      </c>
      <c r="T292" s="1" t="s">
        <v>74</v>
      </c>
      <c r="U292" s="1" t="s">
        <v>74</v>
      </c>
      <c r="V292" s="1" t="s">
        <v>3128</v>
      </c>
      <c r="W292" s="1" t="s">
        <v>74</v>
      </c>
      <c r="X292" s="1" t="s">
        <v>74</v>
      </c>
      <c r="Y292" s="1" t="s">
        <v>74</v>
      </c>
      <c r="Z292" s="1" t="s">
        <v>74</v>
      </c>
      <c r="AA292" s="1" t="s">
        <v>3129</v>
      </c>
      <c r="AB292" s="1" t="s">
        <v>3130</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74</v>
      </c>
      <c r="AP292" s="1" t="s">
        <v>3131</v>
      </c>
      <c r="AQ292" s="1" t="s">
        <v>74</v>
      </c>
      <c r="AR292" s="1" t="s">
        <v>74</v>
      </c>
      <c r="AS292" s="1" t="s">
        <v>74</v>
      </c>
      <c r="AT292" s="1" t="s">
        <v>74</v>
      </c>
      <c r="AU292" s="1">
        <v>2018.0</v>
      </c>
      <c r="AV292" s="1">
        <v>8.0</v>
      </c>
      <c r="AW292" s="1">
        <v>24.0</v>
      </c>
      <c r="AX292" s="1" t="s">
        <v>74</v>
      </c>
      <c r="AY292" s="1" t="s">
        <v>74</v>
      </c>
      <c r="AZ292" s="1" t="s">
        <v>74</v>
      </c>
      <c r="BA292" s="1" t="s">
        <v>74</v>
      </c>
      <c r="BB292" s="1">
        <v>13446.0</v>
      </c>
      <c r="BC292" s="1">
        <v>13453.0</v>
      </c>
      <c r="BD292" s="1" t="s">
        <v>74</v>
      </c>
      <c r="BE292" s="1" t="s">
        <v>3132</v>
      </c>
      <c r="BF292" s="2" t="str">
        <f>HYPERLINK("http://dx.doi.org/10.1039/c8ra01263f","http://dx.doi.org/10.1039/c8ra01263f")</f>
        <v>http://dx.doi.org/10.1039/c8ra01263f</v>
      </c>
      <c r="BG292" s="1" t="s">
        <v>74</v>
      </c>
      <c r="BH292" s="1" t="s">
        <v>74</v>
      </c>
      <c r="BI292" s="1" t="s">
        <v>74</v>
      </c>
      <c r="BJ292" s="1" t="s">
        <v>74</v>
      </c>
      <c r="BK292" s="1" t="s">
        <v>74</v>
      </c>
      <c r="BL292" s="1" t="s">
        <v>74</v>
      </c>
      <c r="BM292" s="1" t="s">
        <v>74</v>
      </c>
      <c r="BN292" s="1">
        <v>3.5542548E7</v>
      </c>
      <c r="BO292" s="1" t="s">
        <v>74</v>
      </c>
      <c r="BP292" s="1" t="s">
        <v>74</v>
      </c>
      <c r="BQ292" s="1" t="s">
        <v>74</v>
      </c>
      <c r="BR292" s="1" t="s">
        <v>74</v>
      </c>
      <c r="BS292" s="1" t="s">
        <v>3133</v>
      </c>
      <c r="BT292" s="1" t="str">
        <f>HYPERLINK("https%3A%2F%2Fwww.webofscience.com%2Fwos%2Fwoscc%2Ffull-record%2FWOS:000430018700047","View Full Record in Web of Science")</f>
        <v>View Full Record in Web of Science</v>
      </c>
    </row>
    <row r="293" ht="12.75" customHeight="1">
      <c r="A293" s="1" t="s">
        <v>207</v>
      </c>
      <c r="B293" s="1" t="s">
        <v>3134</v>
      </c>
      <c r="C293" s="1" t="s">
        <v>74</v>
      </c>
      <c r="D293" s="1" t="s">
        <v>74</v>
      </c>
      <c r="E293" s="1" t="s">
        <v>224</v>
      </c>
      <c r="F293" s="1" t="s">
        <v>3135</v>
      </c>
      <c r="G293" s="1" t="s">
        <v>74</v>
      </c>
      <c r="H293" s="1" t="s">
        <v>74</v>
      </c>
      <c r="I293" s="1" t="s">
        <v>3136</v>
      </c>
      <c r="J293" s="1" t="s">
        <v>3137</v>
      </c>
      <c r="K293" s="1" t="s">
        <v>3138</v>
      </c>
      <c r="L293" s="1" t="s">
        <v>74</v>
      </c>
      <c r="M293" s="1" t="s">
        <v>74</v>
      </c>
      <c r="N293" s="1" t="s">
        <v>74</v>
      </c>
      <c r="O293" s="1" t="s">
        <v>3139</v>
      </c>
      <c r="P293" s="1" t="s">
        <v>3140</v>
      </c>
      <c r="Q293" s="1" t="s">
        <v>3141</v>
      </c>
      <c r="R293" s="1" t="s">
        <v>3142</v>
      </c>
      <c r="S293" s="1" t="s">
        <v>74</v>
      </c>
      <c r="T293" s="1" t="s">
        <v>74</v>
      </c>
      <c r="U293" s="1" t="s">
        <v>74</v>
      </c>
      <c r="V293" s="1" t="s">
        <v>3143</v>
      </c>
      <c r="W293" s="1" t="s">
        <v>74</v>
      </c>
      <c r="X293" s="1" t="s">
        <v>74</v>
      </c>
      <c r="Y293" s="1" t="s">
        <v>74</v>
      </c>
      <c r="Z293" s="1" t="s">
        <v>74</v>
      </c>
      <c r="AA293" s="1" t="s">
        <v>3144</v>
      </c>
      <c r="AB293" s="1" t="s">
        <v>74</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3145</v>
      </c>
      <c r="AP293" s="1" t="s">
        <v>74</v>
      </c>
      <c r="AQ293" s="1" t="s">
        <v>3146</v>
      </c>
      <c r="AR293" s="1" t="s">
        <v>74</v>
      </c>
      <c r="AS293" s="1" t="s">
        <v>74</v>
      </c>
      <c r="AT293" s="1" t="s">
        <v>74</v>
      </c>
      <c r="AU293" s="1">
        <v>2018.0</v>
      </c>
      <c r="AV293" s="1" t="s">
        <v>74</v>
      </c>
      <c r="AW293" s="1" t="s">
        <v>74</v>
      </c>
      <c r="AX293" s="1" t="s">
        <v>74</v>
      </c>
      <c r="AY293" s="1" t="s">
        <v>74</v>
      </c>
      <c r="AZ293" s="1" t="s">
        <v>74</v>
      </c>
      <c r="BA293" s="1" t="s">
        <v>74</v>
      </c>
      <c r="BB293" s="1" t="s">
        <v>74</v>
      </c>
      <c r="BC293" s="1" t="s">
        <v>74</v>
      </c>
      <c r="BD293" s="1" t="s">
        <v>74</v>
      </c>
      <c r="BE293" s="1" t="s">
        <v>74</v>
      </c>
      <c r="BF293" s="1" t="s">
        <v>74</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3147</v>
      </c>
      <c r="BT293" s="1" t="str">
        <f>HYPERLINK("https%3A%2F%2Fwww.webofscience.com%2Fwos%2Fwoscc%2Ffull-record%2FWOS:000495106400100","View Full Record in Web of Science")</f>
        <v>View Full Record in Web of Science</v>
      </c>
    </row>
    <row r="294" ht="12.75" customHeight="1">
      <c r="A294" s="1" t="s">
        <v>72</v>
      </c>
      <c r="B294" s="1" t="s">
        <v>3148</v>
      </c>
      <c r="C294" s="1" t="s">
        <v>74</v>
      </c>
      <c r="D294" s="1" t="s">
        <v>74</v>
      </c>
      <c r="E294" s="1" t="s">
        <v>74</v>
      </c>
      <c r="F294" s="1" t="s">
        <v>3149</v>
      </c>
      <c r="G294" s="1" t="s">
        <v>74</v>
      </c>
      <c r="H294" s="1" t="s">
        <v>74</v>
      </c>
      <c r="I294" s="1" t="s">
        <v>3150</v>
      </c>
      <c r="J294" s="1" t="s">
        <v>1577</v>
      </c>
      <c r="K294" s="1" t="s">
        <v>74</v>
      </c>
      <c r="L294" s="1" t="s">
        <v>74</v>
      </c>
      <c r="M294" s="1" t="s">
        <v>74</v>
      </c>
      <c r="N294" s="1" t="s">
        <v>74</v>
      </c>
      <c r="O294" s="1" t="s">
        <v>74</v>
      </c>
      <c r="P294" s="1" t="s">
        <v>74</v>
      </c>
      <c r="Q294" s="1" t="s">
        <v>74</v>
      </c>
      <c r="R294" s="1" t="s">
        <v>74</v>
      </c>
      <c r="S294" s="1" t="s">
        <v>74</v>
      </c>
      <c r="T294" s="1" t="s">
        <v>74</v>
      </c>
      <c r="U294" s="1" t="s">
        <v>74</v>
      </c>
      <c r="V294" s="1" t="s">
        <v>3151</v>
      </c>
      <c r="W294" s="1" t="s">
        <v>74</v>
      </c>
      <c r="X294" s="1" t="s">
        <v>74</v>
      </c>
      <c r="Y294" s="1" t="s">
        <v>74</v>
      </c>
      <c r="Z294" s="1" t="s">
        <v>74</v>
      </c>
      <c r="AA294" s="1" t="s">
        <v>3152</v>
      </c>
      <c r="AB294" s="1" t="s">
        <v>3153</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2765</v>
      </c>
      <c r="AP294" s="1" t="s">
        <v>74</v>
      </c>
      <c r="AQ294" s="1" t="s">
        <v>74</v>
      </c>
      <c r="AR294" s="1" t="s">
        <v>74</v>
      </c>
      <c r="AS294" s="1" t="s">
        <v>74</v>
      </c>
      <c r="AT294" s="1" t="s">
        <v>74</v>
      </c>
      <c r="AU294" s="1">
        <v>2017.0</v>
      </c>
      <c r="AV294" s="1">
        <v>62.0</v>
      </c>
      <c r="AW294" s="1">
        <v>3.0</v>
      </c>
      <c r="AX294" s="1" t="s">
        <v>74</v>
      </c>
      <c r="AY294" s="1" t="s">
        <v>74</v>
      </c>
      <c r="AZ294" s="1" t="s">
        <v>74</v>
      </c>
      <c r="BA294" s="1" t="s">
        <v>74</v>
      </c>
      <c r="BB294" s="1">
        <v>3647.0</v>
      </c>
      <c r="BC294" s="1">
        <v>3652.0</v>
      </c>
      <c r="BD294" s="1" t="s">
        <v>74</v>
      </c>
      <c r="BE294" s="1" t="s">
        <v>3154</v>
      </c>
      <c r="BF294" s="2" t="str">
        <f>HYPERLINK("http://dx.doi.org/10.4067/s0717-97072017000303647","http://dx.doi.org/10.4067/s0717-97072017000303647")</f>
        <v>http://dx.doi.org/10.4067/s0717-97072017000303647</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3155</v>
      </c>
      <c r="BT294" s="1" t="str">
        <f>HYPERLINK("https%3A%2F%2Fwww.webofscience.com%2Fwos%2Fwoscc%2Ffull-record%2FWOS:000417443500019","View Full Record in Web of Science")</f>
        <v>View Full Record in Web of Science</v>
      </c>
    </row>
    <row r="295" ht="12.75" customHeight="1">
      <c r="A295" s="1" t="s">
        <v>72</v>
      </c>
      <c r="B295" s="1" t="s">
        <v>3156</v>
      </c>
      <c r="C295" s="1" t="s">
        <v>74</v>
      </c>
      <c r="D295" s="1" t="s">
        <v>74</v>
      </c>
      <c r="E295" s="1" t="s">
        <v>74</v>
      </c>
      <c r="F295" s="1" t="s">
        <v>3157</v>
      </c>
      <c r="G295" s="1" t="s">
        <v>74</v>
      </c>
      <c r="H295" s="1" t="s">
        <v>74</v>
      </c>
      <c r="I295" s="1" t="s">
        <v>3158</v>
      </c>
      <c r="J295" s="1" t="s">
        <v>3159</v>
      </c>
      <c r="K295" s="1" t="s">
        <v>74</v>
      </c>
      <c r="L295" s="1" t="s">
        <v>74</v>
      </c>
      <c r="M295" s="1" t="s">
        <v>74</v>
      </c>
      <c r="N295" s="1" t="s">
        <v>74</v>
      </c>
      <c r="O295" s="1" t="s">
        <v>74</v>
      </c>
      <c r="P295" s="1" t="s">
        <v>74</v>
      </c>
      <c r="Q295" s="1" t="s">
        <v>74</v>
      </c>
      <c r="R295" s="1" t="s">
        <v>74</v>
      </c>
      <c r="S295" s="1" t="s">
        <v>74</v>
      </c>
      <c r="T295" s="1" t="s">
        <v>74</v>
      </c>
      <c r="U295" s="1" t="s">
        <v>74</v>
      </c>
      <c r="V295" s="1" t="s">
        <v>3160</v>
      </c>
      <c r="W295" s="1" t="s">
        <v>74</v>
      </c>
      <c r="X295" s="1" t="s">
        <v>74</v>
      </c>
      <c r="Y295" s="1" t="s">
        <v>74</v>
      </c>
      <c r="Z295" s="1" t="s">
        <v>74</v>
      </c>
      <c r="AA295" s="1" t="s">
        <v>3161</v>
      </c>
      <c r="AB295" s="1" t="s">
        <v>3162</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3163</v>
      </c>
      <c r="AP295" s="1" t="s">
        <v>3164</v>
      </c>
      <c r="AQ295" s="1" t="s">
        <v>74</v>
      </c>
      <c r="AR295" s="1" t="s">
        <v>74</v>
      </c>
      <c r="AS295" s="1" t="s">
        <v>74</v>
      </c>
      <c r="AT295" s="1" t="s">
        <v>1363</v>
      </c>
      <c r="AU295" s="1">
        <v>2016.0</v>
      </c>
      <c r="AV295" s="1">
        <v>192.0</v>
      </c>
      <c r="AW295" s="1" t="s">
        <v>74</v>
      </c>
      <c r="AX295" s="1" t="s">
        <v>74</v>
      </c>
      <c r="AY295" s="1" t="s">
        <v>74</v>
      </c>
      <c r="AZ295" s="1" t="s">
        <v>74</v>
      </c>
      <c r="BA295" s="1" t="s">
        <v>74</v>
      </c>
      <c r="BB295" s="1">
        <v>395.0</v>
      </c>
      <c r="BC295" s="1">
        <v>401.0</v>
      </c>
      <c r="BD295" s="1" t="s">
        <v>74</v>
      </c>
      <c r="BE295" s="1" t="s">
        <v>3165</v>
      </c>
      <c r="BF295" s="2" t="str">
        <f>HYPERLINK("http://dx.doi.org/10.1016/j.foodchem.2015.07.036","http://dx.doi.org/10.1016/j.foodchem.2015.07.036")</f>
        <v>http://dx.doi.org/10.1016/j.foodchem.2015.07.036</v>
      </c>
      <c r="BG295" s="1" t="s">
        <v>74</v>
      </c>
      <c r="BH295" s="1" t="s">
        <v>74</v>
      </c>
      <c r="BI295" s="1" t="s">
        <v>74</v>
      </c>
      <c r="BJ295" s="1" t="s">
        <v>74</v>
      </c>
      <c r="BK295" s="1" t="s">
        <v>74</v>
      </c>
      <c r="BL295" s="1" t="s">
        <v>74</v>
      </c>
      <c r="BM295" s="1" t="s">
        <v>74</v>
      </c>
      <c r="BN295" s="1">
        <v>2.6304365E7</v>
      </c>
      <c r="BO295" s="1" t="s">
        <v>74</v>
      </c>
      <c r="BP295" s="1" t="s">
        <v>74</v>
      </c>
      <c r="BQ295" s="1" t="s">
        <v>74</v>
      </c>
      <c r="BR295" s="1" t="s">
        <v>74</v>
      </c>
      <c r="BS295" s="1" t="s">
        <v>3166</v>
      </c>
      <c r="BT295" s="1" t="str">
        <f>HYPERLINK("https%3A%2F%2Fwww.webofscience.com%2Fwos%2Fwoscc%2Ffull-record%2FWOS:000362304500053","View Full Record in Web of Science")</f>
        <v>View Full Record in Web of Science</v>
      </c>
    </row>
    <row r="296" ht="12.75" customHeight="1">
      <c r="A296" s="1" t="s">
        <v>72</v>
      </c>
      <c r="B296" s="1" t="s">
        <v>3167</v>
      </c>
      <c r="C296" s="1" t="s">
        <v>74</v>
      </c>
      <c r="D296" s="1" t="s">
        <v>74</v>
      </c>
      <c r="E296" s="1" t="s">
        <v>74</v>
      </c>
      <c r="F296" s="1" t="s">
        <v>3168</v>
      </c>
      <c r="G296" s="1" t="s">
        <v>74</v>
      </c>
      <c r="H296" s="1" t="s">
        <v>74</v>
      </c>
      <c r="I296" s="1" t="s">
        <v>3169</v>
      </c>
      <c r="J296" s="1" t="s">
        <v>3170</v>
      </c>
      <c r="K296" s="1" t="s">
        <v>74</v>
      </c>
      <c r="L296" s="1" t="s">
        <v>74</v>
      </c>
      <c r="M296" s="1" t="s">
        <v>74</v>
      </c>
      <c r="N296" s="1" t="s">
        <v>74</v>
      </c>
      <c r="O296" s="1" t="s">
        <v>74</v>
      </c>
      <c r="P296" s="1" t="s">
        <v>74</v>
      </c>
      <c r="Q296" s="1" t="s">
        <v>74</v>
      </c>
      <c r="R296" s="1" t="s">
        <v>74</v>
      </c>
      <c r="S296" s="1" t="s">
        <v>74</v>
      </c>
      <c r="T296" s="1" t="s">
        <v>74</v>
      </c>
      <c r="U296" s="1" t="s">
        <v>74</v>
      </c>
      <c r="V296" s="1" t="s">
        <v>3171</v>
      </c>
      <c r="W296" s="1" t="s">
        <v>74</v>
      </c>
      <c r="X296" s="1" t="s">
        <v>74</v>
      </c>
      <c r="Y296" s="1" t="s">
        <v>74</v>
      </c>
      <c r="Z296" s="1" t="s">
        <v>74</v>
      </c>
      <c r="AA296" s="1" t="s">
        <v>3172</v>
      </c>
      <c r="AB296" s="1" t="s">
        <v>3173</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3174</v>
      </c>
      <c r="AP296" s="1" t="s">
        <v>74</v>
      </c>
      <c r="AQ296" s="1" t="s">
        <v>74</v>
      </c>
      <c r="AR296" s="1" t="s">
        <v>74</v>
      </c>
      <c r="AS296" s="1" t="s">
        <v>74</v>
      </c>
      <c r="AT296" s="1" t="s">
        <v>271</v>
      </c>
      <c r="AU296" s="1">
        <v>2015.0</v>
      </c>
      <c r="AV296" s="1">
        <v>13.0</v>
      </c>
      <c r="AW296" s="1">
        <v>9.0</v>
      </c>
      <c r="AX296" s="1" t="s">
        <v>74</v>
      </c>
      <c r="AY296" s="1" t="s">
        <v>74</v>
      </c>
      <c r="AZ296" s="1" t="s">
        <v>74</v>
      </c>
      <c r="BA296" s="1" t="s">
        <v>74</v>
      </c>
      <c r="BB296" s="1">
        <v>3113.0</v>
      </c>
      <c r="BC296" s="1">
        <v>3119.0</v>
      </c>
      <c r="BD296" s="1" t="s">
        <v>74</v>
      </c>
      <c r="BE296" s="1" t="s">
        <v>3175</v>
      </c>
      <c r="BF296" s="2" t="str">
        <f>HYPERLINK("http://dx.doi.org/10.1109/TLA.2015.7350066","http://dx.doi.org/10.1109/TLA.2015.7350066")</f>
        <v>http://dx.doi.org/10.1109/TLA.2015.7350066</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3176</v>
      </c>
      <c r="BT296" s="1" t="str">
        <f>HYPERLINK("https%3A%2F%2Fwww.webofscience.com%2Fwos%2Fwoscc%2Ffull-record%2FWOS:000366502700043","View Full Record in Web of Science")</f>
        <v>View Full Record in Web of Science</v>
      </c>
    </row>
    <row r="297" ht="12.75" customHeight="1">
      <c r="A297" s="1" t="s">
        <v>72</v>
      </c>
      <c r="B297" s="1" t="s">
        <v>3177</v>
      </c>
      <c r="C297" s="1" t="s">
        <v>74</v>
      </c>
      <c r="D297" s="1" t="s">
        <v>74</v>
      </c>
      <c r="E297" s="1" t="s">
        <v>74</v>
      </c>
      <c r="F297" s="1" t="s">
        <v>3178</v>
      </c>
      <c r="G297" s="1" t="s">
        <v>74</v>
      </c>
      <c r="H297" s="1" t="s">
        <v>74</v>
      </c>
      <c r="I297" s="1" t="s">
        <v>3179</v>
      </c>
      <c r="J297" s="1" t="s">
        <v>3180</v>
      </c>
      <c r="K297" s="1" t="s">
        <v>74</v>
      </c>
      <c r="L297" s="1" t="s">
        <v>74</v>
      </c>
      <c r="M297" s="1" t="s">
        <v>74</v>
      </c>
      <c r="N297" s="1" t="s">
        <v>74</v>
      </c>
      <c r="O297" s="1" t="s">
        <v>3181</v>
      </c>
      <c r="P297" s="1" t="s">
        <v>3182</v>
      </c>
      <c r="Q297" s="1" t="s">
        <v>3183</v>
      </c>
      <c r="R297" s="1" t="s">
        <v>74</v>
      </c>
      <c r="S297" s="1" t="s">
        <v>74</v>
      </c>
      <c r="T297" s="1" t="s">
        <v>74</v>
      </c>
      <c r="U297" s="1" t="s">
        <v>74</v>
      </c>
      <c r="V297" s="1" t="s">
        <v>3184</v>
      </c>
      <c r="W297" s="1" t="s">
        <v>74</v>
      </c>
      <c r="X297" s="1" t="s">
        <v>74</v>
      </c>
      <c r="Y297" s="1" t="s">
        <v>74</v>
      </c>
      <c r="Z297" s="1" t="s">
        <v>74</v>
      </c>
      <c r="AA297" s="1" t="s">
        <v>3185</v>
      </c>
      <c r="AB297" s="1" t="s">
        <v>3186</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3187</v>
      </c>
      <c r="AP297" s="1" t="s">
        <v>3188</v>
      </c>
      <c r="AQ297" s="1" t="s">
        <v>74</v>
      </c>
      <c r="AR297" s="1" t="s">
        <v>74</v>
      </c>
      <c r="AS297" s="1" t="s">
        <v>74</v>
      </c>
      <c r="AT297" s="1" t="s">
        <v>177</v>
      </c>
      <c r="AU297" s="1">
        <v>2015.0</v>
      </c>
      <c r="AV297" s="1">
        <v>65.0</v>
      </c>
      <c r="AW297" s="1">
        <v>4.0</v>
      </c>
      <c r="AX297" s="1" t="s">
        <v>74</v>
      </c>
      <c r="AY297" s="1" t="s">
        <v>74</v>
      </c>
      <c r="AZ297" s="1" t="s">
        <v>569</v>
      </c>
      <c r="BA297" s="1" t="s">
        <v>74</v>
      </c>
      <c r="BB297" s="1">
        <v>289.0</v>
      </c>
      <c r="BC297" s="1">
        <v>305.0</v>
      </c>
      <c r="BD297" s="1" t="s">
        <v>74</v>
      </c>
      <c r="BE297" s="1" t="s">
        <v>3189</v>
      </c>
      <c r="BF297" s="2" t="str">
        <f>HYPERLINK("http://dx.doi.org/10.1002/net.21610","http://dx.doi.org/10.1002/net.21610")</f>
        <v>http://dx.doi.org/10.1002/net.21610</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3190</v>
      </c>
      <c r="BT297" s="1" t="str">
        <f>HYPERLINK("https%3A%2F%2Fwww.webofscience.com%2Fwos%2Fwoscc%2Ffull-record%2FWOS:000355881700002","View Full Record in Web of Science")</f>
        <v>View Full Record in Web of Science</v>
      </c>
    </row>
    <row r="298" ht="12.75" customHeight="1">
      <c r="A298" s="1" t="s">
        <v>72</v>
      </c>
      <c r="B298" s="1" t="s">
        <v>3191</v>
      </c>
      <c r="C298" s="1" t="s">
        <v>74</v>
      </c>
      <c r="D298" s="1" t="s">
        <v>74</v>
      </c>
      <c r="E298" s="1" t="s">
        <v>74</v>
      </c>
      <c r="F298" s="1" t="s">
        <v>3192</v>
      </c>
      <c r="G298" s="1" t="s">
        <v>74</v>
      </c>
      <c r="H298" s="1" t="s">
        <v>74</v>
      </c>
      <c r="I298" s="1" t="s">
        <v>3193</v>
      </c>
      <c r="J298" s="1" t="s">
        <v>3194</v>
      </c>
      <c r="K298" s="1" t="s">
        <v>74</v>
      </c>
      <c r="L298" s="1" t="s">
        <v>74</v>
      </c>
      <c r="M298" s="1" t="s">
        <v>74</v>
      </c>
      <c r="N298" s="1" t="s">
        <v>74</v>
      </c>
      <c r="O298" s="1" t="s">
        <v>74</v>
      </c>
      <c r="P298" s="1" t="s">
        <v>74</v>
      </c>
      <c r="Q298" s="1" t="s">
        <v>74</v>
      </c>
      <c r="R298" s="1" t="s">
        <v>74</v>
      </c>
      <c r="S298" s="1" t="s">
        <v>74</v>
      </c>
      <c r="T298" s="1" t="s">
        <v>74</v>
      </c>
      <c r="U298" s="1" t="s">
        <v>74</v>
      </c>
      <c r="V298" s="1" t="s">
        <v>3195</v>
      </c>
      <c r="W298" s="1" t="s">
        <v>74</v>
      </c>
      <c r="X298" s="1" t="s">
        <v>74</v>
      </c>
      <c r="Y298" s="1" t="s">
        <v>74</v>
      </c>
      <c r="Z298" s="1" t="s">
        <v>74</v>
      </c>
      <c r="AA298" s="1" t="s">
        <v>1889</v>
      </c>
      <c r="AB298" s="1" t="s">
        <v>74</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3196</v>
      </c>
      <c r="AP298" s="1" t="s">
        <v>74</v>
      </c>
      <c r="AQ298" s="1" t="s">
        <v>74</v>
      </c>
      <c r="AR298" s="1" t="s">
        <v>74</v>
      </c>
      <c r="AS298" s="1" t="s">
        <v>74</v>
      </c>
      <c r="AT298" s="1" t="s">
        <v>3197</v>
      </c>
      <c r="AU298" s="1">
        <v>2015.0</v>
      </c>
      <c r="AV298" s="1" t="s">
        <v>74</v>
      </c>
      <c r="AW298" s="1" t="s">
        <v>74</v>
      </c>
      <c r="AX298" s="1" t="s">
        <v>74</v>
      </c>
      <c r="AY298" s="1" t="s">
        <v>74</v>
      </c>
      <c r="AZ298" s="1" t="s">
        <v>74</v>
      </c>
      <c r="BA298" s="1" t="s">
        <v>74</v>
      </c>
      <c r="BB298" s="1" t="s">
        <v>74</v>
      </c>
      <c r="BC298" s="1" t="s">
        <v>74</v>
      </c>
      <c r="BD298" s="1">
        <v>46.0</v>
      </c>
      <c r="BE298" s="1" t="s">
        <v>3198</v>
      </c>
      <c r="BF298" s="2" t="str">
        <f>HYPERLINK("http://dx.doi.org/10.1186/s13662-015-0388-8","http://dx.doi.org/10.1186/s13662-015-0388-8")</f>
        <v>http://dx.doi.org/10.1186/s13662-015-0388-8</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3199</v>
      </c>
      <c r="BT298" s="1" t="str">
        <f>HYPERLINK("https%3A%2F%2Fwww.webofscience.com%2Fwos%2Fwoscc%2Ffull-record%2FWOS:000351302900004","View Full Record in Web of Science")</f>
        <v>View Full Record in Web of Science</v>
      </c>
    </row>
    <row r="299" ht="12.75" customHeight="1">
      <c r="A299" s="1" t="s">
        <v>72</v>
      </c>
      <c r="B299" s="1" t="s">
        <v>3200</v>
      </c>
      <c r="C299" s="1" t="s">
        <v>74</v>
      </c>
      <c r="D299" s="1" t="s">
        <v>74</v>
      </c>
      <c r="E299" s="1" t="s">
        <v>74</v>
      </c>
      <c r="F299" s="1" t="s">
        <v>3201</v>
      </c>
      <c r="G299" s="1" t="s">
        <v>74</v>
      </c>
      <c r="H299" s="1" t="s">
        <v>74</v>
      </c>
      <c r="I299" s="1" t="s">
        <v>3202</v>
      </c>
      <c r="J299" s="1" t="s">
        <v>3203</v>
      </c>
      <c r="K299" s="1" t="s">
        <v>74</v>
      </c>
      <c r="L299" s="1" t="s">
        <v>74</v>
      </c>
      <c r="M299" s="1" t="s">
        <v>74</v>
      </c>
      <c r="N299" s="1" t="s">
        <v>74</v>
      </c>
      <c r="O299" s="1" t="s">
        <v>74</v>
      </c>
      <c r="P299" s="1" t="s">
        <v>74</v>
      </c>
      <c r="Q299" s="1" t="s">
        <v>74</v>
      </c>
      <c r="R299" s="1" t="s">
        <v>74</v>
      </c>
      <c r="S299" s="1" t="s">
        <v>74</v>
      </c>
      <c r="T299" s="1" t="s">
        <v>74</v>
      </c>
      <c r="U299" s="1" t="s">
        <v>74</v>
      </c>
      <c r="V299" s="1" t="s">
        <v>3204</v>
      </c>
      <c r="W299" s="1" t="s">
        <v>74</v>
      </c>
      <c r="X299" s="1" t="s">
        <v>74</v>
      </c>
      <c r="Y299" s="1" t="s">
        <v>74</v>
      </c>
      <c r="Z299" s="1" t="s">
        <v>74</v>
      </c>
      <c r="AA299" s="1" t="s">
        <v>3205</v>
      </c>
      <c r="AB299" s="1" t="s">
        <v>3206</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3207</v>
      </c>
      <c r="AP299" s="1" t="s">
        <v>3208</v>
      </c>
      <c r="AQ299" s="1" t="s">
        <v>74</v>
      </c>
      <c r="AR299" s="1" t="s">
        <v>74</v>
      </c>
      <c r="AS299" s="1" t="s">
        <v>74</v>
      </c>
      <c r="AT299" s="1" t="s">
        <v>1106</v>
      </c>
      <c r="AU299" s="1">
        <v>2015.0</v>
      </c>
      <c r="AV299" s="1">
        <v>57.0</v>
      </c>
      <c r="AW299" s="1">
        <v>1.0</v>
      </c>
      <c r="AX299" s="1" t="s">
        <v>74</v>
      </c>
      <c r="AY299" s="1" t="s">
        <v>74</v>
      </c>
      <c r="AZ299" s="1" t="s">
        <v>74</v>
      </c>
      <c r="BA299" s="1" t="s">
        <v>74</v>
      </c>
      <c r="BB299" s="1">
        <v>143.0</v>
      </c>
      <c r="BC299" s="1">
        <v>149.0</v>
      </c>
      <c r="BD299" s="1" t="s">
        <v>74</v>
      </c>
      <c r="BE299" s="1" t="s">
        <v>3209</v>
      </c>
      <c r="BF299" s="2" t="str">
        <f>HYPERLINK("http://dx.doi.org/10.1007/s10144-014-0457-y","http://dx.doi.org/10.1007/s10144-014-0457-y")</f>
        <v>http://dx.doi.org/10.1007/s10144-014-0457-y</v>
      </c>
      <c r="BG299" s="1" t="s">
        <v>74</v>
      </c>
      <c r="BH299" s="1" t="s">
        <v>74</v>
      </c>
      <c r="BI299" s="1" t="s">
        <v>74</v>
      </c>
      <c r="BJ299" s="1" t="s">
        <v>74</v>
      </c>
      <c r="BK299" s="1" t="s">
        <v>74</v>
      </c>
      <c r="BL299" s="1" t="s">
        <v>74</v>
      </c>
      <c r="BM299" s="1" t="s">
        <v>74</v>
      </c>
      <c r="BN299" s="1" t="s">
        <v>74</v>
      </c>
      <c r="BO299" s="1" t="s">
        <v>74</v>
      </c>
      <c r="BP299" s="1" t="s">
        <v>74</v>
      </c>
      <c r="BQ299" s="1" t="s">
        <v>74</v>
      </c>
      <c r="BR299" s="1" t="s">
        <v>74</v>
      </c>
      <c r="BS299" s="1" t="s">
        <v>3210</v>
      </c>
      <c r="BT299" s="1" t="str">
        <f>HYPERLINK("https%3A%2F%2Fwww.webofscience.com%2Fwos%2Fwoscc%2Ffull-record%2FWOS:000352076300013","View Full Record in Web of Science")</f>
        <v>View Full Record in Web of Science</v>
      </c>
    </row>
    <row r="300" ht="12.75" customHeight="1">
      <c r="A300" s="1" t="s">
        <v>72</v>
      </c>
      <c r="B300" s="1" t="s">
        <v>3211</v>
      </c>
      <c r="C300" s="1" t="s">
        <v>74</v>
      </c>
      <c r="D300" s="1" t="s">
        <v>74</v>
      </c>
      <c r="E300" s="1" t="s">
        <v>74</v>
      </c>
      <c r="F300" s="1" t="s">
        <v>3212</v>
      </c>
      <c r="G300" s="1" t="s">
        <v>74</v>
      </c>
      <c r="H300" s="1" t="s">
        <v>74</v>
      </c>
      <c r="I300" s="1" t="s">
        <v>3213</v>
      </c>
      <c r="J300" s="1" t="s">
        <v>1497</v>
      </c>
      <c r="K300" s="1" t="s">
        <v>74</v>
      </c>
      <c r="L300" s="1" t="s">
        <v>74</v>
      </c>
      <c r="M300" s="1" t="s">
        <v>74</v>
      </c>
      <c r="N300" s="1" t="s">
        <v>74</v>
      </c>
      <c r="O300" s="1" t="s">
        <v>74</v>
      </c>
      <c r="P300" s="1" t="s">
        <v>74</v>
      </c>
      <c r="Q300" s="1" t="s">
        <v>74</v>
      </c>
      <c r="R300" s="1" t="s">
        <v>74</v>
      </c>
      <c r="S300" s="1" t="s">
        <v>74</v>
      </c>
      <c r="T300" s="1" t="s">
        <v>74</v>
      </c>
      <c r="U300" s="1" t="s">
        <v>74</v>
      </c>
      <c r="V300" s="1" t="s">
        <v>3214</v>
      </c>
      <c r="W300" s="1" t="s">
        <v>74</v>
      </c>
      <c r="X300" s="1" t="s">
        <v>74</v>
      </c>
      <c r="Y300" s="1" t="s">
        <v>74</v>
      </c>
      <c r="Z300" s="1" t="s">
        <v>74</v>
      </c>
      <c r="AA300" s="1" t="s">
        <v>3215</v>
      </c>
      <c r="AB300" s="1" t="s">
        <v>3216</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1501</v>
      </c>
      <c r="AP300" s="1" t="s">
        <v>74</v>
      </c>
      <c r="AQ300" s="1" t="s">
        <v>74</v>
      </c>
      <c r="AR300" s="1" t="s">
        <v>74</v>
      </c>
      <c r="AS300" s="1" t="s">
        <v>74</v>
      </c>
      <c r="AT300" s="1" t="s">
        <v>3217</v>
      </c>
      <c r="AU300" s="1">
        <v>2014.0</v>
      </c>
      <c r="AV300" s="1">
        <v>9.0</v>
      </c>
      <c r="AW300" s="1">
        <v>11.0</v>
      </c>
      <c r="AX300" s="1" t="s">
        <v>74</v>
      </c>
      <c r="AY300" s="1" t="s">
        <v>74</v>
      </c>
      <c r="AZ300" s="1" t="s">
        <v>74</v>
      </c>
      <c r="BA300" s="1" t="s">
        <v>74</v>
      </c>
      <c r="BB300" s="1" t="s">
        <v>74</v>
      </c>
      <c r="BC300" s="1" t="s">
        <v>74</v>
      </c>
      <c r="BD300" s="1" t="s">
        <v>3218</v>
      </c>
      <c r="BE300" s="1" t="s">
        <v>3219</v>
      </c>
      <c r="BF300" s="2" t="str">
        <f>HYPERLINK("http://dx.doi.org/10.1371/journal.pone.0112226","http://dx.doi.org/10.1371/journal.pone.0112226")</f>
        <v>http://dx.doi.org/10.1371/journal.pone.0112226</v>
      </c>
      <c r="BG300" s="1" t="s">
        <v>74</v>
      </c>
      <c r="BH300" s="1" t="s">
        <v>74</v>
      </c>
      <c r="BI300" s="1" t="s">
        <v>74</v>
      </c>
      <c r="BJ300" s="1" t="s">
        <v>74</v>
      </c>
      <c r="BK300" s="1" t="s">
        <v>74</v>
      </c>
      <c r="BL300" s="1" t="s">
        <v>74</v>
      </c>
      <c r="BM300" s="1" t="s">
        <v>74</v>
      </c>
      <c r="BN300" s="1">
        <v>2.5384039E7</v>
      </c>
      <c r="BO300" s="1" t="s">
        <v>74</v>
      </c>
      <c r="BP300" s="1" t="s">
        <v>74</v>
      </c>
      <c r="BQ300" s="1" t="s">
        <v>74</v>
      </c>
      <c r="BR300" s="1" t="s">
        <v>74</v>
      </c>
      <c r="BS300" s="1" t="s">
        <v>3220</v>
      </c>
      <c r="BT300" s="1" t="str">
        <f>HYPERLINK("https%3A%2F%2Fwww.webofscience.com%2Fwos%2Fwoscc%2Ffull-record%2FWOS:000344816700041","View Full Record in Web of Science")</f>
        <v>View Full Record in Web of Science</v>
      </c>
    </row>
    <row r="301" ht="12.75" customHeight="1">
      <c r="A301" s="1" t="s">
        <v>72</v>
      </c>
      <c r="B301" s="1" t="s">
        <v>3221</v>
      </c>
      <c r="C301" s="1" t="s">
        <v>74</v>
      </c>
      <c r="D301" s="1" t="s">
        <v>74</v>
      </c>
      <c r="E301" s="1" t="s">
        <v>74</v>
      </c>
      <c r="F301" s="1" t="s">
        <v>3222</v>
      </c>
      <c r="G301" s="1" t="s">
        <v>74</v>
      </c>
      <c r="H301" s="1" t="s">
        <v>74</v>
      </c>
      <c r="I301" s="1" t="s">
        <v>3223</v>
      </c>
      <c r="J301" s="1" t="s">
        <v>3224</v>
      </c>
      <c r="K301" s="1" t="s">
        <v>74</v>
      </c>
      <c r="L301" s="1" t="s">
        <v>74</v>
      </c>
      <c r="M301" s="1" t="s">
        <v>74</v>
      </c>
      <c r="N301" s="1" t="s">
        <v>74</v>
      </c>
      <c r="O301" s="1" t="s">
        <v>74</v>
      </c>
      <c r="P301" s="1" t="s">
        <v>74</v>
      </c>
      <c r="Q301" s="1" t="s">
        <v>74</v>
      </c>
      <c r="R301" s="1" t="s">
        <v>74</v>
      </c>
      <c r="S301" s="1" t="s">
        <v>74</v>
      </c>
      <c r="T301" s="1" t="s">
        <v>74</v>
      </c>
      <c r="U301" s="1" t="s">
        <v>74</v>
      </c>
      <c r="V301" s="1" t="s">
        <v>3225</v>
      </c>
      <c r="W301" s="1" t="s">
        <v>74</v>
      </c>
      <c r="X301" s="1" t="s">
        <v>74</v>
      </c>
      <c r="Y301" s="1" t="s">
        <v>74</v>
      </c>
      <c r="Z301" s="1" t="s">
        <v>74</v>
      </c>
      <c r="AA301" s="1" t="s">
        <v>74</v>
      </c>
      <c r="AB301" s="1" t="s">
        <v>74</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3226</v>
      </c>
      <c r="AP301" s="1" t="s">
        <v>3227</v>
      </c>
      <c r="AQ301" s="1" t="s">
        <v>74</v>
      </c>
      <c r="AR301" s="1" t="s">
        <v>74</v>
      </c>
      <c r="AS301" s="1" t="s">
        <v>74</v>
      </c>
      <c r="AT301" s="1" t="s">
        <v>374</v>
      </c>
      <c r="AU301" s="1">
        <v>2014.0</v>
      </c>
      <c r="AV301" s="1">
        <v>45.0</v>
      </c>
      <c r="AW301" s="1">
        <v>6.0</v>
      </c>
      <c r="AX301" s="1" t="s">
        <v>74</v>
      </c>
      <c r="AY301" s="1" t="s">
        <v>74</v>
      </c>
      <c r="AZ301" s="1" t="s">
        <v>74</v>
      </c>
      <c r="BA301" s="1" t="s">
        <v>74</v>
      </c>
      <c r="BB301" s="1">
        <v>1416.0</v>
      </c>
      <c r="BC301" s="1">
        <v>1448.0</v>
      </c>
      <c r="BD301" s="1" t="s">
        <v>74</v>
      </c>
      <c r="BE301" s="1" t="s">
        <v>3228</v>
      </c>
      <c r="BF301" s="2" t="str">
        <f>HYPERLINK("http://dx.doi.org/10.1111/dech.12133","http://dx.doi.org/10.1111/dech.12133")</f>
        <v>http://dx.doi.org/10.1111/dech.12133</v>
      </c>
      <c r="BG301" s="1" t="s">
        <v>74</v>
      </c>
      <c r="BH301" s="1" t="s">
        <v>74</v>
      </c>
      <c r="BI301" s="1" t="s">
        <v>74</v>
      </c>
      <c r="BJ301" s="1" t="s">
        <v>74</v>
      </c>
      <c r="BK301" s="1" t="s">
        <v>74</v>
      </c>
      <c r="BL301" s="1" t="s">
        <v>74</v>
      </c>
      <c r="BM301" s="1" t="s">
        <v>74</v>
      </c>
      <c r="BN301" s="1" t="s">
        <v>74</v>
      </c>
      <c r="BO301" s="1" t="s">
        <v>74</v>
      </c>
      <c r="BP301" s="1" t="s">
        <v>74</v>
      </c>
      <c r="BQ301" s="1" t="s">
        <v>74</v>
      </c>
      <c r="BR301" s="1" t="s">
        <v>74</v>
      </c>
      <c r="BS301" s="1" t="s">
        <v>3229</v>
      </c>
      <c r="BT301" s="1" t="str">
        <f>HYPERLINK("https%3A%2F%2Fwww.webofscience.com%2Fwos%2Fwoscc%2Ffull-record%2FWOS:000345504800009","View Full Record in Web of Science")</f>
        <v>View Full Record in Web of Science</v>
      </c>
    </row>
    <row r="302" ht="12.75" customHeight="1">
      <c r="A302" s="1" t="s">
        <v>72</v>
      </c>
      <c r="B302" s="1" t="s">
        <v>3230</v>
      </c>
      <c r="C302" s="1" t="s">
        <v>74</v>
      </c>
      <c r="D302" s="1" t="s">
        <v>74</v>
      </c>
      <c r="E302" s="1" t="s">
        <v>74</v>
      </c>
      <c r="F302" s="1" t="s">
        <v>3231</v>
      </c>
      <c r="G302" s="1" t="s">
        <v>74</v>
      </c>
      <c r="H302" s="1" t="s">
        <v>74</v>
      </c>
      <c r="I302" s="1" t="s">
        <v>3232</v>
      </c>
      <c r="J302" s="1" t="s">
        <v>3233</v>
      </c>
      <c r="K302" s="1" t="s">
        <v>74</v>
      </c>
      <c r="L302" s="1" t="s">
        <v>74</v>
      </c>
      <c r="M302" s="1" t="s">
        <v>74</v>
      </c>
      <c r="N302" s="1" t="s">
        <v>74</v>
      </c>
      <c r="O302" s="1" t="s">
        <v>74</v>
      </c>
      <c r="P302" s="1" t="s">
        <v>74</v>
      </c>
      <c r="Q302" s="1" t="s">
        <v>74</v>
      </c>
      <c r="R302" s="1" t="s">
        <v>74</v>
      </c>
      <c r="S302" s="1" t="s">
        <v>74</v>
      </c>
      <c r="T302" s="1" t="s">
        <v>74</v>
      </c>
      <c r="U302" s="1" t="s">
        <v>74</v>
      </c>
      <c r="V302" s="1" t="s">
        <v>3234</v>
      </c>
      <c r="W302" s="1" t="s">
        <v>74</v>
      </c>
      <c r="X302" s="1" t="s">
        <v>74</v>
      </c>
      <c r="Y302" s="1" t="s">
        <v>74</v>
      </c>
      <c r="Z302" s="1" t="s">
        <v>74</v>
      </c>
      <c r="AA302" s="1" t="s">
        <v>2074</v>
      </c>
      <c r="AB302" s="1" t="s">
        <v>3235</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3236</v>
      </c>
      <c r="AP302" s="1" t="s">
        <v>3237</v>
      </c>
      <c r="AQ302" s="1" t="s">
        <v>74</v>
      </c>
      <c r="AR302" s="1" t="s">
        <v>74</v>
      </c>
      <c r="AS302" s="1" t="s">
        <v>74</v>
      </c>
      <c r="AT302" s="1" t="s">
        <v>282</v>
      </c>
      <c r="AU302" s="1">
        <v>2014.0</v>
      </c>
      <c r="AV302" s="1">
        <v>11.0</v>
      </c>
      <c r="AW302" s="1">
        <v>4.0</v>
      </c>
      <c r="AX302" s="1" t="s">
        <v>74</v>
      </c>
      <c r="AY302" s="1" t="s">
        <v>74</v>
      </c>
      <c r="AZ302" s="1" t="s">
        <v>74</v>
      </c>
      <c r="BA302" s="1" t="s">
        <v>74</v>
      </c>
      <c r="BB302" s="1">
        <v>1021.0</v>
      </c>
      <c r="BC302" s="1">
        <v>1026.0</v>
      </c>
      <c r="BD302" s="1" t="s">
        <v>74</v>
      </c>
      <c r="BE302" s="1" t="s">
        <v>3238</v>
      </c>
      <c r="BF302" s="2" t="str">
        <f>HYPERLINK("http://dx.doi.org/10.1007/s13738-013-0370-x","http://dx.doi.org/10.1007/s13738-013-0370-x")</f>
        <v>http://dx.doi.org/10.1007/s13738-013-0370-x</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3239</v>
      </c>
      <c r="BT302" s="1" t="str">
        <f>HYPERLINK("https%3A%2F%2Fwww.webofscience.com%2Fwos%2Fwoscc%2Ffull-record%2FWOS:000337597000011","View Full Record in Web of Science")</f>
        <v>View Full Record in Web of Science</v>
      </c>
    </row>
    <row r="303" ht="12.75" customHeight="1">
      <c r="A303" s="1" t="s">
        <v>207</v>
      </c>
      <c r="B303" s="1" t="s">
        <v>3240</v>
      </c>
      <c r="C303" s="1" t="s">
        <v>74</v>
      </c>
      <c r="D303" s="1" t="s">
        <v>74</v>
      </c>
      <c r="E303" s="1" t="s">
        <v>224</v>
      </c>
      <c r="F303" s="1" t="s">
        <v>3241</v>
      </c>
      <c r="G303" s="1" t="s">
        <v>74</v>
      </c>
      <c r="H303" s="1" t="s">
        <v>74</v>
      </c>
      <c r="I303" s="1" t="s">
        <v>3242</v>
      </c>
      <c r="J303" s="1" t="s">
        <v>3243</v>
      </c>
      <c r="K303" s="1" t="s">
        <v>74</v>
      </c>
      <c r="L303" s="1" t="s">
        <v>74</v>
      </c>
      <c r="M303" s="1" t="s">
        <v>74</v>
      </c>
      <c r="N303" s="1" t="s">
        <v>74</v>
      </c>
      <c r="O303" s="1" t="s">
        <v>3244</v>
      </c>
      <c r="P303" s="1" t="s">
        <v>3245</v>
      </c>
      <c r="Q303" s="1" t="s">
        <v>3246</v>
      </c>
      <c r="R303" s="1" t="s">
        <v>3247</v>
      </c>
      <c r="S303" s="1" t="s">
        <v>3248</v>
      </c>
      <c r="T303" s="1" t="s">
        <v>74</v>
      </c>
      <c r="U303" s="1" t="s">
        <v>74</v>
      </c>
      <c r="V303" s="1" t="s">
        <v>3249</v>
      </c>
      <c r="W303" s="1" t="s">
        <v>74</v>
      </c>
      <c r="X303" s="1" t="s">
        <v>74</v>
      </c>
      <c r="Y303" s="1" t="s">
        <v>74</v>
      </c>
      <c r="Z303" s="1" t="s">
        <v>74</v>
      </c>
      <c r="AA303" s="1" t="s">
        <v>3250</v>
      </c>
      <c r="AB303" s="1" t="s">
        <v>3251</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74</v>
      </c>
      <c r="AP303" s="1" t="s">
        <v>74</v>
      </c>
      <c r="AQ303" s="1" t="s">
        <v>3252</v>
      </c>
      <c r="AR303" s="1" t="s">
        <v>74</v>
      </c>
      <c r="AS303" s="1" t="s">
        <v>74</v>
      </c>
      <c r="AT303" s="1" t="s">
        <v>74</v>
      </c>
      <c r="AU303" s="1">
        <v>2014.0</v>
      </c>
      <c r="AV303" s="1" t="s">
        <v>74</v>
      </c>
      <c r="AW303" s="1" t="s">
        <v>74</v>
      </c>
      <c r="AX303" s="1" t="s">
        <v>74</v>
      </c>
      <c r="AY303" s="1" t="s">
        <v>74</v>
      </c>
      <c r="AZ303" s="1" t="s">
        <v>74</v>
      </c>
      <c r="BA303" s="1" t="s">
        <v>74</v>
      </c>
      <c r="BB303" s="1">
        <v>1915.0</v>
      </c>
      <c r="BC303" s="1">
        <v>1920.0</v>
      </c>
      <c r="BD303" s="1" t="s">
        <v>74</v>
      </c>
      <c r="BE303" s="1" t="s">
        <v>74</v>
      </c>
      <c r="BF303" s="1" t="s">
        <v>74</v>
      </c>
      <c r="BG303" s="1" t="s">
        <v>74</v>
      </c>
      <c r="BH303" s="1" t="s">
        <v>74</v>
      </c>
      <c r="BI303" s="1" t="s">
        <v>74</v>
      </c>
      <c r="BJ303" s="1" t="s">
        <v>74</v>
      </c>
      <c r="BK303" s="1" t="s">
        <v>74</v>
      </c>
      <c r="BL303" s="1" t="s">
        <v>74</v>
      </c>
      <c r="BM303" s="1" t="s">
        <v>74</v>
      </c>
      <c r="BN303" s="1" t="s">
        <v>74</v>
      </c>
      <c r="BO303" s="1" t="s">
        <v>74</v>
      </c>
      <c r="BP303" s="1" t="s">
        <v>74</v>
      </c>
      <c r="BQ303" s="1" t="s">
        <v>74</v>
      </c>
      <c r="BR303" s="1" t="s">
        <v>74</v>
      </c>
      <c r="BS303" s="1" t="s">
        <v>3253</v>
      </c>
      <c r="BT303" s="1" t="str">
        <f>HYPERLINK("https%3A%2F%2Fwww.webofscience.com%2Fwos%2Fwoscc%2Ffull-record%2FWOS:000349955702035","View Full Record in Web of Science")</f>
        <v>View Full Record in Web of Science</v>
      </c>
    </row>
    <row r="304" ht="12.75" customHeight="1">
      <c r="A304" s="1" t="s">
        <v>72</v>
      </c>
      <c r="B304" s="1" t="s">
        <v>3254</v>
      </c>
      <c r="C304" s="1" t="s">
        <v>74</v>
      </c>
      <c r="D304" s="1" t="s">
        <v>74</v>
      </c>
      <c r="E304" s="1" t="s">
        <v>74</v>
      </c>
      <c r="F304" s="1" t="s">
        <v>3255</v>
      </c>
      <c r="G304" s="1" t="s">
        <v>74</v>
      </c>
      <c r="H304" s="1" t="s">
        <v>74</v>
      </c>
      <c r="I304" s="1" t="s">
        <v>3256</v>
      </c>
      <c r="J304" s="1" t="s">
        <v>1577</v>
      </c>
      <c r="K304" s="1" t="s">
        <v>74</v>
      </c>
      <c r="L304" s="1" t="s">
        <v>74</v>
      </c>
      <c r="M304" s="1" t="s">
        <v>74</v>
      </c>
      <c r="N304" s="1" t="s">
        <v>74</v>
      </c>
      <c r="O304" s="1" t="s">
        <v>74</v>
      </c>
      <c r="P304" s="1" t="s">
        <v>74</v>
      </c>
      <c r="Q304" s="1" t="s">
        <v>74</v>
      </c>
      <c r="R304" s="1" t="s">
        <v>74</v>
      </c>
      <c r="S304" s="1" t="s">
        <v>74</v>
      </c>
      <c r="T304" s="1" t="s">
        <v>74</v>
      </c>
      <c r="U304" s="1" t="s">
        <v>74</v>
      </c>
      <c r="V304" s="1" t="s">
        <v>3257</v>
      </c>
      <c r="W304" s="1" t="s">
        <v>74</v>
      </c>
      <c r="X304" s="1" t="s">
        <v>74</v>
      </c>
      <c r="Y304" s="1" t="s">
        <v>74</v>
      </c>
      <c r="Z304" s="1" t="s">
        <v>74</v>
      </c>
      <c r="AA304" s="1" t="s">
        <v>74</v>
      </c>
      <c r="AB304" s="1" t="s">
        <v>3258</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2765</v>
      </c>
      <c r="AP304" s="1" t="s">
        <v>74</v>
      </c>
      <c r="AQ304" s="1" t="s">
        <v>74</v>
      </c>
      <c r="AR304" s="1" t="s">
        <v>74</v>
      </c>
      <c r="AS304" s="1" t="s">
        <v>74</v>
      </c>
      <c r="AT304" s="1" t="s">
        <v>164</v>
      </c>
      <c r="AU304" s="1">
        <v>2013.0</v>
      </c>
      <c r="AV304" s="1">
        <v>58.0</v>
      </c>
      <c r="AW304" s="1">
        <v>4.0</v>
      </c>
      <c r="AX304" s="1" t="s">
        <v>74</v>
      </c>
      <c r="AY304" s="1" t="s">
        <v>74</v>
      </c>
      <c r="AZ304" s="1" t="s">
        <v>74</v>
      </c>
      <c r="BA304" s="1" t="s">
        <v>74</v>
      </c>
      <c r="BB304" s="1">
        <v>2136.0</v>
      </c>
      <c r="BC304" s="1">
        <v>2137.0</v>
      </c>
      <c r="BD304" s="1" t="s">
        <v>74</v>
      </c>
      <c r="BE304" s="1" t="s">
        <v>74</v>
      </c>
      <c r="BF304" s="1" t="s">
        <v>74</v>
      </c>
      <c r="BG304" s="1" t="s">
        <v>74</v>
      </c>
      <c r="BH304" s="1" t="s">
        <v>74</v>
      </c>
      <c r="BI304" s="1" t="s">
        <v>74</v>
      </c>
      <c r="BJ304" s="1" t="s">
        <v>74</v>
      </c>
      <c r="BK304" s="1" t="s">
        <v>74</v>
      </c>
      <c r="BL304" s="1" t="s">
        <v>74</v>
      </c>
      <c r="BM304" s="1" t="s">
        <v>74</v>
      </c>
      <c r="BN304" s="1" t="s">
        <v>74</v>
      </c>
      <c r="BO304" s="1" t="s">
        <v>74</v>
      </c>
      <c r="BP304" s="1" t="s">
        <v>74</v>
      </c>
      <c r="BQ304" s="1" t="s">
        <v>74</v>
      </c>
      <c r="BR304" s="1" t="s">
        <v>74</v>
      </c>
      <c r="BS304" s="1" t="s">
        <v>3259</v>
      </c>
      <c r="BT304" s="1" t="str">
        <f>HYPERLINK("https%3A%2F%2Fwww.webofscience.com%2Fwos%2Fwoscc%2Ffull-record%2FWOS:000331238800048","View Full Record in Web of Science")</f>
        <v>View Full Record in Web of Science</v>
      </c>
    </row>
    <row r="305" ht="12.75" customHeight="1">
      <c r="A305" s="1" t="s">
        <v>72</v>
      </c>
      <c r="B305" s="1" t="s">
        <v>3260</v>
      </c>
      <c r="C305" s="1" t="s">
        <v>74</v>
      </c>
      <c r="D305" s="1" t="s">
        <v>74</v>
      </c>
      <c r="E305" s="1" t="s">
        <v>74</v>
      </c>
      <c r="F305" s="1" t="s">
        <v>3261</v>
      </c>
      <c r="G305" s="1" t="s">
        <v>74</v>
      </c>
      <c r="H305" s="1" t="s">
        <v>74</v>
      </c>
      <c r="I305" s="1" t="s">
        <v>3262</v>
      </c>
      <c r="J305" s="1" t="s">
        <v>3263</v>
      </c>
      <c r="K305" s="1" t="s">
        <v>74</v>
      </c>
      <c r="L305" s="1" t="s">
        <v>74</v>
      </c>
      <c r="M305" s="1" t="s">
        <v>74</v>
      </c>
      <c r="N305" s="1" t="s">
        <v>74</v>
      </c>
      <c r="O305" s="1" t="s">
        <v>74</v>
      </c>
      <c r="P305" s="1" t="s">
        <v>74</v>
      </c>
      <c r="Q305" s="1" t="s">
        <v>74</v>
      </c>
      <c r="R305" s="1" t="s">
        <v>74</v>
      </c>
      <c r="S305" s="1" t="s">
        <v>74</v>
      </c>
      <c r="T305" s="1" t="s">
        <v>74</v>
      </c>
      <c r="U305" s="1" t="s">
        <v>74</v>
      </c>
      <c r="V305" s="1" t="s">
        <v>3264</v>
      </c>
      <c r="W305" s="1" t="s">
        <v>74</v>
      </c>
      <c r="X305" s="1" t="s">
        <v>74</v>
      </c>
      <c r="Y305" s="1" t="s">
        <v>74</v>
      </c>
      <c r="Z305" s="1" t="s">
        <v>74</v>
      </c>
      <c r="AA305" s="1" t="s">
        <v>3265</v>
      </c>
      <c r="AB305" s="1" t="s">
        <v>3266</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3267</v>
      </c>
      <c r="AP305" s="1" t="s">
        <v>3268</v>
      </c>
      <c r="AQ305" s="1" t="s">
        <v>74</v>
      </c>
      <c r="AR305" s="1" t="s">
        <v>74</v>
      </c>
      <c r="AS305" s="1" t="s">
        <v>74</v>
      </c>
      <c r="AT305" s="1" t="s">
        <v>3269</v>
      </c>
      <c r="AU305" s="1">
        <v>2012.0</v>
      </c>
      <c r="AV305" s="1">
        <v>90.0</v>
      </c>
      <c r="AW305" s="1">
        <v>2.0</v>
      </c>
      <c r="AX305" s="1" t="s">
        <v>74</v>
      </c>
      <c r="AY305" s="1" t="s">
        <v>74</v>
      </c>
      <c r="AZ305" s="1" t="s">
        <v>74</v>
      </c>
      <c r="BA305" s="1" t="s">
        <v>74</v>
      </c>
      <c r="BB305" s="1">
        <v>1147.0</v>
      </c>
      <c r="BC305" s="1">
        <v>1158.0</v>
      </c>
      <c r="BD305" s="1" t="s">
        <v>74</v>
      </c>
      <c r="BE305" s="1" t="s">
        <v>3270</v>
      </c>
      <c r="BF305" s="2" t="str">
        <f>HYPERLINK("http://dx.doi.org/10.1016/j.carbpol.2012.06.066","http://dx.doi.org/10.1016/j.carbpol.2012.06.066")</f>
        <v>http://dx.doi.org/10.1016/j.carbpol.2012.06.066</v>
      </c>
      <c r="BG305" s="1" t="s">
        <v>74</v>
      </c>
      <c r="BH305" s="1" t="s">
        <v>74</v>
      </c>
      <c r="BI305" s="1" t="s">
        <v>74</v>
      </c>
      <c r="BJ305" s="1" t="s">
        <v>74</v>
      </c>
      <c r="BK305" s="1" t="s">
        <v>74</v>
      </c>
      <c r="BL305" s="1" t="s">
        <v>74</v>
      </c>
      <c r="BM305" s="1" t="s">
        <v>74</v>
      </c>
      <c r="BN305" s="1">
        <v>2.2840052E7</v>
      </c>
      <c r="BO305" s="1" t="s">
        <v>74</v>
      </c>
      <c r="BP305" s="1" t="s">
        <v>74</v>
      </c>
      <c r="BQ305" s="1" t="s">
        <v>74</v>
      </c>
      <c r="BR305" s="1" t="s">
        <v>74</v>
      </c>
      <c r="BS305" s="1" t="s">
        <v>3271</v>
      </c>
      <c r="BT305" s="1" t="str">
        <f>HYPERLINK("https%3A%2F%2Fwww.webofscience.com%2Fwos%2Fwoscc%2Ffull-record%2FWOS:000307616500055","View Full Record in Web of Science")</f>
        <v>View Full Record in Web of Science</v>
      </c>
    </row>
    <row r="306" ht="12.75" customHeight="1">
      <c r="A306" s="1" t="s">
        <v>207</v>
      </c>
      <c r="B306" s="1" t="s">
        <v>3272</v>
      </c>
      <c r="C306" s="1" t="s">
        <v>74</v>
      </c>
      <c r="D306" s="1" t="s">
        <v>74</v>
      </c>
      <c r="E306" s="1" t="s">
        <v>224</v>
      </c>
      <c r="F306" s="1" t="s">
        <v>3273</v>
      </c>
      <c r="G306" s="1" t="s">
        <v>74</v>
      </c>
      <c r="H306" s="1" t="s">
        <v>74</v>
      </c>
      <c r="I306" s="1" t="s">
        <v>3274</v>
      </c>
      <c r="J306" s="1" t="s">
        <v>3275</v>
      </c>
      <c r="K306" s="1" t="s">
        <v>2445</v>
      </c>
      <c r="L306" s="1" t="s">
        <v>74</v>
      </c>
      <c r="M306" s="1" t="s">
        <v>74</v>
      </c>
      <c r="N306" s="1" t="s">
        <v>74</v>
      </c>
      <c r="O306" s="1" t="s">
        <v>3276</v>
      </c>
      <c r="P306" s="1" t="s">
        <v>3277</v>
      </c>
      <c r="Q306" s="1" t="s">
        <v>3278</v>
      </c>
      <c r="R306" s="1" t="s">
        <v>3279</v>
      </c>
      <c r="S306" s="1" t="s">
        <v>74</v>
      </c>
      <c r="T306" s="1" t="s">
        <v>74</v>
      </c>
      <c r="U306" s="1" t="s">
        <v>74</v>
      </c>
      <c r="V306" s="1" t="s">
        <v>3280</v>
      </c>
      <c r="W306" s="1" t="s">
        <v>74</v>
      </c>
      <c r="X306" s="1" t="s">
        <v>74</v>
      </c>
      <c r="Y306" s="1" t="s">
        <v>74</v>
      </c>
      <c r="Z306" s="1" t="s">
        <v>74</v>
      </c>
      <c r="AA306" s="1" t="s">
        <v>3281</v>
      </c>
      <c r="AB306" s="1" t="s">
        <v>3251</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2452</v>
      </c>
      <c r="AP306" s="1" t="s">
        <v>74</v>
      </c>
      <c r="AQ306" s="1" t="s">
        <v>3282</v>
      </c>
      <c r="AR306" s="1" t="s">
        <v>74</v>
      </c>
      <c r="AS306" s="1" t="s">
        <v>74</v>
      </c>
      <c r="AT306" s="1" t="s">
        <v>74</v>
      </c>
      <c r="AU306" s="1">
        <v>2012.0</v>
      </c>
      <c r="AV306" s="1" t="s">
        <v>74</v>
      </c>
      <c r="AW306" s="1" t="s">
        <v>74</v>
      </c>
      <c r="AX306" s="1" t="s">
        <v>74</v>
      </c>
      <c r="AY306" s="1" t="s">
        <v>74</v>
      </c>
      <c r="AZ306" s="1" t="s">
        <v>74</v>
      </c>
      <c r="BA306" s="1" t="s">
        <v>74</v>
      </c>
      <c r="BB306" s="1">
        <v>5134.0</v>
      </c>
      <c r="BC306" s="1">
        <v>5139.0</v>
      </c>
      <c r="BD306" s="1" t="s">
        <v>74</v>
      </c>
      <c r="BE306" s="1" t="s">
        <v>74</v>
      </c>
      <c r="BF306" s="1" t="s">
        <v>74</v>
      </c>
      <c r="BG306" s="1" t="s">
        <v>74</v>
      </c>
      <c r="BH306" s="1" t="s">
        <v>74</v>
      </c>
      <c r="BI306" s="1" t="s">
        <v>74</v>
      </c>
      <c r="BJ306" s="1" t="s">
        <v>74</v>
      </c>
      <c r="BK306" s="1" t="s">
        <v>74</v>
      </c>
      <c r="BL306" s="1" t="s">
        <v>74</v>
      </c>
      <c r="BM306" s="1" t="s">
        <v>74</v>
      </c>
      <c r="BN306" s="1" t="s">
        <v>74</v>
      </c>
      <c r="BO306" s="1" t="s">
        <v>74</v>
      </c>
      <c r="BP306" s="1" t="s">
        <v>74</v>
      </c>
      <c r="BQ306" s="1" t="s">
        <v>74</v>
      </c>
      <c r="BR306" s="1" t="s">
        <v>74</v>
      </c>
      <c r="BS306" s="1" t="s">
        <v>3283</v>
      </c>
      <c r="BT306" s="1" t="str">
        <f>HYPERLINK("https%3A%2F%2Fwww.webofscience.com%2Fwos%2Fwoscc%2Ffull-record%2FWOS:000327200405075","View Full Record in Web of Science")</f>
        <v>View Full Record in Web of Science</v>
      </c>
    </row>
    <row r="307" ht="12.75" customHeight="1">
      <c r="A307" s="1" t="s">
        <v>72</v>
      </c>
      <c r="B307" s="1" t="s">
        <v>3284</v>
      </c>
      <c r="C307" s="1" t="s">
        <v>74</v>
      </c>
      <c r="D307" s="1" t="s">
        <v>74</v>
      </c>
      <c r="E307" s="1" t="s">
        <v>74</v>
      </c>
      <c r="F307" s="1" t="s">
        <v>3285</v>
      </c>
      <c r="G307" s="1" t="s">
        <v>74</v>
      </c>
      <c r="H307" s="1" t="s">
        <v>74</v>
      </c>
      <c r="I307" s="1" t="s">
        <v>3286</v>
      </c>
      <c r="J307" s="1" t="s">
        <v>3287</v>
      </c>
      <c r="K307" s="1" t="s">
        <v>74</v>
      </c>
      <c r="L307" s="1" t="s">
        <v>74</v>
      </c>
      <c r="M307" s="1" t="s">
        <v>74</v>
      </c>
      <c r="N307" s="1" t="s">
        <v>74</v>
      </c>
      <c r="O307" s="1" t="s">
        <v>74</v>
      </c>
      <c r="P307" s="1" t="s">
        <v>74</v>
      </c>
      <c r="Q307" s="1" t="s">
        <v>74</v>
      </c>
      <c r="R307" s="1" t="s">
        <v>74</v>
      </c>
      <c r="S307" s="1" t="s">
        <v>74</v>
      </c>
      <c r="T307" s="1" t="s">
        <v>74</v>
      </c>
      <c r="U307" s="1" t="s">
        <v>74</v>
      </c>
      <c r="V307" s="1" t="s">
        <v>3288</v>
      </c>
      <c r="W307" s="1" t="s">
        <v>74</v>
      </c>
      <c r="X307" s="1" t="s">
        <v>74</v>
      </c>
      <c r="Y307" s="1" t="s">
        <v>74</v>
      </c>
      <c r="Z307" s="1" t="s">
        <v>74</v>
      </c>
      <c r="AA307" s="1" t="s">
        <v>3289</v>
      </c>
      <c r="AB307" s="1" t="s">
        <v>3290</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3291</v>
      </c>
      <c r="AP307" s="1" t="s">
        <v>3292</v>
      </c>
      <c r="AQ307" s="1" t="s">
        <v>74</v>
      </c>
      <c r="AR307" s="1" t="s">
        <v>74</v>
      </c>
      <c r="AS307" s="1" t="s">
        <v>74</v>
      </c>
      <c r="AT307" s="1" t="s">
        <v>1106</v>
      </c>
      <c r="AU307" s="1">
        <v>2012.0</v>
      </c>
      <c r="AV307" s="1">
        <v>35.0</v>
      </c>
      <c r="AW307" s="1">
        <v>1.0</v>
      </c>
      <c r="AX307" s="1" t="s">
        <v>74</v>
      </c>
      <c r="AY307" s="1" t="s">
        <v>74</v>
      </c>
      <c r="AZ307" s="1" t="s">
        <v>569</v>
      </c>
      <c r="BA307" s="1" t="s">
        <v>74</v>
      </c>
      <c r="BB307" s="1">
        <v>46.0</v>
      </c>
      <c r="BC307" s="1">
        <v>57.0</v>
      </c>
      <c r="BD307" s="1" t="s">
        <v>74</v>
      </c>
      <c r="BE307" s="1" t="s">
        <v>3293</v>
      </c>
      <c r="BF307" s="2" t="str">
        <f>HYPERLINK("http://dx.doi.org/10.1002/ceat.201100282","http://dx.doi.org/10.1002/ceat.201100282")</f>
        <v>http://dx.doi.org/10.1002/ceat.201100282</v>
      </c>
      <c r="BG307" s="1" t="s">
        <v>74</v>
      </c>
      <c r="BH307" s="1" t="s">
        <v>74</v>
      </c>
      <c r="BI307" s="1" t="s">
        <v>74</v>
      </c>
      <c r="BJ307" s="1" t="s">
        <v>74</v>
      </c>
      <c r="BK307" s="1" t="s">
        <v>74</v>
      </c>
      <c r="BL307" s="1" t="s">
        <v>74</v>
      </c>
      <c r="BM307" s="1" t="s">
        <v>74</v>
      </c>
      <c r="BN307" s="1" t="s">
        <v>74</v>
      </c>
      <c r="BO307" s="1" t="s">
        <v>74</v>
      </c>
      <c r="BP307" s="1" t="s">
        <v>74</v>
      </c>
      <c r="BQ307" s="1" t="s">
        <v>74</v>
      </c>
      <c r="BR307" s="1" t="s">
        <v>74</v>
      </c>
      <c r="BS307" s="1" t="s">
        <v>3294</v>
      </c>
      <c r="BT307" s="1" t="str">
        <f>HYPERLINK("https%3A%2F%2Fwww.webofscience.com%2Fwos%2Fwoscc%2Ffull-record%2FWOS:000298540200004","View Full Record in Web of Science")</f>
        <v>View Full Record in Web of Science</v>
      </c>
    </row>
    <row r="308" ht="12.75" customHeight="1">
      <c r="A308" s="1" t="s">
        <v>72</v>
      </c>
      <c r="B308" s="1" t="s">
        <v>3295</v>
      </c>
      <c r="C308" s="1" t="s">
        <v>74</v>
      </c>
      <c r="D308" s="1" t="s">
        <v>74</v>
      </c>
      <c r="E308" s="1" t="s">
        <v>74</v>
      </c>
      <c r="F308" s="1" t="s">
        <v>3296</v>
      </c>
      <c r="G308" s="1" t="s">
        <v>74</v>
      </c>
      <c r="H308" s="1" t="s">
        <v>74</v>
      </c>
      <c r="I308" s="1" t="s">
        <v>3297</v>
      </c>
      <c r="J308" s="1" t="s">
        <v>3298</v>
      </c>
      <c r="K308" s="1" t="s">
        <v>74</v>
      </c>
      <c r="L308" s="1" t="s">
        <v>74</v>
      </c>
      <c r="M308" s="1" t="s">
        <v>74</v>
      </c>
      <c r="N308" s="1" t="s">
        <v>74</v>
      </c>
      <c r="O308" s="1" t="s">
        <v>74</v>
      </c>
      <c r="P308" s="1" t="s">
        <v>74</v>
      </c>
      <c r="Q308" s="1" t="s">
        <v>74</v>
      </c>
      <c r="R308" s="1" t="s">
        <v>74</v>
      </c>
      <c r="S308" s="1" t="s">
        <v>74</v>
      </c>
      <c r="T308" s="1" t="s">
        <v>74</v>
      </c>
      <c r="U308" s="1" t="s">
        <v>74</v>
      </c>
      <c r="V308" s="1" t="s">
        <v>3299</v>
      </c>
      <c r="W308" s="1" t="s">
        <v>74</v>
      </c>
      <c r="X308" s="1" t="s">
        <v>74</v>
      </c>
      <c r="Y308" s="1" t="s">
        <v>74</v>
      </c>
      <c r="Z308" s="1" t="s">
        <v>74</v>
      </c>
      <c r="AA308" s="1" t="s">
        <v>74</v>
      </c>
      <c r="AB308" s="1" t="s">
        <v>3300</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3301</v>
      </c>
      <c r="AP308" s="1" t="s">
        <v>3302</v>
      </c>
      <c r="AQ308" s="1" t="s">
        <v>74</v>
      </c>
      <c r="AR308" s="1" t="s">
        <v>74</v>
      </c>
      <c r="AS308" s="1" t="s">
        <v>74</v>
      </c>
      <c r="AT308" s="1" t="s">
        <v>74</v>
      </c>
      <c r="AU308" s="1">
        <v>2012.0</v>
      </c>
      <c r="AV308" s="1">
        <v>2012.0</v>
      </c>
      <c r="AW308" s="1" t="s">
        <v>74</v>
      </c>
      <c r="AX308" s="1" t="s">
        <v>74</v>
      </c>
      <c r="AY308" s="1" t="s">
        <v>74</v>
      </c>
      <c r="AZ308" s="1" t="s">
        <v>74</v>
      </c>
      <c r="BA308" s="1" t="s">
        <v>74</v>
      </c>
      <c r="BB308" s="1" t="s">
        <v>74</v>
      </c>
      <c r="BC308" s="1" t="s">
        <v>74</v>
      </c>
      <c r="BD308" s="1">
        <v>348156.0</v>
      </c>
      <c r="BE308" s="1" t="s">
        <v>3303</v>
      </c>
      <c r="BF308" s="2" t="str">
        <f>HYPERLINK("http://dx.doi.org/10.1155/2012/348156","http://dx.doi.org/10.1155/2012/348156")</f>
        <v>http://dx.doi.org/10.1155/2012/348156</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3304</v>
      </c>
      <c r="BT308" s="1" t="str">
        <f>HYPERLINK("https%3A%2F%2Fwww.webofscience.com%2Fwos%2Fwoscc%2Ffull-record%2FWOS:000298811100001","View Full Record in Web of Science")</f>
        <v>View Full Record in Web of Science</v>
      </c>
    </row>
    <row r="309" ht="12.75" customHeight="1">
      <c r="A309" s="1" t="s">
        <v>72</v>
      </c>
      <c r="B309" s="1" t="s">
        <v>365</v>
      </c>
      <c r="C309" s="1" t="s">
        <v>74</v>
      </c>
      <c r="D309" s="1" t="s">
        <v>74</v>
      </c>
      <c r="E309" s="1" t="s">
        <v>74</v>
      </c>
      <c r="F309" s="1" t="s">
        <v>366</v>
      </c>
      <c r="G309" s="1" t="s">
        <v>74</v>
      </c>
      <c r="H309" s="1" t="s">
        <v>74</v>
      </c>
      <c r="I309" s="1" t="s">
        <v>3305</v>
      </c>
      <c r="J309" s="1" t="s">
        <v>3306</v>
      </c>
      <c r="K309" s="1" t="s">
        <v>74</v>
      </c>
      <c r="L309" s="1" t="s">
        <v>74</v>
      </c>
      <c r="M309" s="1" t="s">
        <v>74</v>
      </c>
      <c r="N309" s="1" t="s">
        <v>74</v>
      </c>
      <c r="O309" s="1" t="s">
        <v>74</v>
      </c>
      <c r="P309" s="1" t="s">
        <v>74</v>
      </c>
      <c r="Q309" s="1" t="s">
        <v>74</v>
      </c>
      <c r="R309" s="1" t="s">
        <v>74</v>
      </c>
      <c r="S309" s="1" t="s">
        <v>74</v>
      </c>
      <c r="T309" s="1" t="s">
        <v>74</v>
      </c>
      <c r="U309" s="1" t="s">
        <v>74</v>
      </c>
      <c r="V309" s="1" t="s">
        <v>3307</v>
      </c>
      <c r="W309" s="1" t="s">
        <v>74</v>
      </c>
      <c r="X309" s="1" t="s">
        <v>74</v>
      </c>
      <c r="Y309" s="1" t="s">
        <v>74</v>
      </c>
      <c r="Z309" s="1" t="s">
        <v>74</v>
      </c>
      <c r="AA309" s="1" t="s">
        <v>370</v>
      </c>
      <c r="AB309" s="1" t="s">
        <v>371</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3308</v>
      </c>
      <c r="AP309" s="1" t="s">
        <v>3309</v>
      </c>
      <c r="AQ309" s="1" t="s">
        <v>74</v>
      </c>
      <c r="AR309" s="1" t="s">
        <v>74</v>
      </c>
      <c r="AS309" s="1" t="s">
        <v>74</v>
      </c>
      <c r="AT309" s="1" t="s">
        <v>164</v>
      </c>
      <c r="AU309" s="1">
        <v>2011.0</v>
      </c>
      <c r="AV309" s="1">
        <v>21.0</v>
      </c>
      <c r="AW309" s="1">
        <v>4.0</v>
      </c>
      <c r="AX309" s="1" t="s">
        <v>74</v>
      </c>
      <c r="AY309" s="1" t="s">
        <v>74</v>
      </c>
      <c r="AZ309" s="1" t="s">
        <v>74</v>
      </c>
      <c r="BA309" s="1" t="s">
        <v>74</v>
      </c>
      <c r="BB309" s="1">
        <v>460.0</v>
      </c>
      <c r="BC309" s="1">
        <v>476.0</v>
      </c>
      <c r="BD309" s="1" t="s">
        <v>74</v>
      </c>
      <c r="BE309" s="1" t="s">
        <v>3310</v>
      </c>
      <c r="BF309" s="2" t="str">
        <f>HYPERLINK("http://dx.doi.org/10.1017/S0959270911000050","http://dx.doi.org/10.1017/S0959270911000050")</f>
        <v>http://dx.doi.org/10.1017/S0959270911000050</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3311</v>
      </c>
      <c r="BT309" s="1" t="str">
        <f>HYPERLINK("https%3A%2F%2Fwww.webofscience.com%2Fwos%2Fwoscc%2Ffull-record%2FWOS:000297981600009","View Full Record in Web of Science")</f>
        <v>View Full Record in Web of Science</v>
      </c>
    </row>
    <row r="310" ht="12.75" customHeight="1">
      <c r="A310" s="1" t="s">
        <v>72</v>
      </c>
      <c r="B310" s="1" t="s">
        <v>3312</v>
      </c>
      <c r="C310" s="1" t="s">
        <v>74</v>
      </c>
      <c r="D310" s="1" t="s">
        <v>74</v>
      </c>
      <c r="E310" s="1" t="s">
        <v>74</v>
      </c>
      <c r="F310" s="1" t="s">
        <v>3313</v>
      </c>
      <c r="G310" s="1" t="s">
        <v>74</v>
      </c>
      <c r="H310" s="1" t="s">
        <v>74</v>
      </c>
      <c r="I310" s="1" t="s">
        <v>3314</v>
      </c>
      <c r="J310" s="1" t="s">
        <v>3315</v>
      </c>
      <c r="K310" s="1" t="s">
        <v>74</v>
      </c>
      <c r="L310" s="1" t="s">
        <v>74</v>
      </c>
      <c r="M310" s="1" t="s">
        <v>74</v>
      </c>
      <c r="N310" s="1" t="s">
        <v>74</v>
      </c>
      <c r="O310" s="1" t="s">
        <v>74</v>
      </c>
      <c r="P310" s="1" t="s">
        <v>74</v>
      </c>
      <c r="Q310" s="1" t="s">
        <v>74</v>
      </c>
      <c r="R310" s="1" t="s">
        <v>74</v>
      </c>
      <c r="S310" s="1" t="s">
        <v>74</v>
      </c>
      <c r="T310" s="1" t="s">
        <v>74</v>
      </c>
      <c r="U310" s="1" t="s">
        <v>74</v>
      </c>
      <c r="V310" s="1" t="s">
        <v>3316</v>
      </c>
      <c r="W310" s="1" t="s">
        <v>74</v>
      </c>
      <c r="X310" s="1" t="s">
        <v>74</v>
      </c>
      <c r="Y310" s="1" t="s">
        <v>74</v>
      </c>
      <c r="Z310" s="1" t="s">
        <v>74</v>
      </c>
      <c r="AA310" s="1" t="s">
        <v>2017</v>
      </c>
      <c r="AB310" s="1" t="s">
        <v>3317</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3318</v>
      </c>
      <c r="AP310" s="1" t="s">
        <v>3319</v>
      </c>
      <c r="AQ310" s="1" t="s">
        <v>74</v>
      </c>
      <c r="AR310" s="1" t="s">
        <v>74</v>
      </c>
      <c r="AS310" s="1" t="s">
        <v>74</v>
      </c>
      <c r="AT310" s="1" t="s">
        <v>74</v>
      </c>
      <c r="AU310" s="1">
        <v>2011.0</v>
      </c>
      <c r="AV310" s="1">
        <v>2011.0</v>
      </c>
      <c r="AW310" s="1">
        <v>12.0</v>
      </c>
      <c r="AX310" s="1" t="s">
        <v>74</v>
      </c>
      <c r="AY310" s="1" t="s">
        <v>74</v>
      </c>
      <c r="AZ310" s="1" t="s">
        <v>74</v>
      </c>
      <c r="BA310" s="1" t="s">
        <v>74</v>
      </c>
      <c r="BB310" s="1">
        <v>2617.0</v>
      </c>
      <c r="BC310" s="1">
        <v>2649.0</v>
      </c>
      <c r="BD310" s="1" t="s">
        <v>74</v>
      </c>
      <c r="BE310" s="1" t="s">
        <v>3320</v>
      </c>
      <c r="BF310" s="2" t="str">
        <f>HYPERLINK("http://dx.doi.org/10.1093/imrn/rnq163","http://dx.doi.org/10.1093/imrn/rnq163")</f>
        <v>http://dx.doi.org/10.1093/imrn/rnq163</v>
      </c>
      <c r="BG310" s="1" t="s">
        <v>74</v>
      </c>
      <c r="BH310" s="1" t="s">
        <v>74</v>
      </c>
      <c r="BI310" s="1" t="s">
        <v>74</v>
      </c>
      <c r="BJ310" s="1" t="s">
        <v>74</v>
      </c>
      <c r="BK310" s="1" t="s">
        <v>74</v>
      </c>
      <c r="BL310" s="1" t="s">
        <v>74</v>
      </c>
      <c r="BM310" s="1" t="s">
        <v>74</v>
      </c>
      <c r="BN310" s="1" t="s">
        <v>74</v>
      </c>
      <c r="BO310" s="1" t="s">
        <v>74</v>
      </c>
      <c r="BP310" s="1" t="s">
        <v>74</v>
      </c>
      <c r="BQ310" s="1" t="s">
        <v>74</v>
      </c>
      <c r="BR310" s="1" t="s">
        <v>74</v>
      </c>
      <c r="BS310" s="1" t="s">
        <v>3321</v>
      </c>
      <c r="BT310" s="1" t="str">
        <f>HYPERLINK("https%3A%2F%2Fwww.webofscience.com%2Fwos%2Fwoscc%2Ffull-record%2FWOS:000291535700001","View Full Record in Web of Science")</f>
        <v>View Full Record in Web of Science</v>
      </c>
    </row>
    <row r="311" ht="12.75" customHeight="1">
      <c r="A311" s="1" t="s">
        <v>72</v>
      </c>
      <c r="B311" s="1" t="s">
        <v>917</v>
      </c>
      <c r="C311" s="1" t="s">
        <v>74</v>
      </c>
      <c r="D311" s="1" t="s">
        <v>74</v>
      </c>
      <c r="E311" s="1" t="s">
        <v>74</v>
      </c>
      <c r="F311" s="1" t="s">
        <v>918</v>
      </c>
      <c r="G311" s="1" t="s">
        <v>74</v>
      </c>
      <c r="H311" s="1" t="s">
        <v>74</v>
      </c>
      <c r="I311" s="1" t="s">
        <v>3322</v>
      </c>
      <c r="J311" s="1" t="s">
        <v>3323</v>
      </c>
      <c r="K311" s="1" t="s">
        <v>74</v>
      </c>
      <c r="L311" s="1" t="s">
        <v>74</v>
      </c>
      <c r="M311" s="1" t="s">
        <v>74</v>
      </c>
      <c r="N311" s="1" t="s">
        <v>74</v>
      </c>
      <c r="O311" s="1" t="s">
        <v>74</v>
      </c>
      <c r="P311" s="1" t="s">
        <v>74</v>
      </c>
      <c r="Q311" s="1" t="s">
        <v>74</v>
      </c>
      <c r="R311" s="1" t="s">
        <v>74</v>
      </c>
      <c r="S311" s="1" t="s">
        <v>74</v>
      </c>
      <c r="T311" s="1" t="s">
        <v>74</v>
      </c>
      <c r="U311" s="1" t="s">
        <v>74</v>
      </c>
      <c r="V311" s="1" t="s">
        <v>3324</v>
      </c>
      <c r="W311" s="1" t="s">
        <v>74</v>
      </c>
      <c r="X311" s="1" t="s">
        <v>74</v>
      </c>
      <c r="Y311" s="1" t="s">
        <v>74</v>
      </c>
      <c r="Z311" s="1" t="s">
        <v>74</v>
      </c>
      <c r="AA311" s="1" t="s">
        <v>74</v>
      </c>
      <c r="AB311" s="1" t="s">
        <v>922</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3325</v>
      </c>
      <c r="AP311" s="1" t="s">
        <v>3326</v>
      </c>
      <c r="AQ311" s="1" t="s">
        <v>74</v>
      </c>
      <c r="AR311" s="1" t="s">
        <v>74</v>
      </c>
      <c r="AS311" s="1" t="s">
        <v>74</v>
      </c>
      <c r="AT311" s="1" t="s">
        <v>3327</v>
      </c>
      <c r="AU311" s="1">
        <v>2010.0</v>
      </c>
      <c r="AV311" s="1">
        <v>81.0</v>
      </c>
      <c r="AW311" s="1">
        <v>12.0</v>
      </c>
      <c r="AX311" s="1" t="s">
        <v>74</v>
      </c>
      <c r="AY311" s="1" t="s">
        <v>74</v>
      </c>
      <c r="AZ311" s="1" t="s">
        <v>74</v>
      </c>
      <c r="BA311" s="1" t="s">
        <v>74</v>
      </c>
      <c r="BB311" s="1" t="s">
        <v>74</v>
      </c>
      <c r="BC311" s="1" t="s">
        <v>74</v>
      </c>
      <c r="BD311" s="1">
        <v>127701.0</v>
      </c>
      <c r="BE311" s="1" t="s">
        <v>3328</v>
      </c>
      <c r="BF311" s="2" t="str">
        <f>HYPERLINK("http://dx.doi.org/10.1103/PhysRevD.81.127701","http://dx.doi.org/10.1103/PhysRevD.81.127701")</f>
        <v>http://dx.doi.org/10.1103/PhysRevD.81.127701</v>
      </c>
      <c r="BG311" s="1" t="s">
        <v>74</v>
      </c>
      <c r="BH311" s="1" t="s">
        <v>74</v>
      </c>
      <c r="BI311" s="1" t="s">
        <v>74</v>
      </c>
      <c r="BJ311" s="1" t="s">
        <v>74</v>
      </c>
      <c r="BK311" s="1" t="s">
        <v>74</v>
      </c>
      <c r="BL311" s="1" t="s">
        <v>74</v>
      </c>
      <c r="BM311" s="1" t="s">
        <v>74</v>
      </c>
      <c r="BN311" s="1" t="s">
        <v>74</v>
      </c>
      <c r="BO311" s="1" t="s">
        <v>74</v>
      </c>
      <c r="BP311" s="1" t="s">
        <v>74</v>
      </c>
      <c r="BQ311" s="1" t="s">
        <v>74</v>
      </c>
      <c r="BR311" s="1" t="s">
        <v>74</v>
      </c>
      <c r="BS311" s="1" t="s">
        <v>3329</v>
      </c>
      <c r="BT311" s="1" t="str">
        <f>HYPERLINK("https%3A%2F%2Fwww.webofscience.com%2Fwos%2Fwoscc%2Ffull-record%2FWOS:000278204700019","View Full Record in Web of Science")</f>
        <v>View Full Record in Web of Science</v>
      </c>
    </row>
    <row r="312" ht="12.75" customHeight="1">
      <c r="A312" s="1" t="s">
        <v>72</v>
      </c>
      <c r="B312" s="1" t="s">
        <v>3330</v>
      </c>
      <c r="C312" s="1" t="s">
        <v>74</v>
      </c>
      <c r="D312" s="1" t="s">
        <v>74</v>
      </c>
      <c r="E312" s="1" t="s">
        <v>74</v>
      </c>
      <c r="F312" s="1" t="s">
        <v>3331</v>
      </c>
      <c r="G312" s="1" t="s">
        <v>74</v>
      </c>
      <c r="H312" s="1" t="s">
        <v>74</v>
      </c>
      <c r="I312" s="1" t="s">
        <v>3332</v>
      </c>
      <c r="J312" s="1" t="s">
        <v>3333</v>
      </c>
      <c r="K312" s="1" t="s">
        <v>74</v>
      </c>
      <c r="L312" s="1" t="s">
        <v>74</v>
      </c>
      <c r="M312" s="1" t="s">
        <v>74</v>
      </c>
      <c r="N312" s="1" t="s">
        <v>74</v>
      </c>
      <c r="O312" s="1" t="s">
        <v>74</v>
      </c>
      <c r="P312" s="1" t="s">
        <v>74</v>
      </c>
      <c r="Q312" s="1" t="s">
        <v>74</v>
      </c>
      <c r="R312" s="1" t="s">
        <v>74</v>
      </c>
      <c r="S312" s="1" t="s">
        <v>74</v>
      </c>
      <c r="T312" s="1" t="s">
        <v>74</v>
      </c>
      <c r="U312" s="1" t="s">
        <v>74</v>
      </c>
      <c r="V312" s="1" t="s">
        <v>3334</v>
      </c>
      <c r="W312" s="1" t="s">
        <v>74</v>
      </c>
      <c r="X312" s="1" t="s">
        <v>74</v>
      </c>
      <c r="Y312" s="1" t="s">
        <v>74</v>
      </c>
      <c r="Z312" s="1" t="s">
        <v>74</v>
      </c>
      <c r="AA312" s="1" t="s">
        <v>74</v>
      </c>
      <c r="AB312" s="1" t="s">
        <v>74</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3335</v>
      </c>
      <c r="AP312" s="1" t="s">
        <v>74</v>
      </c>
      <c r="AQ312" s="1" t="s">
        <v>74</v>
      </c>
      <c r="AR312" s="1" t="s">
        <v>74</v>
      </c>
      <c r="AS312" s="1" t="s">
        <v>74</v>
      </c>
      <c r="AT312" s="1" t="s">
        <v>1279</v>
      </c>
      <c r="AU312" s="1">
        <v>2010.0</v>
      </c>
      <c r="AV312" s="1">
        <v>62.0</v>
      </c>
      <c r="AW312" s="1">
        <v>2.0</v>
      </c>
      <c r="AX312" s="1" t="s">
        <v>74</v>
      </c>
      <c r="AY312" s="1" t="s">
        <v>74</v>
      </c>
      <c r="AZ312" s="1" t="s">
        <v>74</v>
      </c>
      <c r="BA312" s="1" t="s">
        <v>74</v>
      </c>
      <c r="BB312" s="1">
        <v>119.0</v>
      </c>
      <c r="BC312" s="1">
        <v>124.0</v>
      </c>
      <c r="BD312" s="1" t="s">
        <v>74</v>
      </c>
      <c r="BE312" s="1" t="s">
        <v>74</v>
      </c>
      <c r="BF312" s="1" t="s">
        <v>74</v>
      </c>
      <c r="BG312" s="1" t="s">
        <v>74</v>
      </c>
      <c r="BH312" s="1" t="s">
        <v>74</v>
      </c>
      <c r="BI312" s="1" t="s">
        <v>74</v>
      </c>
      <c r="BJ312" s="1" t="s">
        <v>74</v>
      </c>
      <c r="BK312" s="1" t="s">
        <v>74</v>
      </c>
      <c r="BL312" s="1" t="s">
        <v>74</v>
      </c>
      <c r="BM312" s="1" t="s">
        <v>74</v>
      </c>
      <c r="BN312" s="1" t="s">
        <v>74</v>
      </c>
      <c r="BO312" s="1" t="s">
        <v>74</v>
      </c>
      <c r="BP312" s="1" t="s">
        <v>74</v>
      </c>
      <c r="BQ312" s="1" t="s">
        <v>74</v>
      </c>
      <c r="BR312" s="1" t="s">
        <v>74</v>
      </c>
      <c r="BS312" s="1" t="s">
        <v>3336</v>
      </c>
      <c r="BT312" s="1" t="str">
        <f>HYPERLINK("https%3A%2F%2Fwww.webofscience.com%2Fwos%2Fwoscc%2Ffull-record%2FWOS:000276586800005","View Full Record in Web of Science")</f>
        <v>View Full Record in Web of Science</v>
      </c>
    </row>
    <row r="313" ht="12.75" customHeight="1">
      <c r="A313" s="1" t="s">
        <v>72</v>
      </c>
      <c r="B313" s="1" t="s">
        <v>3337</v>
      </c>
      <c r="C313" s="1" t="s">
        <v>74</v>
      </c>
      <c r="D313" s="1" t="s">
        <v>74</v>
      </c>
      <c r="E313" s="1" t="s">
        <v>74</v>
      </c>
      <c r="F313" s="1" t="s">
        <v>3338</v>
      </c>
      <c r="G313" s="1" t="s">
        <v>74</v>
      </c>
      <c r="H313" s="1" t="s">
        <v>74</v>
      </c>
      <c r="I313" s="1" t="s">
        <v>3339</v>
      </c>
      <c r="J313" s="1" t="s">
        <v>3340</v>
      </c>
      <c r="K313" s="1" t="s">
        <v>74</v>
      </c>
      <c r="L313" s="1" t="s">
        <v>74</v>
      </c>
      <c r="M313" s="1" t="s">
        <v>74</v>
      </c>
      <c r="N313" s="1" t="s">
        <v>74</v>
      </c>
      <c r="O313" s="1" t="s">
        <v>74</v>
      </c>
      <c r="P313" s="1" t="s">
        <v>74</v>
      </c>
      <c r="Q313" s="1" t="s">
        <v>74</v>
      </c>
      <c r="R313" s="1" t="s">
        <v>74</v>
      </c>
      <c r="S313" s="1" t="s">
        <v>74</v>
      </c>
      <c r="T313" s="1" t="s">
        <v>74</v>
      </c>
      <c r="U313" s="1" t="s">
        <v>74</v>
      </c>
      <c r="V313" s="1" t="s">
        <v>3341</v>
      </c>
      <c r="W313" s="1" t="s">
        <v>74</v>
      </c>
      <c r="X313" s="1" t="s">
        <v>74</v>
      </c>
      <c r="Y313" s="1" t="s">
        <v>74</v>
      </c>
      <c r="Z313" s="1" t="s">
        <v>74</v>
      </c>
      <c r="AA313" s="1" t="s">
        <v>74</v>
      </c>
      <c r="AB313" s="1" t="s">
        <v>3342</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3343</v>
      </c>
      <c r="AP313" s="1" t="s">
        <v>3344</v>
      </c>
      <c r="AQ313" s="1" t="s">
        <v>74</v>
      </c>
      <c r="AR313" s="1" t="s">
        <v>74</v>
      </c>
      <c r="AS313" s="1" t="s">
        <v>74</v>
      </c>
      <c r="AT313" s="1" t="s">
        <v>164</v>
      </c>
      <c r="AU313" s="1">
        <v>2009.0</v>
      </c>
      <c r="AV313" s="1">
        <v>42.0</v>
      </c>
      <c r="AW313" s="1">
        <v>12.0</v>
      </c>
      <c r="AX313" s="1" t="s">
        <v>74</v>
      </c>
      <c r="AY313" s="1" t="s">
        <v>74</v>
      </c>
      <c r="AZ313" s="1" t="s">
        <v>74</v>
      </c>
      <c r="BA313" s="1" t="s">
        <v>74</v>
      </c>
      <c r="BB313" s="1">
        <v>1203.0</v>
      </c>
      <c r="BC313" s="1">
        <v>1209.0</v>
      </c>
      <c r="BD313" s="1" t="s">
        <v>74</v>
      </c>
      <c r="BE313" s="1" t="s">
        <v>3345</v>
      </c>
      <c r="BF313" s="2" t="str">
        <f>HYPERLINK("http://dx.doi.org/10.1590/S0100-879X2009007500012","http://dx.doi.org/10.1590/S0100-879X2009007500012")</f>
        <v>http://dx.doi.org/10.1590/S0100-879X2009007500012</v>
      </c>
      <c r="BG313" s="1" t="s">
        <v>74</v>
      </c>
      <c r="BH313" s="1" t="s">
        <v>74</v>
      </c>
      <c r="BI313" s="1" t="s">
        <v>74</v>
      </c>
      <c r="BJ313" s="1" t="s">
        <v>74</v>
      </c>
      <c r="BK313" s="1" t="s">
        <v>74</v>
      </c>
      <c r="BL313" s="1" t="s">
        <v>74</v>
      </c>
      <c r="BM313" s="1" t="s">
        <v>74</v>
      </c>
      <c r="BN313" s="1">
        <v>1.991867E7</v>
      </c>
      <c r="BO313" s="1" t="s">
        <v>74</v>
      </c>
      <c r="BP313" s="1" t="s">
        <v>74</v>
      </c>
      <c r="BQ313" s="1" t="s">
        <v>74</v>
      </c>
      <c r="BR313" s="1" t="s">
        <v>74</v>
      </c>
      <c r="BS313" s="1" t="s">
        <v>3346</v>
      </c>
      <c r="BT313" s="1" t="str">
        <f>HYPERLINK("https%3A%2F%2Fwww.webofscience.com%2Fwos%2Fwoscc%2Ffull-record%2FWOS:000272487500014","View Full Record in Web of Science")</f>
        <v>View Full Record in Web of Science</v>
      </c>
    </row>
    <row r="314" ht="12.75" customHeight="1">
      <c r="A314" s="1" t="s">
        <v>72</v>
      </c>
      <c r="B314" s="1" t="s">
        <v>3347</v>
      </c>
      <c r="C314" s="1" t="s">
        <v>74</v>
      </c>
      <c r="D314" s="1" t="s">
        <v>74</v>
      </c>
      <c r="E314" s="1" t="s">
        <v>74</v>
      </c>
      <c r="F314" s="1" t="s">
        <v>3348</v>
      </c>
      <c r="G314" s="1" t="s">
        <v>74</v>
      </c>
      <c r="H314" s="1" t="s">
        <v>74</v>
      </c>
      <c r="I314" s="1" t="s">
        <v>3349</v>
      </c>
      <c r="J314" s="1" t="s">
        <v>3350</v>
      </c>
      <c r="K314" s="1" t="s">
        <v>74</v>
      </c>
      <c r="L314" s="1" t="s">
        <v>74</v>
      </c>
      <c r="M314" s="1" t="s">
        <v>74</v>
      </c>
      <c r="N314" s="1" t="s">
        <v>74</v>
      </c>
      <c r="O314" s="1" t="s">
        <v>74</v>
      </c>
      <c r="P314" s="1" t="s">
        <v>74</v>
      </c>
      <c r="Q314" s="1" t="s">
        <v>74</v>
      </c>
      <c r="R314" s="1" t="s">
        <v>74</v>
      </c>
      <c r="S314" s="1" t="s">
        <v>74</v>
      </c>
      <c r="T314" s="1" t="s">
        <v>74</v>
      </c>
      <c r="U314" s="1" t="s">
        <v>74</v>
      </c>
      <c r="V314" s="1" t="s">
        <v>3351</v>
      </c>
      <c r="W314" s="1" t="s">
        <v>74</v>
      </c>
      <c r="X314" s="1" t="s">
        <v>74</v>
      </c>
      <c r="Y314" s="1" t="s">
        <v>74</v>
      </c>
      <c r="Z314" s="1" t="s">
        <v>74</v>
      </c>
      <c r="AA314" s="1" t="s">
        <v>3352</v>
      </c>
      <c r="AB314" s="1" t="s">
        <v>3353</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3354</v>
      </c>
      <c r="AP314" s="1" t="s">
        <v>74</v>
      </c>
      <c r="AQ314" s="1" t="s">
        <v>74</v>
      </c>
      <c r="AR314" s="1" t="s">
        <v>74</v>
      </c>
      <c r="AS314" s="1" t="s">
        <v>74</v>
      </c>
      <c r="AT314" s="1" t="s">
        <v>3355</v>
      </c>
      <c r="AU314" s="1">
        <v>2009.0</v>
      </c>
      <c r="AV314" s="1">
        <v>20.0</v>
      </c>
      <c r="AW314" s="1">
        <v>38.0</v>
      </c>
      <c r="AX314" s="1" t="s">
        <v>74</v>
      </c>
      <c r="AY314" s="1" t="s">
        <v>74</v>
      </c>
      <c r="AZ314" s="1" t="s">
        <v>74</v>
      </c>
      <c r="BA314" s="1" t="s">
        <v>74</v>
      </c>
      <c r="BB314" s="1" t="s">
        <v>74</v>
      </c>
      <c r="BC314" s="1" t="s">
        <v>74</v>
      </c>
      <c r="BD314" s="1">
        <v>385703.0</v>
      </c>
      <c r="BE314" s="1" t="s">
        <v>3356</v>
      </c>
      <c r="BF314" s="2" t="str">
        <f>HYPERLINK("http://dx.doi.org/10.1088/0957-4484/20/38/385703","http://dx.doi.org/10.1088/0957-4484/20/38/385703")</f>
        <v>http://dx.doi.org/10.1088/0957-4484/20/38/385703</v>
      </c>
      <c r="BG314" s="1" t="s">
        <v>74</v>
      </c>
      <c r="BH314" s="1" t="s">
        <v>74</v>
      </c>
      <c r="BI314" s="1" t="s">
        <v>74</v>
      </c>
      <c r="BJ314" s="1" t="s">
        <v>74</v>
      </c>
      <c r="BK314" s="1" t="s">
        <v>74</v>
      </c>
      <c r="BL314" s="1" t="s">
        <v>74</v>
      </c>
      <c r="BM314" s="1" t="s">
        <v>74</v>
      </c>
      <c r="BN314" s="1">
        <v>1.9713575E7</v>
      </c>
      <c r="BO314" s="1" t="s">
        <v>74</v>
      </c>
      <c r="BP314" s="1" t="s">
        <v>74</v>
      </c>
      <c r="BQ314" s="1" t="s">
        <v>74</v>
      </c>
      <c r="BR314" s="1" t="s">
        <v>74</v>
      </c>
      <c r="BS314" s="1" t="s">
        <v>3357</v>
      </c>
      <c r="BT314" s="1" t="str">
        <f>HYPERLINK("https%3A%2F%2Fwww.webofscience.com%2Fwos%2Fwoscc%2Ffull-record%2FWOS:000269356900015","View Full Record in Web of Science")</f>
        <v>View Full Record in Web of Science</v>
      </c>
    </row>
    <row r="315" ht="12.75" customHeight="1">
      <c r="A315" s="1" t="s">
        <v>72</v>
      </c>
      <c r="B315" s="1" t="s">
        <v>3358</v>
      </c>
      <c r="C315" s="1" t="s">
        <v>74</v>
      </c>
      <c r="D315" s="1" t="s">
        <v>74</v>
      </c>
      <c r="E315" s="1" t="s">
        <v>74</v>
      </c>
      <c r="F315" s="1" t="s">
        <v>3359</v>
      </c>
      <c r="G315" s="1" t="s">
        <v>74</v>
      </c>
      <c r="H315" s="1" t="s">
        <v>74</v>
      </c>
      <c r="I315" s="1" t="s">
        <v>3360</v>
      </c>
      <c r="J315" s="1" t="s">
        <v>930</v>
      </c>
      <c r="K315" s="1" t="s">
        <v>74</v>
      </c>
      <c r="L315" s="1" t="s">
        <v>74</v>
      </c>
      <c r="M315" s="1" t="s">
        <v>74</v>
      </c>
      <c r="N315" s="1" t="s">
        <v>74</v>
      </c>
      <c r="O315" s="1" t="s">
        <v>74</v>
      </c>
      <c r="P315" s="1" t="s">
        <v>74</v>
      </c>
      <c r="Q315" s="1" t="s">
        <v>74</v>
      </c>
      <c r="R315" s="1" t="s">
        <v>74</v>
      </c>
      <c r="S315" s="1" t="s">
        <v>74</v>
      </c>
      <c r="T315" s="1" t="s">
        <v>74</v>
      </c>
      <c r="U315" s="1" t="s">
        <v>74</v>
      </c>
      <c r="V315" s="1" t="s">
        <v>3361</v>
      </c>
      <c r="W315" s="1" t="s">
        <v>74</v>
      </c>
      <c r="X315" s="1" t="s">
        <v>74</v>
      </c>
      <c r="Y315" s="1" t="s">
        <v>74</v>
      </c>
      <c r="Z315" s="1" t="s">
        <v>74</v>
      </c>
      <c r="AA315" s="1" t="s">
        <v>3362</v>
      </c>
      <c r="AB315" s="1" t="s">
        <v>3363</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934</v>
      </c>
      <c r="AP315" s="1" t="s">
        <v>3364</v>
      </c>
      <c r="AQ315" s="1" t="s">
        <v>74</v>
      </c>
      <c r="AR315" s="1" t="s">
        <v>74</v>
      </c>
      <c r="AS315" s="1" t="s">
        <v>74</v>
      </c>
      <c r="AT315" s="1" t="s">
        <v>374</v>
      </c>
      <c r="AU315" s="1">
        <v>2008.0</v>
      </c>
      <c r="AV315" s="1">
        <v>8.0</v>
      </c>
      <c r="AW315" s="1">
        <v>6.0</v>
      </c>
      <c r="AX315" s="1" t="s">
        <v>74</v>
      </c>
      <c r="AY315" s="1" t="s">
        <v>74</v>
      </c>
      <c r="AZ315" s="1" t="s">
        <v>74</v>
      </c>
      <c r="BA315" s="1" t="s">
        <v>74</v>
      </c>
      <c r="BB315" s="1">
        <v>1442.0</v>
      </c>
      <c r="BC315" s="1">
        <v>1444.0</v>
      </c>
      <c r="BD315" s="1" t="s">
        <v>74</v>
      </c>
      <c r="BE315" s="1" t="s">
        <v>3365</v>
      </c>
      <c r="BF315" s="2" t="str">
        <f>HYPERLINK("http://dx.doi.org/10.1111/j.1755-0998.2008.02315.x","http://dx.doi.org/10.1111/j.1755-0998.2008.02315.x")</f>
        <v>http://dx.doi.org/10.1111/j.1755-0998.2008.02315.x</v>
      </c>
      <c r="BG315" s="1" t="s">
        <v>74</v>
      </c>
      <c r="BH315" s="1" t="s">
        <v>74</v>
      </c>
      <c r="BI315" s="1" t="s">
        <v>74</v>
      </c>
      <c r="BJ315" s="1" t="s">
        <v>74</v>
      </c>
      <c r="BK315" s="1" t="s">
        <v>74</v>
      </c>
      <c r="BL315" s="1" t="s">
        <v>74</v>
      </c>
      <c r="BM315" s="1" t="s">
        <v>74</v>
      </c>
      <c r="BN315" s="1">
        <v>2.158607E7</v>
      </c>
      <c r="BO315" s="1" t="s">
        <v>74</v>
      </c>
      <c r="BP315" s="1" t="s">
        <v>74</v>
      </c>
      <c r="BQ315" s="1" t="s">
        <v>74</v>
      </c>
      <c r="BR315" s="1" t="s">
        <v>74</v>
      </c>
      <c r="BS315" s="1" t="s">
        <v>3366</v>
      </c>
      <c r="BT315" s="1" t="str">
        <f>HYPERLINK("https%3A%2F%2Fwww.webofscience.com%2Fwos%2Fwoscc%2Ffull-record%2FWOS:000260528700067","View Full Record in Web of Science")</f>
        <v>View Full Record in Web of Science</v>
      </c>
    </row>
    <row r="316" ht="12.75" customHeight="1">
      <c r="A316" s="1" t="s">
        <v>72</v>
      </c>
      <c r="B316" s="1" t="s">
        <v>3367</v>
      </c>
      <c r="C316" s="1" t="s">
        <v>74</v>
      </c>
      <c r="D316" s="1" t="s">
        <v>74</v>
      </c>
      <c r="E316" s="1" t="s">
        <v>74</v>
      </c>
      <c r="F316" s="1" t="s">
        <v>3368</v>
      </c>
      <c r="G316" s="1" t="s">
        <v>74</v>
      </c>
      <c r="H316" s="1" t="s">
        <v>74</v>
      </c>
      <c r="I316" s="1" t="s">
        <v>3369</v>
      </c>
      <c r="J316" s="1" t="s">
        <v>3370</v>
      </c>
      <c r="K316" s="1" t="s">
        <v>74</v>
      </c>
      <c r="L316" s="1" t="s">
        <v>74</v>
      </c>
      <c r="M316" s="1" t="s">
        <v>74</v>
      </c>
      <c r="N316" s="1" t="s">
        <v>74</v>
      </c>
      <c r="O316" s="1" t="s">
        <v>74</v>
      </c>
      <c r="P316" s="1" t="s">
        <v>74</v>
      </c>
      <c r="Q316" s="1" t="s">
        <v>74</v>
      </c>
      <c r="R316" s="1" t="s">
        <v>74</v>
      </c>
      <c r="S316" s="1" t="s">
        <v>74</v>
      </c>
      <c r="T316" s="1" t="s">
        <v>74</v>
      </c>
      <c r="U316" s="1" t="s">
        <v>74</v>
      </c>
      <c r="V316" s="1" t="s">
        <v>3371</v>
      </c>
      <c r="W316" s="1" t="s">
        <v>74</v>
      </c>
      <c r="X316" s="1" t="s">
        <v>74</v>
      </c>
      <c r="Y316" s="1" t="s">
        <v>74</v>
      </c>
      <c r="Z316" s="1" t="s">
        <v>74</v>
      </c>
      <c r="AA316" s="1" t="s">
        <v>74</v>
      </c>
      <c r="AB316" s="1" t="s">
        <v>74</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3372</v>
      </c>
      <c r="AP316" s="1" t="s">
        <v>74</v>
      </c>
      <c r="AQ316" s="1" t="s">
        <v>74</v>
      </c>
      <c r="AR316" s="1" t="s">
        <v>74</v>
      </c>
      <c r="AS316" s="1" t="s">
        <v>74</v>
      </c>
      <c r="AT316" s="1" t="s">
        <v>3373</v>
      </c>
      <c r="AU316" s="1">
        <v>2008.0</v>
      </c>
      <c r="AV316" s="1">
        <v>23.0</v>
      </c>
      <c r="AW316" s="1">
        <v>14.0</v>
      </c>
      <c r="AX316" s="1" t="s">
        <v>74</v>
      </c>
      <c r="AY316" s="1" t="s">
        <v>74</v>
      </c>
      <c r="AZ316" s="1" t="s">
        <v>74</v>
      </c>
      <c r="BA316" s="1" t="s">
        <v>74</v>
      </c>
      <c r="BB316" s="1">
        <v>1991.0</v>
      </c>
      <c r="BC316" s="1">
        <v>1997.0</v>
      </c>
      <c r="BD316" s="1" t="s">
        <v>74</v>
      </c>
      <c r="BE316" s="1" t="s">
        <v>3374</v>
      </c>
      <c r="BF316" s="2" t="str">
        <f>HYPERLINK("http://dx.doi.org/10.1002/mds.22210","http://dx.doi.org/10.1002/mds.22210")</f>
        <v>http://dx.doi.org/10.1002/mds.22210</v>
      </c>
      <c r="BG316" s="1" t="s">
        <v>74</v>
      </c>
      <c r="BH316" s="1" t="s">
        <v>74</v>
      </c>
      <c r="BI316" s="1" t="s">
        <v>74</v>
      </c>
      <c r="BJ316" s="1" t="s">
        <v>74</v>
      </c>
      <c r="BK316" s="1" t="s">
        <v>74</v>
      </c>
      <c r="BL316" s="1" t="s">
        <v>74</v>
      </c>
      <c r="BM316" s="1" t="s">
        <v>74</v>
      </c>
      <c r="BN316" s="1">
        <v>1.8759364E7</v>
      </c>
      <c r="BO316" s="1" t="s">
        <v>74</v>
      </c>
      <c r="BP316" s="1" t="s">
        <v>74</v>
      </c>
      <c r="BQ316" s="1" t="s">
        <v>74</v>
      </c>
      <c r="BR316" s="1" t="s">
        <v>74</v>
      </c>
      <c r="BS316" s="1" t="s">
        <v>3375</v>
      </c>
      <c r="BT316" s="1" t="str">
        <f>HYPERLINK("https%3A%2F%2Fwww.webofscience.com%2Fwos%2Fwoscc%2Ffull-record%2FWOS:000261021500006","View Full Record in Web of Science")</f>
        <v>View Full Record in Web of Science</v>
      </c>
    </row>
    <row r="317" ht="12.75" customHeight="1">
      <c r="A317" s="1" t="s">
        <v>72</v>
      </c>
      <c r="B317" s="1" t="s">
        <v>3376</v>
      </c>
      <c r="C317" s="1" t="s">
        <v>74</v>
      </c>
      <c r="D317" s="1" t="s">
        <v>74</v>
      </c>
      <c r="E317" s="1" t="s">
        <v>74</v>
      </c>
      <c r="F317" s="1" t="s">
        <v>3377</v>
      </c>
      <c r="G317" s="1" t="s">
        <v>74</v>
      </c>
      <c r="H317" s="1" t="s">
        <v>74</v>
      </c>
      <c r="I317" s="1" t="s">
        <v>3378</v>
      </c>
      <c r="J317" s="1" t="s">
        <v>3379</v>
      </c>
      <c r="K317" s="1" t="s">
        <v>74</v>
      </c>
      <c r="L317" s="1" t="s">
        <v>74</v>
      </c>
      <c r="M317" s="1" t="s">
        <v>74</v>
      </c>
      <c r="N317" s="1" t="s">
        <v>74</v>
      </c>
      <c r="O317" s="1" t="s">
        <v>3380</v>
      </c>
      <c r="P317" s="1" t="s">
        <v>3381</v>
      </c>
      <c r="Q317" s="1" t="s">
        <v>3382</v>
      </c>
      <c r="R317" s="1" t="s">
        <v>3383</v>
      </c>
      <c r="S317" s="1" t="s">
        <v>74</v>
      </c>
      <c r="T317" s="1" t="s">
        <v>74</v>
      </c>
      <c r="U317" s="1" t="s">
        <v>74</v>
      </c>
      <c r="V317" s="1" t="s">
        <v>3384</v>
      </c>
      <c r="W317" s="1" t="s">
        <v>74</v>
      </c>
      <c r="X317" s="1" t="s">
        <v>74</v>
      </c>
      <c r="Y317" s="1" t="s">
        <v>74</v>
      </c>
      <c r="Z317" s="1" t="s">
        <v>74</v>
      </c>
      <c r="AA317" s="1" t="s">
        <v>3385</v>
      </c>
      <c r="AB317" s="1" t="s">
        <v>3386</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3387</v>
      </c>
      <c r="AP317" s="1" t="s">
        <v>74</v>
      </c>
      <c r="AQ317" s="1" t="s">
        <v>74</v>
      </c>
      <c r="AR317" s="1" t="s">
        <v>74</v>
      </c>
      <c r="AS317" s="1" t="s">
        <v>74</v>
      </c>
      <c r="AT317" s="1" t="s">
        <v>1363</v>
      </c>
      <c r="AU317" s="1">
        <v>2008.0</v>
      </c>
      <c r="AV317" s="1">
        <v>403.0</v>
      </c>
      <c r="AW317" s="1" t="s">
        <v>3388</v>
      </c>
      <c r="AX317" s="1" t="s">
        <v>74</v>
      </c>
      <c r="AY317" s="1" t="s">
        <v>74</v>
      </c>
      <c r="AZ317" s="1" t="s">
        <v>74</v>
      </c>
      <c r="BA317" s="1" t="s">
        <v>74</v>
      </c>
      <c r="BB317" s="1">
        <v>473.0</v>
      </c>
      <c r="BC317" s="1">
        <v>477.0</v>
      </c>
      <c r="BD317" s="1" t="s">
        <v>74</v>
      </c>
      <c r="BE317" s="1" t="s">
        <v>3389</v>
      </c>
      <c r="BF317" s="2" t="str">
        <f>HYPERLINK("http://dx.doi.org/10.1016/j.physb.2007.08.078","http://dx.doi.org/10.1016/j.physb.2007.08.078")</f>
        <v>http://dx.doi.org/10.1016/j.physb.2007.08.078</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3390</v>
      </c>
      <c r="BT317" s="1" t="str">
        <f>HYPERLINK("https%3A%2F%2Fwww.webofscience.com%2Fwos%2Fwoscc%2Ffull-record%2FWOS:000252913300062","View Full Record in Web of Science")</f>
        <v>View Full Record in Web of Science</v>
      </c>
    </row>
    <row r="318" ht="12.75" customHeight="1">
      <c r="A318" s="1" t="s">
        <v>72</v>
      </c>
      <c r="B318" s="1" t="s">
        <v>3391</v>
      </c>
      <c r="C318" s="1" t="s">
        <v>74</v>
      </c>
      <c r="D318" s="1" t="s">
        <v>74</v>
      </c>
      <c r="E318" s="1" t="s">
        <v>74</v>
      </c>
      <c r="F318" s="1" t="s">
        <v>3391</v>
      </c>
      <c r="G318" s="1" t="s">
        <v>74</v>
      </c>
      <c r="H318" s="1" t="s">
        <v>74</v>
      </c>
      <c r="I318" s="1" t="s">
        <v>3392</v>
      </c>
      <c r="J318" s="1" t="s">
        <v>3393</v>
      </c>
      <c r="K318" s="1" t="s">
        <v>74</v>
      </c>
      <c r="L318" s="1" t="s">
        <v>74</v>
      </c>
      <c r="M318" s="1" t="s">
        <v>74</v>
      </c>
      <c r="N318" s="1" t="s">
        <v>74</v>
      </c>
      <c r="O318" s="1" t="s">
        <v>74</v>
      </c>
      <c r="P318" s="1" t="s">
        <v>74</v>
      </c>
      <c r="Q318" s="1" t="s">
        <v>74</v>
      </c>
      <c r="R318" s="1" t="s">
        <v>74</v>
      </c>
      <c r="S318" s="1" t="s">
        <v>74</v>
      </c>
      <c r="T318" s="1" t="s">
        <v>74</v>
      </c>
      <c r="U318" s="1" t="s">
        <v>74</v>
      </c>
      <c r="V318" s="1" t="s">
        <v>3394</v>
      </c>
      <c r="W318" s="1" t="s">
        <v>74</v>
      </c>
      <c r="X318" s="1" t="s">
        <v>74</v>
      </c>
      <c r="Y318" s="1" t="s">
        <v>74</v>
      </c>
      <c r="Z318" s="1" t="s">
        <v>74</v>
      </c>
      <c r="AA318" s="1" t="s">
        <v>3395</v>
      </c>
      <c r="AB318" s="1" t="s">
        <v>3396</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3397</v>
      </c>
      <c r="AP318" s="1" t="s">
        <v>74</v>
      </c>
      <c r="AQ318" s="1" t="s">
        <v>74</v>
      </c>
      <c r="AR318" s="1" t="s">
        <v>74</v>
      </c>
      <c r="AS318" s="1" t="s">
        <v>74</v>
      </c>
      <c r="AT318" s="1" t="s">
        <v>3398</v>
      </c>
      <c r="AU318" s="1">
        <v>2006.0</v>
      </c>
      <c r="AV318" s="1">
        <v>172.0</v>
      </c>
      <c r="AW318" s="1">
        <v>3.0</v>
      </c>
      <c r="AX318" s="1" t="s">
        <v>74</v>
      </c>
      <c r="AY318" s="1" t="s">
        <v>74</v>
      </c>
      <c r="AZ318" s="1" t="s">
        <v>74</v>
      </c>
      <c r="BA318" s="1" t="s">
        <v>74</v>
      </c>
      <c r="BB318" s="1">
        <v>451.0</v>
      </c>
      <c r="BC318" s="1">
        <v>460.0</v>
      </c>
      <c r="BD318" s="1" t="s">
        <v>74</v>
      </c>
      <c r="BE318" s="1" t="s">
        <v>3399</v>
      </c>
      <c r="BF318" s="2" t="str">
        <f>HYPERLINK("http://dx.doi.org/10.1016/j.jmatprotec.2005.11.015","http://dx.doi.org/10.1016/j.jmatprotec.2005.11.015")</f>
        <v>http://dx.doi.org/10.1016/j.jmatprotec.2005.11.015</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3400</v>
      </c>
      <c r="BT318" s="1" t="str">
        <f>HYPERLINK("https%3A%2F%2Fwww.webofscience.com%2Fwos%2Fwoscc%2Ffull-record%2FWOS:000236294600019","View Full Record in Web of Science")</f>
        <v>View Full Record in Web of Science</v>
      </c>
    </row>
    <row r="319" ht="12.75" customHeight="1">
      <c r="A319" s="1" t="s">
        <v>311</v>
      </c>
      <c r="B319" s="1" t="s">
        <v>3401</v>
      </c>
      <c r="C319" s="1" t="s">
        <v>74</v>
      </c>
      <c r="D319" s="1" t="s">
        <v>3402</v>
      </c>
      <c r="E319" s="1" t="s">
        <v>74</v>
      </c>
      <c r="F319" s="1" t="s">
        <v>3401</v>
      </c>
      <c r="G319" s="1" t="s">
        <v>74</v>
      </c>
      <c r="H319" s="1" t="s">
        <v>74</v>
      </c>
      <c r="I319" s="1" t="s">
        <v>3403</v>
      </c>
      <c r="J319" s="1" t="s">
        <v>3404</v>
      </c>
      <c r="K319" s="1" t="s">
        <v>354</v>
      </c>
      <c r="L319" s="1" t="s">
        <v>74</v>
      </c>
      <c r="M319" s="1" t="s">
        <v>74</v>
      </c>
      <c r="N319" s="1" t="s">
        <v>74</v>
      </c>
      <c r="O319" s="1" t="s">
        <v>3405</v>
      </c>
      <c r="P319" s="1" t="s">
        <v>3406</v>
      </c>
      <c r="Q319" s="1" t="s">
        <v>3407</v>
      </c>
      <c r="R319" s="1" t="s">
        <v>74</v>
      </c>
      <c r="S319" s="1" t="s">
        <v>74</v>
      </c>
      <c r="T319" s="1" t="s">
        <v>74</v>
      </c>
      <c r="U319" s="1" t="s">
        <v>74</v>
      </c>
      <c r="V319" s="1" t="s">
        <v>3408</v>
      </c>
      <c r="W319" s="1" t="s">
        <v>74</v>
      </c>
      <c r="X319" s="1" t="s">
        <v>74</v>
      </c>
      <c r="Y319" s="1" t="s">
        <v>74</v>
      </c>
      <c r="Z319" s="1" t="s">
        <v>74</v>
      </c>
      <c r="AA319" s="1" t="s">
        <v>74</v>
      </c>
      <c r="AB319" s="1" t="s">
        <v>74</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361</v>
      </c>
      <c r="AP319" s="1" t="s">
        <v>362</v>
      </c>
      <c r="AQ319" s="1" t="s">
        <v>3409</v>
      </c>
      <c r="AR319" s="1" t="s">
        <v>74</v>
      </c>
      <c r="AS319" s="1" t="s">
        <v>74</v>
      </c>
      <c r="AT319" s="1" t="s">
        <v>74</v>
      </c>
      <c r="AU319" s="1">
        <v>2005.0</v>
      </c>
      <c r="AV319" s="1">
        <v>3773.0</v>
      </c>
      <c r="AW319" s="1" t="s">
        <v>74</v>
      </c>
      <c r="AX319" s="1" t="s">
        <v>74</v>
      </c>
      <c r="AY319" s="1" t="s">
        <v>74</v>
      </c>
      <c r="AZ319" s="1" t="s">
        <v>74</v>
      </c>
      <c r="BA319" s="1" t="s">
        <v>74</v>
      </c>
      <c r="BB319" s="1">
        <v>431.0</v>
      </c>
      <c r="BC319" s="1">
        <v>439.0</v>
      </c>
      <c r="BD319" s="1" t="s">
        <v>74</v>
      </c>
      <c r="BE319" s="1" t="s">
        <v>74</v>
      </c>
      <c r="BF319" s="1" t="s">
        <v>74</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3410</v>
      </c>
      <c r="BT319" s="1" t="str">
        <f>HYPERLINK("https%3A%2F%2Fwww.webofscience.com%2Fwos%2Fwoscc%2Ffull-record%2FWOS:000234341500045","View Full Record in Web of Science")</f>
        <v>View Full Record in Web of Science</v>
      </c>
    </row>
    <row r="320" ht="12.75" customHeight="1">
      <c r="A320" s="1" t="s">
        <v>72</v>
      </c>
      <c r="B320" s="1" t="s">
        <v>3411</v>
      </c>
      <c r="C320" s="1" t="s">
        <v>74</v>
      </c>
      <c r="D320" s="1" t="s">
        <v>74</v>
      </c>
      <c r="E320" s="1" t="s">
        <v>74</v>
      </c>
      <c r="F320" s="1" t="s">
        <v>3411</v>
      </c>
      <c r="G320" s="1" t="s">
        <v>74</v>
      </c>
      <c r="H320" s="1" t="s">
        <v>74</v>
      </c>
      <c r="I320" s="1" t="s">
        <v>3412</v>
      </c>
      <c r="J320" s="1" t="s">
        <v>3413</v>
      </c>
      <c r="K320" s="1" t="s">
        <v>74</v>
      </c>
      <c r="L320" s="1" t="s">
        <v>74</v>
      </c>
      <c r="M320" s="1" t="s">
        <v>74</v>
      </c>
      <c r="N320" s="1" t="s">
        <v>74</v>
      </c>
      <c r="O320" s="1" t="s">
        <v>74</v>
      </c>
      <c r="P320" s="1" t="s">
        <v>74</v>
      </c>
      <c r="Q320" s="1" t="s">
        <v>74</v>
      </c>
      <c r="R320" s="1" t="s">
        <v>74</v>
      </c>
      <c r="S320" s="1" t="s">
        <v>74</v>
      </c>
      <c r="T320" s="1" t="s">
        <v>74</v>
      </c>
      <c r="U320" s="1" t="s">
        <v>74</v>
      </c>
      <c r="V320" s="1" t="s">
        <v>3414</v>
      </c>
      <c r="W320" s="1" t="s">
        <v>74</v>
      </c>
      <c r="X320" s="1" t="s">
        <v>74</v>
      </c>
      <c r="Y320" s="1" t="s">
        <v>74</v>
      </c>
      <c r="Z320" s="1" t="s">
        <v>74</v>
      </c>
      <c r="AA320" s="1" t="s">
        <v>3415</v>
      </c>
      <c r="AB320" s="1" t="s">
        <v>3416</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3417</v>
      </c>
      <c r="AP320" s="1" t="s">
        <v>3418</v>
      </c>
      <c r="AQ320" s="1" t="s">
        <v>74</v>
      </c>
      <c r="AR320" s="1" t="s">
        <v>74</v>
      </c>
      <c r="AS320" s="1" t="s">
        <v>74</v>
      </c>
      <c r="AT320" s="1" t="s">
        <v>1106</v>
      </c>
      <c r="AU320" s="1">
        <v>2004.0</v>
      </c>
      <c r="AV320" s="1">
        <v>86.0</v>
      </c>
      <c r="AW320" s="1">
        <v>1.0</v>
      </c>
      <c r="AX320" s="1" t="s">
        <v>74</v>
      </c>
      <c r="AY320" s="1" t="s">
        <v>74</v>
      </c>
      <c r="AZ320" s="1" t="s">
        <v>74</v>
      </c>
      <c r="BA320" s="1" t="s">
        <v>74</v>
      </c>
      <c r="BB320" s="1">
        <v>47.0</v>
      </c>
      <c r="BC320" s="1">
        <v>51.0</v>
      </c>
      <c r="BD320" s="1" t="s">
        <v>74</v>
      </c>
      <c r="BE320" s="1" t="s">
        <v>3419</v>
      </c>
      <c r="BF320" s="2" t="str">
        <f>HYPERLINK("http://dx.doi.org/10.1016/j.biochi.2003.10.013","http://dx.doi.org/10.1016/j.biochi.2003.10.013")</f>
        <v>http://dx.doi.org/10.1016/j.biochi.2003.10.013</v>
      </c>
      <c r="BG320" s="1" t="s">
        <v>74</v>
      </c>
      <c r="BH320" s="1" t="s">
        <v>74</v>
      </c>
      <c r="BI320" s="1" t="s">
        <v>74</v>
      </c>
      <c r="BJ320" s="1" t="s">
        <v>74</v>
      </c>
      <c r="BK320" s="1" t="s">
        <v>74</v>
      </c>
      <c r="BL320" s="1" t="s">
        <v>74</v>
      </c>
      <c r="BM320" s="1" t="s">
        <v>74</v>
      </c>
      <c r="BN320" s="1">
        <v>1.49878E7</v>
      </c>
      <c r="BO320" s="1" t="s">
        <v>74</v>
      </c>
      <c r="BP320" s="1" t="s">
        <v>74</v>
      </c>
      <c r="BQ320" s="1" t="s">
        <v>74</v>
      </c>
      <c r="BR320" s="1" t="s">
        <v>74</v>
      </c>
      <c r="BS320" s="1" t="s">
        <v>3420</v>
      </c>
      <c r="BT320" s="1" t="str">
        <f>HYPERLINK("https%3A%2F%2Fwww.webofscience.com%2Fwos%2Fwoscc%2Ffull-record%2FWOS:000220041200007","View Full Record in Web of Science")</f>
        <v>View Full Record in Web of Science</v>
      </c>
    </row>
    <row r="321" ht="12.75" customHeight="1">
      <c r="A321" s="1" t="s">
        <v>311</v>
      </c>
      <c r="B321" s="1" t="s">
        <v>3421</v>
      </c>
      <c r="C321" s="1" t="s">
        <v>74</v>
      </c>
      <c r="D321" s="1" t="s">
        <v>3422</v>
      </c>
      <c r="E321" s="1" t="s">
        <v>74</v>
      </c>
      <c r="F321" s="1" t="s">
        <v>3421</v>
      </c>
      <c r="G321" s="1" t="s">
        <v>74</v>
      </c>
      <c r="H321" s="1" t="s">
        <v>74</v>
      </c>
      <c r="I321" s="1" t="s">
        <v>3423</v>
      </c>
      <c r="J321" s="1" t="s">
        <v>3424</v>
      </c>
      <c r="K321" s="1" t="s">
        <v>354</v>
      </c>
      <c r="L321" s="1" t="s">
        <v>74</v>
      </c>
      <c r="M321" s="1" t="s">
        <v>74</v>
      </c>
      <c r="N321" s="1" t="s">
        <v>74</v>
      </c>
      <c r="O321" s="1" t="s">
        <v>3425</v>
      </c>
      <c r="P321" s="1" t="s">
        <v>3426</v>
      </c>
      <c r="Q321" s="1" t="s">
        <v>3427</v>
      </c>
      <c r="R321" s="1" t="s">
        <v>3428</v>
      </c>
      <c r="S321" s="1" t="s">
        <v>74</v>
      </c>
      <c r="T321" s="1" t="s">
        <v>74</v>
      </c>
      <c r="U321" s="1" t="s">
        <v>74</v>
      </c>
      <c r="V321" s="1" t="s">
        <v>3429</v>
      </c>
      <c r="W321" s="1" t="s">
        <v>74</v>
      </c>
      <c r="X321" s="1" t="s">
        <v>74</v>
      </c>
      <c r="Y321" s="1" t="s">
        <v>74</v>
      </c>
      <c r="Z321" s="1" t="s">
        <v>74</v>
      </c>
      <c r="AA321" s="1" t="s">
        <v>3430</v>
      </c>
      <c r="AB321" s="1" t="s">
        <v>383</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361</v>
      </c>
      <c r="AP321" s="1" t="s">
        <v>362</v>
      </c>
      <c r="AQ321" s="1" t="s">
        <v>3431</v>
      </c>
      <c r="AR321" s="1" t="s">
        <v>74</v>
      </c>
      <c r="AS321" s="1" t="s">
        <v>74</v>
      </c>
      <c r="AT321" s="1" t="s">
        <v>74</v>
      </c>
      <c r="AU321" s="1">
        <v>2004.0</v>
      </c>
      <c r="AV321" s="1">
        <v>3211.0</v>
      </c>
      <c r="AW321" s="1" t="s">
        <v>74</v>
      </c>
      <c r="AX321" s="1" t="s">
        <v>74</v>
      </c>
      <c r="AY321" s="1" t="s">
        <v>74</v>
      </c>
      <c r="AZ321" s="1" t="s">
        <v>74</v>
      </c>
      <c r="BA321" s="1" t="s">
        <v>74</v>
      </c>
      <c r="BB321" s="1">
        <v>647.0</v>
      </c>
      <c r="BC321" s="1">
        <v>654.0</v>
      </c>
      <c r="BD321" s="1" t="s">
        <v>74</v>
      </c>
      <c r="BE321" s="1" t="s">
        <v>74</v>
      </c>
      <c r="BF321" s="1" t="s">
        <v>74</v>
      </c>
      <c r="BG321" s="1" t="s">
        <v>74</v>
      </c>
      <c r="BH321" s="1" t="s">
        <v>74</v>
      </c>
      <c r="BI321" s="1" t="s">
        <v>74</v>
      </c>
      <c r="BJ321" s="1" t="s">
        <v>74</v>
      </c>
      <c r="BK321" s="1" t="s">
        <v>74</v>
      </c>
      <c r="BL321" s="1" t="s">
        <v>74</v>
      </c>
      <c r="BM321" s="1" t="s">
        <v>74</v>
      </c>
      <c r="BN321" s="1" t="s">
        <v>74</v>
      </c>
      <c r="BO321" s="1" t="s">
        <v>74</v>
      </c>
      <c r="BP321" s="1" t="s">
        <v>74</v>
      </c>
      <c r="BQ321" s="1" t="s">
        <v>74</v>
      </c>
      <c r="BR321" s="1" t="s">
        <v>74</v>
      </c>
      <c r="BS321" s="1" t="s">
        <v>3432</v>
      </c>
      <c r="BT321" s="1" t="str">
        <f>HYPERLINK("https%3A%2F%2Fwww.webofscience.com%2Fwos%2Fwoscc%2Ffull-record%2FWOS:000224667000080","View Full Record in Web of Science")</f>
        <v>View Full Record in Web of Science</v>
      </c>
    </row>
    <row r="322" ht="12.75" customHeight="1">
      <c r="A322" s="1" t="s">
        <v>72</v>
      </c>
      <c r="B322" s="1" t="s">
        <v>3433</v>
      </c>
      <c r="C322" s="1" t="s">
        <v>74</v>
      </c>
      <c r="D322" s="1" t="s">
        <v>74</v>
      </c>
      <c r="E322" s="1" t="s">
        <v>74</v>
      </c>
      <c r="F322" s="1" t="s">
        <v>3433</v>
      </c>
      <c r="G322" s="1" t="s">
        <v>74</v>
      </c>
      <c r="H322" s="1" t="s">
        <v>74</v>
      </c>
      <c r="I322" s="1" t="s">
        <v>3434</v>
      </c>
      <c r="J322" s="1" t="s">
        <v>3435</v>
      </c>
      <c r="K322" s="1" t="s">
        <v>74</v>
      </c>
      <c r="L322" s="1" t="s">
        <v>74</v>
      </c>
      <c r="M322" s="1" t="s">
        <v>74</v>
      </c>
      <c r="N322" s="1" t="s">
        <v>74</v>
      </c>
      <c r="O322" s="1" t="s">
        <v>74</v>
      </c>
      <c r="P322" s="1" t="s">
        <v>74</v>
      </c>
      <c r="Q322" s="1" t="s">
        <v>74</v>
      </c>
      <c r="R322" s="1" t="s">
        <v>74</v>
      </c>
      <c r="S322" s="1" t="s">
        <v>74</v>
      </c>
      <c r="T322" s="1" t="s">
        <v>74</v>
      </c>
      <c r="U322" s="1" t="s">
        <v>74</v>
      </c>
      <c r="V322" s="1" t="s">
        <v>3436</v>
      </c>
      <c r="W322" s="1" t="s">
        <v>74</v>
      </c>
      <c r="X322" s="1" t="s">
        <v>74</v>
      </c>
      <c r="Y322" s="1" t="s">
        <v>74</v>
      </c>
      <c r="Z322" s="1" t="s">
        <v>74</v>
      </c>
      <c r="AA322" s="1" t="s">
        <v>74</v>
      </c>
      <c r="AB322" s="1" t="s">
        <v>837</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3437</v>
      </c>
      <c r="AP322" s="1" t="s">
        <v>3438</v>
      </c>
      <c r="AQ322" s="1" t="s">
        <v>74</v>
      </c>
      <c r="AR322" s="1" t="s">
        <v>74</v>
      </c>
      <c r="AS322" s="1" t="s">
        <v>74</v>
      </c>
      <c r="AT322" s="1" t="s">
        <v>408</v>
      </c>
      <c r="AU322" s="1">
        <v>2003.0</v>
      </c>
      <c r="AV322" s="1">
        <v>16.0</v>
      </c>
      <c r="AW322" s="1">
        <v>2.0</v>
      </c>
      <c r="AX322" s="1" t="s">
        <v>74</v>
      </c>
      <c r="AY322" s="1" t="s">
        <v>74</v>
      </c>
      <c r="AZ322" s="1" t="s">
        <v>74</v>
      </c>
      <c r="BA322" s="1" t="s">
        <v>74</v>
      </c>
      <c r="BB322" s="1">
        <v>137.0</v>
      </c>
      <c r="BC322" s="1">
        <v>150.0</v>
      </c>
      <c r="BD322" s="1" t="s">
        <v>74</v>
      </c>
      <c r="BE322" s="1" t="s">
        <v>3439</v>
      </c>
      <c r="BF322" s="2" t="str">
        <f>HYPERLINK("http://dx.doi.org/10.1002/dac.572","http://dx.doi.org/10.1002/dac.572")</f>
        <v>http://dx.doi.org/10.1002/dac.572</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3440</v>
      </c>
      <c r="BT322" s="1" t="str">
        <f>HYPERLINK("https%3A%2F%2Fwww.webofscience.com%2Fwos%2Fwoscc%2Ffull-record%2FWOS:000181658900002","View Full Record in Web of Science")</f>
        <v>View Full Record in Web of Science</v>
      </c>
    </row>
    <row r="323" ht="12.75" customHeight="1">
      <c r="A323" s="1" t="s">
        <v>72</v>
      </c>
      <c r="B323" s="1" t="s">
        <v>3441</v>
      </c>
      <c r="C323" s="1" t="s">
        <v>74</v>
      </c>
      <c r="D323" s="1" t="s">
        <v>74</v>
      </c>
      <c r="E323" s="1" t="s">
        <v>74</v>
      </c>
      <c r="F323" s="1" t="s">
        <v>3441</v>
      </c>
      <c r="G323" s="1" t="s">
        <v>74</v>
      </c>
      <c r="H323" s="1" t="s">
        <v>74</v>
      </c>
      <c r="I323" s="1" t="s">
        <v>3442</v>
      </c>
      <c r="J323" s="1" t="s">
        <v>2173</v>
      </c>
      <c r="K323" s="1" t="s">
        <v>74</v>
      </c>
      <c r="L323" s="1" t="s">
        <v>74</v>
      </c>
      <c r="M323" s="1" t="s">
        <v>74</v>
      </c>
      <c r="N323" s="1" t="s">
        <v>74</v>
      </c>
      <c r="O323" s="1" t="s">
        <v>74</v>
      </c>
      <c r="P323" s="1" t="s">
        <v>74</v>
      </c>
      <c r="Q323" s="1" t="s">
        <v>74</v>
      </c>
      <c r="R323" s="1" t="s">
        <v>74</v>
      </c>
      <c r="S323" s="1" t="s">
        <v>74</v>
      </c>
      <c r="T323" s="1" t="s">
        <v>74</v>
      </c>
      <c r="U323" s="1" t="s">
        <v>74</v>
      </c>
      <c r="V323" s="1" t="s">
        <v>3443</v>
      </c>
      <c r="W323" s="1" t="s">
        <v>74</v>
      </c>
      <c r="X323" s="1" t="s">
        <v>74</v>
      </c>
      <c r="Y323" s="1" t="s">
        <v>74</v>
      </c>
      <c r="Z323" s="1" t="s">
        <v>74</v>
      </c>
      <c r="AA323" s="1" t="s">
        <v>3444</v>
      </c>
      <c r="AB323" s="1" t="s">
        <v>74</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2177</v>
      </c>
      <c r="AP323" s="1" t="s">
        <v>2178</v>
      </c>
      <c r="AQ323" s="1" t="s">
        <v>74</v>
      </c>
      <c r="AR323" s="1" t="s">
        <v>74</v>
      </c>
      <c r="AS323" s="1" t="s">
        <v>74</v>
      </c>
      <c r="AT323" s="1" t="s">
        <v>3445</v>
      </c>
      <c r="AU323" s="1">
        <v>2003.0</v>
      </c>
      <c r="AV323" s="1">
        <v>541.0</v>
      </c>
      <c r="AW323" s="1" t="s">
        <v>74</v>
      </c>
      <c r="AX323" s="1" t="s">
        <v>74</v>
      </c>
      <c r="AY323" s="1" t="s">
        <v>74</v>
      </c>
      <c r="AZ323" s="1" t="s">
        <v>74</v>
      </c>
      <c r="BA323" s="1" t="s">
        <v>74</v>
      </c>
      <c r="BB323" s="1">
        <v>39.0</v>
      </c>
      <c r="BC323" s="1">
        <v>49.0</v>
      </c>
      <c r="BD323" s="1" t="s">
        <v>3446</v>
      </c>
      <c r="BE323" s="1" t="s">
        <v>3447</v>
      </c>
      <c r="BF323" s="2" t="str">
        <f>HYPERLINK("http://dx.doi.org/10.1016/S0022-0728(02)01313-X","http://dx.doi.org/10.1016/S0022-0728(02)01313-X")</f>
        <v>http://dx.doi.org/10.1016/S0022-0728(02)01313-X</v>
      </c>
      <c r="BG323" s="1" t="s">
        <v>74</v>
      </c>
      <c r="BH323" s="1" t="s">
        <v>74</v>
      </c>
      <c r="BI323" s="1" t="s">
        <v>74</v>
      </c>
      <c r="BJ323" s="1" t="s">
        <v>74</v>
      </c>
      <c r="BK323" s="1" t="s">
        <v>74</v>
      </c>
      <c r="BL323" s="1" t="s">
        <v>74</v>
      </c>
      <c r="BM323" s="1" t="s">
        <v>74</v>
      </c>
      <c r="BN323" s="1" t="s">
        <v>74</v>
      </c>
      <c r="BO323" s="1" t="s">
        <v>74</v>
      </c>
      <c r="BP323" s="1" t="s">
        <v>74</v>
      </c>
      <c r="BQ323" s="1" t="s">
        <v>74</v>
      </c>
      <c r="BR323" s="1" t="s">
        <v>74</v>
      </c>
      <c r="BS323" s="1" t="s">
        <v>3448</v>
      </c>
      <c r="BT323" s="1" t="str">
        <f>HYPERLINK("https%3A%2F%2Fwww.webofscience.com%2Fwos%2Fwoscc%2Ffull-record%2FWOS:000182686700005","View Full Record in Web of Science")</f>
        <v>View Full Record in Web of Science</v>
      </c>
    </row>
    <row r="324" ht="12.75" customHeight="1">
      <c r="A324" s="1" t="s">
        <v>72</v>
      </c>
      <c r="B324" s="1" t="s">
        <v>3449</v>
      </c>
      <c r="C324" s="1" t="s">
        <v>74</v>
      </c>
      <c r="D324" s="1" t="s">
        <v>74</v>
      </c>
      <c r="E324" s="1" t="s">
        <v>74</v>
      </c>
      <c r="F324" s="1" t="s">
        <v>3450</v>
      </c>
      <c r="G324" s="1" t="s">
        <v>74</v>
      </c>
      <c r="H324" s="1" t="s">
        <v>74</v>
      </c>
      <c r="I324" s="1" t="s">
        <v>3451</v>
      </c>
      <c r="J324" s="1" t="s">
        <v>3452</v>
      </c>
      <c r="K324" s="1" t="s">
        <v>74</v>
      </c>
      <c r="L324" s="1" t="s">
        <v>74</v>
      </c>
      <c r="M324" s="1" t="s">
        <v>74</v>
      </c>
      <c r="N324" s="1" t="s">
        <v>74</v>
      </c>
      <c r="O324" s="1" t="s">
        <v>74</v>
      </c>
      <c r="P324" s="1" t="s">
        <v>74</v>
      </c>
      <c r="Q324" s="1" t="s">
        <v>74</v>
      </c>
      <c r="R324" s="1" t="s">
        <v>74</v>
      </c>
      <c r="S324" s="1" t="s">
        <v>74</v>
      </c>
      <c r="T324" s="1" t="s">
        <v>74</v>
      </c>
      <c r="U324" s="1" t="s">
        <v>74</v>
      </c>
      <c r="V324" s="1" t="s">
        <v>3453</v>
      </c>
      <c r="W324" s="1" t="s">
        <v>74</v>
      </c>
      <c r="X324" s="1" t="s">
        <v>74</v>
      </c>
      <c r="Y324" s="1" t="s">
        <v>74</v>
      </c>
      <c r="Z324" s="1" t="s">
        <v>74</v>
      </c>
      <c r="AA324" s="1" t="s">
        <v>74</v>
      </c>
      <c r="AB324" s="1" t="s">
        <v>74</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3454</v>
      </c>
      <c r="AP324" s="1" t="s">
        <v>74</v>
      </c>
      <c r="AQ324" s="1" t="s">
        <v>74</v>
      </c>
      <c r="AR324" s="1" t="s">
        <v>74</v>
      </c>
      <c r="AS324" s="1" t="s">
        <v>74</v>
      </c>
      <c r="AT324" s="1" t="s">
        <v>74</v>
      </c>
      <c r="AU324" s="1">
        <v>2003.0</v>
      </c>
      <c r="AV324" s="1" t="s">
        <v>74</v>
      </c>
      <c r="AW324" s="1" t="s">
        <v>74</v>
      </c>
      <c r="AX324" s="1" t="s">
        <v>74</v>
      </c>
      <c r="AY324" s="1" t="s">
        <v>74</v>
      </c>
      <c r="AZ324" s="1" t="s">
        <v>74</v>
      </c>
      <c r="BA324" s="1" t="s">
        <v>74</v>
      </c>
      <c r="BB324" s="1" t="s">
        <v>74</v>
      </c>
      <c r="BC324" s="1" t="s">
        <v>74</v>
      </c>
      <c r="BD324" s="1">
        <v>15.0</v>
      </c>
      <c r="BE324" s="1" t="s">
        <v>74</v>
      </c>
      <c r="BF324" s="1" t="s">
        <v>74</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3455</v>
      </c>
      <c r="BT324" s="1" t="str">
        <f>HYPERLINK("https%3A%2F%2Fwww.webofscience.com%2Fwos%2Fwoscc%2Ffull-record%2FWOS:000208969400012","View Full Record in Web of Science")</f>
        <v>View Full Record in Web of Science</v>
      </c>
    </row>
    <row r="325" ht="12.75" customHeight="1">
      <c r="A325" s="1" t="s">
        <v>72</v>
      </c>
      <c r="B325" s="1" t="s">
        <v>3456</v>
      </c>
      <c r="C325" s="1" t="s">
        <v>74</v>
      </c>
      <c r="D325" s="1" t="s">
        <v>74</v>
      </c>
      <c r="E325" s="1" t="s">
        <v>74</v>
      </c>
      <c r="F325" s="1" t="s">
        <v>3456</v>
      </c>
      <c r="G325" s="1" t="s">
        <v>74</v>
      </c>
      <c r="H325" s="1" t="s">
        <v>74</v>
      </c>
      <c r="I325" s="1" t="s">
        <v>3457</v>
      </c>
      <c r="J325" s="1" t="s">
        <v>3458</v>
      </c>
      <c r="K325" s="1" t="s">
        <v>74</v>
      </c>
      <c r="L325" s="1" t="s">
        <v>74</v>
      </c>
      <c r="M325" s="1" t="s">
        <v>74</v>
      </c>
      <c r="N325" s="1" t="s">
        <v>74</v>
      </c>
      <c r="O325" s="1" t="s">
        <v>74</v>
      </c>
      <c r="P325" s="1" t="s">
        <v>74</v>
      </c>
      <c r="Q325" s="1" t="s">
        <v>74</v>
      </c>
      <c r="R325" s="1" t="s">
        <v>74</v>
      </c>
      <c r="S325" s="1" t="s">
        <v>74</v>
      </c>
      <c r="T325" s="1" t="s">
        <v>74</v>
      </c>
      <c r="U325" s="1" t="s">
        <v>74</v>
      </c>
      <c r="V325" s="1" t="s">
        <v>3459</v>
      </c>
      <c r="W325" s="1" t="s">
        <v>74</v>
      </c>
      <c r="X325" s="1" t="s">
        <v>74</v>
      </c>
      <c r="Y325" s="1" t="s">
        <v>74</v>
      </c>
      <c r="Z325" s="1" t="s">
        <v>74</v>
      </c>
      <c r="AA325" s="1" t="s">
        <v>3460</v>
      </c>
      <c r="AB325" s="1" t="s">
        <v>3461</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3462</v>
      </c>
      <c r="AP325" s="1" t="s">
        <v>74</v>
      </c>
      <c r="AQ325" s="1" t="s">
        <v>74</v>
      </c>
      <c r="AR325" s="1" t="s">
        <v>74</v>
      </c>
      <c r="AS325" s="1" t="s">
        <v>74</v>
      </c>
      <c r="AT325" s="1" t="s">
        <v>282</v>
      </c>
      <c r="AU325" s="1">
        <v>2002.0</v>
      </c>
      <c r="AV325" s="1">
        <v>16.0</v>
      </c>
      <c r="AW325" s="1">
        <v>4.0</v>
      </c>
      <c r="AX325" s="1" t="s">
        <v>74</v>
      </c>
      <c r="AY325" s="1" t="s">
        <v>74</v>
      </c>
      <c r="AZ325" s="1" t="s">
        <v>74</v>
      </c>
      <c r="BA325" s="1" t="s">
        <v>74</v>
      </c>
      <c r="BB325" s="1">
        <v>277.0</v>
      </c>
      <c r="BC325" s="1">
        <v>281.0</v>
      </c>
      <c r="BD325" s="1" t="s">
        <v>74</v>
      </c>
      <c r="BE325" s="1" t="s">
        <v>3463</v>
      </c>
      <c r="BF325" s="2" t="str">
        <f>HYPERLINK("http://dx.doi.org/10.1080/10575630290020631","http://dx.doi.org/10.1080/10575630290020631")</f>
        <v>http://dx.doi.org/10.1080/10575630290020631</v>
      </c>
      <c r="BG325" s="1" t="s">
        <v>74</v>
      </c>
      <c r="BH325" s="1" t="s">
        <v>74</v>
      </c>
      <c r="BI325" s="1" t="s">
        <v>74</v>
      </c>
      <c r="BJ325" s="1" t="s">
        <v>74</v>
      </c>
      <c r="BK325" s="1" t="s">
        <v>74</v>
      </c>
      <c r="BL325" s="1" t="s">
        <v>74</v>
      </c>
      <c r="BM325" s="1" t="s">
        <v>74</v>
      </c>
      <c r="BN325" s="1">
        <v>1.2168765E7</v>
      </c>
      <c r="BO325" s="1" t="s">
        <v>74</v>
      </c>
      <c r="BP325" s="1" t="s">
        <v>74</v>
      </c>
      <c r="BQ325" s="1" t="s">
        <v>74</v>
      </c>
      <c r="BR325" s="1" t="s">
        <v>74</v>
      </c>
      <c r="BS325" s="1" t="s">
        <v>3464</v>
      </c>
      <c r="BT325" s="1" t="str">
        <f>HYPERLINK("https%3A%2F%2Fwww.webofscience.com%2Fwos%2Fwoscc%2Ffull-record%2FWOS:000177267900013","View Full Record in Web of Science")</f>
        <v>View Full Record in Web of Science</v>
      </c>
    </row>
    <row r="326" ht="12.75" customHeight="1">
      <c r="A326" s="1" t="s">
        <v>72</v>
      </c>
      <c r="B326" s="1" t="s">
        <v>3465</v>
      </c>
      <c r="C326" s="1" t="s">
        <v>74</v>
      </c>
      <c r="D326" s="1" t="s">
        <v>74</v>
      </c>
      <c r="E326" s="1" t="s">
        <v>74</v>
      </c>
      <c r="F326" s="1" t="s">
        <v>3465</v>
      </c>
      <c r="G326" s="1" t="s">
        <v>74</v>
      </c>
      <c r="H326" s="1" t="s">
        <v>74</v>
      </c>
      <c r="I326" s="1" t="s">
        <v>3466</v>
      </c>
      <c r="J326" s="1" t="s">
        <v>1433</v>
      </c>
      <c r="K326" s="1" t="s">
        <v>74</v>
      </c>
      <c r="L326" s="1" t="s">
        <v>74</v>
      </c>
      <c r="M326" s="1" t="s">
        <v>74</v>
      </c>
      <c r="N326" s="1" t="s">
        <v>74</v>
      </c>
      <c r="O326" s="1" t="s">
        <v>74</v>
      </c>
      <c r="P326" s="1" t="s">
        <v>74</v>
      </c>
      <c r="Q326" s="1" t="s">
        <v>74</v>
      </c>
      <c r="R326" s="1" t="s">
        <v>74</v>
      </c>
      <c r="S326" s="1" t="s">
        <v>74</v>
      </c>
      <c r="T326" s="1" t="s">
        <v>74</v>
      </c>
      <c r="U326" s="1" t="s">
        <v>74</v>
      </c>
      <c r="V326" s="1" t="s">
        <v>3467</v>
      </c>
      <c r="W326" s="1" t="s">
        <v>74</v>
      </c>
      <c r="X326" s="1" t="s">
        <v>74</v>
      </c>
      <c r="Y326" s="1" t="s">
        <v>74</v>
      </c>
      <c r="Z326" s="1" t="s">
        <v>74</v>
      </c>
      <c r="AA326" s="1" t="s">
        <v>3468</v>
      </c>
      <c r="AB326" s="1" t="s">
        <v>394</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1437</v>
      </c>
      <c r="AP326" s="1" t="s">
        <v>74</v>
      </c>
      <c r="AQ326" s="1" t="s">
        <v>74</v>
      </c>
      <c r="AR326" s="1" t="s">
        <v>74</v>
      </c>
      <c r="AS326" s="1" t="s">
        <v>74</v>
      </c>
      <c r="AT326" s="1" t="s">
        <v>2691</v>
      </c>
      <c r="AU326" s="1">
        <v>2000.0</v>
      </c>
      <c r="AV326" s="1">
        <v>243.0</v>
      </c>
      <c r="AW326" s="1">
        <v>2.0</v>
      </c>
      <c r="AX326" s="1" t="s">
        <v>74</v>
      </c>
      <c r="AY326" s="1" t="s">
        <v>74</v>
      </c>
      <c r="AZ326" s="1" t="s">
        <v>74</v>
      </c>
      <c r="BA326" s="1" t="s">
        <v>74</v>
      </c>
      <c r="BB326" s="1">
        <v>278.0</v>
      </c>
      <c r="BC326" s="1">
        <v>292.0</v>
      </c>
      <c r="BD326" s="1" t="s">
        <v>74</v>
      </c>
      <c r="BE326" s="1" t="s">
        <v>3469</v>
      </c>
      <c r="BF326" s="2" t="str">
        <f>HYPERLINK("http://dx.doi.org/10.1006/jmaa.1999.6668","http://dx.doi.org/10.1006/jmaa.1999.6668")</f>
        <v>http://dx.doi.org/10.1006/jmaa.1999.6668</v>
      </c>
      <c r="BG326" s="1" t="s">
        <v>74</v>
      </c>
      <c r="BH326" s="1" t="s">
        <v>74</v>
      </c>
      <c r="BI326" s="1" t="s">
        <v>74</v>
      </c>
      <c r="BJ326" s="1" t="s">
        <v>74</v>
      </c>
      <c r="BK326" s="1" t="s">
        <v>74</v>
      </c>
      <c r="BL326" s="1" t="s">
        <v>74</v>
      </c>
      <c r="BM326" s="1" t="s">
        <v>74</v>
      </c>
      <c r="BN326" s="1" t="s">
        <v>74</v>
      </c>
      <c r="BO326" s="1" t="s">
        <v>74</v>
      </c>
      <c r="BP326" s="1" t="s">
        <v>74</v>
      </c>
      <c r="BQ326" s="1" t="s">
        <v>74</v>
      </c>
      <c r="BR326" s="1" t="s">
        <v>74</v>
      </c>
      <c r="BS326" s="1" t="s">
        <v>3470</v>
      </c>
      <c r="BT326" s="1" t="str">
        <f>HYPERLINK("https%3A%2F%2Fwww.webofscience.com%2Fwos%2Fwoscc%2Ffull-record%2FWOS:000085770000006","View Full Record in Web of Science")</f>
        <v>View Full Record in Web of Science</v>
      </c>
    </row>
    <row r="327" ht="12.75" customHeight="1">
      <c r="A327" s="1" t="s">
        <v>72</v>
      </c>
      <c r="B327" s="1" t="s">
        <v>3471</v>
      </c>
      <c r="C327" s="1" t="s">
        <v>74</v>
      </c>
      <c r="D327" s="1" t="s">
        <v>74</v>
      </c>
      <c r="E327" s="1" t="s">
        <v>74</v>
      </c>
      <c r="F327" s="1" t="s">
        <v>3471</v>
      </c>
      <c r="G327" s="1" t="s">
        <v>74</v>
      </c>
      <c r="H327" s="1" t="s">
        <v>74</v>
      </c>
      <c r="I327" s="1" t="s">
        <v>3472</v>
      </c>
      <c r="J327" s="1" t="s">
        <v>3473</v>
      </c>
      <c r="K327" s="1" t="s">
        <v>74</v>
      </c>
      <c r="L327" s="1" t="s">
        <v>74</v>
      </c>
      <c r="M327" s="1" t="s">
        <v>74</v>
      </c>
      <c r="N327" s="1" t="s">
        <v>74</v>
      </c>
      <c r="O327" s="1" t="s">
        <v>74</v>
      </c>
      <c r="P327" s="1" t="s">
        <v>74</v>
      </c>
      <c r="Q327" s="1" t="s">
        <v>74</v>
      </c>
      <c r="R327" s="1" t="s">
        <v>74</v>
      </c>
      <c r="S327" s="1" t="s">
        <v>74</v>
      </c>
      <c r="T327" s="1" t="s">
        <v>74</v>
      </c>
      <c r="U327" s="1" t="s">
        <v>74</v>
      </c>
      <c r="V327" s="1" t="s">
        <v>3474</v>
      </c>
      <c r="W327" s="1" t="s">
        <v>74</v>
      </c>
      <c r="X327" s="1" t="s">
        <v>74</v>
      </c>
      <c r="Y327" s="1" t="s">
        <v>74</v>
      </c>
      <c r="Z327" s="1" t="s">
        <v>74</v>
      </c>
      <c r="AA327" s="1" t="s">
        <v>3475</v>
      </c>
      <c r="AB327" s="1" t="s">
        <v>3476</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3477</v>
      </c>
      <c r="AP327" s="1" t="s">
        <v>3478</v>
      </c>
      <c r="AQ327" s="1" t="s">
        <v>74</v>
      </c>
      <c r="AR327" s="1" t="s">
        <v>74</v>
      </c>
      <c r="AS327" s="1" t="s">
        <v>74</v>
      </c>
      <c r="AT327" s="1" t="s">
        <v>977</v>
      </c>
      <c r="AU327" s="1">
        <v>1999.0</v>
      </c>
      <c r="AV327" s="1">
        <v>104.0</v>
      </c>
      <c r="AW327" s="1" t="s">
        <v>3479</v>
      </c>
      <c r="AX327" s="1" t="s">
        <v>74</v>
      </c>
      <c r="AY327" s="1" t="s">
        <v>74</v>
      </c>
      <c r="AZ327" s="1" t="s">
        <v>74</v>
      </c>
      <c r="BA327" s="1" t="s">
        <v>74</v>
      </c>
      <c r="BB327" s="1">
        <v>19941.0</v>
      </c>
      <c r="BC327" s="1">
        <v>19953.0</v>
      </c>
      <c r="BD327" s="1" t="s">
        <v>74</v>
      </c>
      <c r="BE327" s="1" t="s">
        <v>3480</v>
      </c>
      <c r="BF327" s="2" t="str">
        <f>HYPERLINK("http://dx.doi.org/10.1029/1999JA900036","http://dx.doi.org/10.1029/1999JA900036")</f>
        <v>http://dx.doi.org/10.1029/1999JA900036</v>
      </c>
      <c r="BG327" s="1" t="s">
        <v>74</v>
      </c>
      <c r="BH327" s="1" t="s">
        <v>74</v>
      </c>
      <c r="BI327" s="1" t="s">
        <v>74</v>
      </c>
      <c r="BJ327" s="1" t="s">
        <v>74</v>
      </c>
      <c r="BK327" s="1" t="s">
        <v>74</v>
      </c>
      <c r="BL327" s="1" t="s">
        <v>74</v>
      </c>
      <c r="BM327" s="1" t="s">
        <v>74</v>
      </c>
      <c r="BN327" s="1" t="s">
        <v>74</v>
      </c>
      <c r="BO327" s="1" t="s">
        <v>74</v>
      </c>
      <c r="BP327" s="1" t="s">
        <v>74</v>
      </c>
      <c r="BQ327" s="1" t="s">
        <v>74</v>
      </c>
      <c r="BR327" s="1" t="s">
        <v>74</v>
      </c>
      <c r="BS327" s="1" t="s">
        <v>3481</v>
      </c>
      <c r="BT327" s="1" t="str">
        <f>HYPERLINK("https%3A%2F%2Fwww.webofscience.com%2Fwos%2Fwoscc%2Ffull-record%2FWOS:000082360100020","View Full Record in Web of Science")</f>
        <v>View Full Record in Web of Science</v>
      </c>
    </row>
    <row r="328" ht="12.75" customHeight="1">
      <c r="A328" s="1" t="s">
        <v>72</v>
      </c>
      <c r="B328" s="1" t="s">
        <v>3482</v>
      </c>
      <c r="C328" s="1" t="s">
        <v>74</v>
      </c>
      <c r="D328" s="1" t="s">
        <v>74</v>
      </c>
      <c r="E328" s="1" t="s">
        <v>74</v>
      </c>
      <c r="F328" s="1" t="s">
        <v>3482</v>
      </c>
      <c r="G328" s="1" t="s">
        <v>74</v>
      </c>
      <c r="H328" s="1" t="s">
        <v>74</v>
      </c>
      <c r="I328" s="1" t="s">
        <v>3483</v>
      </c>
      <c r="J328" s="1" t="s">
        <v>3484</v>
      </c>
      <c r="K328" s="1" t="s">
        <v>74</v>
      </c>
      <c r="L328" s="1" t="s">
        <v>74</v>
      </c>
      <c r="M328" s="1" t="s">
        <v>74</v>
      </c>
      <c r="N328" s="1" t="s">
        <v>74</v>
      </c>
      <c r="O328" s="1" t="s">
        <v>74</v>
      </c>
      <c r="P328" s="1" t="s">
        <v>74</v>
      </c>
      <c r="Q328" s="1" t="s">
        <v>74</v>
      </c>
      <c r="R328" s="1" t="s">
        <v>74</v>
      </c>
      <c r="S328" s="1" t="s">
        <v>74</v>
      </c>
      <c r="T328" s="1" t="s">
        <v>74</v>
      </c>
      <c r="U328" s="1" t="s">
        <v>74</v>
      </c>
      <c r="V328" s="1" t="s">
        <v>3485</v>
      </c>
      <c r="W328" s="1" t="s">
        <v>74</v>
      </c>
      <c r="X328" s="1" t="s">
        <v>74</v>
      </c>
      <c r="Y328" s="1" t="s">
        <v>74</v>
      </c>
      <c r="Z328" s="1" t="s">
        <v>74</v>
      </c>
      <c r="AA328" s="1" t="s">
        <v>3486</v>
      </c>
      <c r="AB328" s="1" t="s">
        <v>3487</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3488</v>
      </c>
      <c r="AP328" s="1" t="s">
        <v>74</v>
      </c>
      <c r="AQ328" s="1" t="s">
        <v>74</v>
      </c>
      <c r="AR328" s="1" t="s">
        <v>74</v>
      </c>
      <c r="AS328" s="1" t="s">
        <v>74</v>
      </c>
      <c r="AT328" s="1" t="s">
        <v>74</v>
      </c>
      <c r="AU328" s="1">
        <v>1999.0</v>
      </c>
      <c r="AV328" s="1">
        <v>31.0</v>
      </c>
      <c r="AW328" s="1">
        <v>2.0</v>
      </c>
      <c r="AX328" s="1" t="s">
        <v>74</v>
      </c>
      <c r="AY328" s="1" t="s">
        <v>74</v>
      </c>
      <c r="AZ328" s="1" t="s">
        <v>74</v>
      </c>
      <c r="BA328" s="1" t="s">
        <v>74</v>
      </c>
      <c r="BB328" s="1">
        <v>271.0</v>
      </c>
      <c r="BC328" s="1">
        <v>289.0</v>
      </c>
      <c r="BD328" s="1" t="s">
        <v>74</v>
      </c>
      <c r="BE328" s="1" t="s">
        <v>74</v>
      </c>
      <c r="BF328" s="1" t="s">
        <v>74</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3489</v>
      </c>
      <c r="BT328" s="1" t="str">
        <f>HYPERLINK("https%3A%2F%2Fwww.webofscience.com%2Fwos%2Fwoscc%2Ffull-record%2FWOS:000171721700004","View Full Record in Web of Science")</f>
        <v>View Full Record in Web of Science</v>
      </c>
    </row>
    <row r="329" ht="12.75" customHeight="1">
      <c r="A329" s="1" t="s">
        <v>72</v>
      </c>
      <c r="B329" s="1" t="s">
        <v>3490</v>
      </c>
      <c r="C329" s="1" t="s">
        <v>74</v>
      </c>
      <c r="D329" s="1" t="s">
        <v>74</v>
      </c>
      <c r="E329" s="1" t="s">
        <v>74</v>
      </c>
      <c r="F329" s="1" t="s">
        <v>3490</v>
      </c>
      <c r="G329" s="1" t="s">
        <v>74</v>
      </c>
      <c r="H329" s="1" t="s">
        <v>74</v>
      </c>
      <c r="I329" s="1" t="s">
        <v>3491</v>
      </c>
      <c r="J329" s="1" t="s">
        <v>1585</v>
      </c>
      <c r="K329" s="1" t="s">
        <v>74</v>
      </c>
      <c r="L329" s="1" t="s">
        <v>74</v>
      </c>
      <c r="M329" s="1" t="s">
        <v>74</v>
      </c>
      <c r="N329" s="1" t="s">
        <v>74</v>
      </c>
      <c r="O329" s="1" t="s">
        <v>74</v>
      </c>
      <c r="P329" s="1" t="s">
        <v>74</v>
      </c>
      <c r="Q329" s="1" t="s">
        <v>74</v>
      </c>
      <c r="R329" s="1" t="s">
        <v>74</v>
      </c>
      <c r="S329" s="1" t="s">
        <v>74</v>
      </c>
      <c r="T329" s="1" t="s">
        <v>74</v>
      </c>
      <c r="U329" s="1" t="s">
        <v>74</v>
      </c>
      <c r="V329" s="1" t="s">
        <v>3492</v>
      </c>
      <c r="W329" s="1" t="s">
        <v>74</v>
      </c>
      <c r="X329" s="1" t="s">
        <v>74</v>
      </c>
      <c r="Y329" s="1" t="s">
        <v>74</v>
      </c>
      <c r="Z329" s="1" t="s">
        <v>74</v>
      </c>
      <c r="AA329" s="1" t="s">
        <v>3493</v>
      </c>
      <c r="AB329" s="1" t="s">
        <v>3494</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1589</v>
      </c>
      <c r="AP329" s="1" t="s">
        <v>74</v>
      </c>
      <c r="AQ329" s="1" t="s">
        <v>74</v>
      </c>
      <c r="AR329" s="1" t="s">
        <v>74</v>
      </c>
      <c r="AS329" s="1" t="s">
        <v>74</v>
      </c>
      <c r="AT329" s="1" t="s">
        <v>3269</v>
      </c>
      <c r="AU329" s="1">
        <v>1998.0</v>
      </c>
      <c r="AV329" s="1">
        <v>102.0</v>
      </c>
      <c r="AW329" s="1">
        <v>40.0</v>
      </c>
      <c r="AX329" s="1" t="s">
        <v>74</v>
      </c>
      <c r="AY329" s="1" t="s">
        <v>74</v>
      </c>
      <c r="AZ329" s="1" t="s">
        <v>74</v>
      </c>
      <c r="BA329" s="1" t="s">
        <v>74</v>
      </c>
      <c r="BB329" s="1">
        <v>7864.0</v>
      </c>
      <c r="BC329" s="1">
        <v>7871.0</v>
      </c>
      <c r="BD329" s="1" t="s">
        <v>74</v>
      </c>
      <c r="BE329" s="1" t="s">
        <v>3495</v>
      </c>
      <c r="BF329" s="2" t="str">
        <f>HYPERLINK("http://dx.doi.org/10.1021/jp981841j","http://dx.doi.org/10.1021/jp981841j")</f>
        <v>http://dx.doi.org/10.1021/jp981841j</v>
      </c>
      <c r="BG329" s="1" t="s">
        <v>74</v>
      </c>
      <c r="BH329" s="1" t="s">
        <v>74</v>
      </c>
      <c r="BI329" s="1" t="s">
        <v>74</v>
      </c>
      <c r="BJ329" s="1" t="s">
        <v>74</v>
      </c>
      <c r="BK329" s="1" t="s">
        <v>74</v>
      </c>
      <c r="BL329" s="1" t="s">
        <v>74</v>
      </c>
      <c r="BM329" s="1" t="s">
        <v>74</v>
      </c>
      <c r="BN329" s="1" t="s">
        <v>74</v>
      </c>
      <c r="BO329" s="1" t="s">
        <v>74</v>
      </c>
      <c r="BP329" s="1" t="s">
        <v>74</v>
      </c>
      <c r="BQ329" s="1" t="s">
        <v>74</v>
      </c>
      <c r="BR329" s="1" t="s">
        <v>74</v>
      </c>
      <c r="BS329" s="1" t="s">
        <v>3496</v>
      </c>
      <c r="BT329" s="1" t="str">
        <f>HYPERLINK("https%3A%2F%2Fwww.webofscience.com%2Fwos%2Fwoscc%2Ffull-record%2FWOS:000076380500020","View Full Record in Web of Science")</f>
        <v>View Full Record in Web of Science</v>
      </c>
    </row>
    <row r="330" ht="12.75" customHeight="1">
      <c r="A330" s="1" t="s">
        <v>72</v>
      </c>
      <c r="B330" s="1" t="s">
        <v>3497</v>
      </c>
      <c r="C330" s="1" t="s">
        <v>74</v>
      </c>
      <c r="D330" s="1" t="s">
        <v>74</v>
      </c>
      <c r="E330" s="1" t="s">
        <v>74</v>
      </c>
      <c r="F330" s="1" t="s">
        <v>3497</v>
      </c>
      <c r="G330" s="1" t="s">
        <v>74</v>
      </c>
      <c r="H330" s="1" t="s">
        <v>74</v>
      </c>
      <c r="I330" s="1" t="s">
        <v>3498</v>
      </c>
      <c r="J330" s="1" t="s">
        <v>3499</v>
      </c>
      <c r="K330" s="1" t="s">
        <v>74</v>
      </c>
      <c r="L330" s="1" t="s">
        <v>74</v>
      </c>
      <c r="M330" s="1" t="s">
        <v>74</v>
      </c>
      <c r="N330" s="1" t="s">
        <v>74</v>
      </c>
      <c r="O330" s="1" t="s">
        <v>74</v>
      </c>
      <c r="P330" s="1" t="s">
        <v>74</v>
      </c>
      <c r="Q330" s="1" t="s">
        <v>74</v>
      </c>
      <c r="R330" s="1" t="s">
        <v>74</v>
      </c>
      <c r="S330" s="1" t="s">
        <v>74</v>
      </c>
      <c r="T330" s="1" t="s">
        <v>74</v>
      </c>
      <c r="U330" s="1" t="s">
        <v>74</v>
      </c>
      <c r="V330" s="1" t="s">
        <v>3500</v>
      </c>
      <c r="W330" s="1" t="s">
        <v>74</v>
      </c>
      <c r="X330" s="1" t="s">
        <v>74</v>
      </c>
      <c r="Y330" s="1" t="s">
        <v>74</v>
      </c>
      <c r="Z330" s="1" t="s">
        <v>74</v>
      </c>
      <c r="AA330" s="1" t="s">
        <v>3501</v>
      </c>
      <c r="AB330" s="1" t="s">
        <v>3502</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3503</v>
      </c>
      <c r="AP330" s="1" t="s">
        <v>74</v>
      </c>
      <c r="AQ330" s="1" t="s">
        <v>74</v>
      </c>
      <c r="AR330" s="1" t="s">
        <v>74</v>
      </c>
      <c r="AS330" s="1" t="s">
        <v>74</v>
      </c>
      <c r="AT330" s="1" t="s">
        <v>3217</v>
      </c>
      <c r="AU330" s="1">
        <v>1997.0</v>
      </c>
      <c r="AV330" s="1">
        <v>9.0</v>
      </c>
      <c r="AW330" s="1">
        <v>45.0</v>
      </c>
      <c r="AX330" s="1" t="s">
        <v>74</v>
      </c>
      <c r="AY330" s="1" t="s">
        <v>74</v>
      </c>
      <c r="AZ330" s="1" t="s">
        <v>74</v>
      </c>
      <c r="BA330" s="1" t="s">
        <v>74</v>
      </c>
      <c r="BB330" s="1">
        <v>9931.0</v>
      </c>
      <c r="BC330" s="1">
        <v>9938.0</v>
      </c>
      <c r="BD330" s="1" t="s">
        <v>74</v>
      </c>
      <c r="BE330" s="1" t="s">
        <v>3504</v>
      </c>
      <c r="BF330" s="2" t="str">
        <f>HYPERLINK("http://dx.doi.org/10.1088/0953-8984/9/45/020","http://dx.doi.org/10.1088/0953-8984/9/45/020")</f>
        <v>http://dx.doi.org/10.1088/0953-8984/9/45/020</v>
      </c>
      <c r="BG330" s="1" t="s">
        <v>74</v>
      </c>
      <c r="BH330" s="1" t="s">
        <v>74</v>
      </c>
      <c r="BI330" s="1" t="s">
        <v>74</v>
      </c>
      <c r="BJ330" s="1" t="s">
        <v>74</v>
      </c>
      <c r="BK330" s="1" t="s">
        <v>74</v>
      </c>
      <c r="BL330" s="1" t="s">
        <v>74</v>
      </c>
      <c r="BM330" s="1" t="s">
        <v>74</v>
      </c>
      <c r="BN330" s="1" t="s">
        <v>74</v>
      </c>
      <c r="BO330" s="1" t="s">
        <v>74</v>
      </c>
      <c r="BP330" s="1" t="s">
        <v>74</v>
      </c>
      <c r="BQ330" s="1" t="s">
        <v>74</v>
      </c>
      <c r="BR330" s="1" t="s">
        <v>74</v>
      </c>
      <c r="BS330" s="1" t="s">
        <v>3505</v>
      </c>
      <c r="BT330" s="1" t="str">
        <f>HYPERLINK("https%3A%2F%2Fwww.webofscience.com%2Fwos%2Fwoscc%2Ffull-record%2FWOS:A1997YG23300020","View Full Record in Web of Science")</f>
        <v>View Full Record in Web of Science</v>
      </c>
    </row>
    <row r="331" ht="12.75" customHeight="1">
      <c r="A331" s="1" t="s">
        <v>72</v>
      </c>
      <c r="B331" s="1" t="s">
        <v>3506</v>
      </c>
      <c r="C331" s="1" t="s">
        <v>74</v>
      </c>
      <c r="D331" s="1" t="s">
        <v>74</v>
      </c>
      <c r="E331" s="1" t="s">
        <v>74</v>
      </c>
      <c r="F331" s="1" t="s">
        <v>3506</v>
      </c>
      <c r="G331" s="1" t="s">
        <v>74</v>
      </c>
      <c r="H331" s="1" t="s">
        <v>74</v>
      </c>
      <c r="I331" s="1" t="s">
        <v>3507</v>
      </c>
      <c r="J331" s="1" t="s">
        <v>472</v>
      </c>
      <c r="K331" s="1" t="s">
        <v>74</v>
      </c>
      <c r="L331" s="1" t="s">
        <v>74</v>
      </c>
      <c r="M331" s="1" t="s">
        <v>74</v>
      </c>
      <c r="N331" s="1" t="s">
        <v>74</v>
      </c>
      <c r="O331" s="1" t="s">
        <v>74</v>
      </c>
      <c r="P331" s="1" t="s">
        <v>74</v>
      </c>
      <c r="Q331" s="1" t="s">
        <v>74</v>
      </c>
      <c r="R331" s="1" t="s">
        <v>74</v>
      </c>
      <c r="S331" s="1" t="s">
        <v>74</v>
      </c>
      <c r="T331" s="1" t="s">
        <v>74</v>
      </c>
      <c r="U331" s="1" t="s">
        <v>74</v>
      </c>
      <c r="V331" s="1" t="s">
        <v>74</v>
      </c>
      <c r="W331" s="1" t="s">
        <v>74</v>
      </c>
      <c r="X331" s="1" t="s">
        <v>74</v>
      </c>
      <c r="Y331" s="1" t="s">
        <v>74</v>
      </c>
      <c r="Z331" s="1" t="s">
        <v>74</v>
      </c>
      <c r="AA331" s="1" t="s">
        <v>3508</v>
      </c>
      <c r="AB331" s="1" t="s">
        <v>3509</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474</v>
      </c>
      <c r="AP331" s="1" t="s">
        <v>74</v>
      </c>
      <c r="AQ331" s="1" t="s">
        <v>74</v>
      </c>
      <c r="AR331" s="1" t="s">
        <v>74</v>
      </c>
      <c r="AS331" s="1" t="s">
        <v>74</v>
      </c>
      <c r="AT331" s="1" t="s">
        <v>74</v>
      </c>
      <c r="AU331" s="1">
        <v>1984.0</v>
      </c>
      <c r="AV331" s="1">
        <v>62.0</v>
      </c>
      <c r="AW331" s="1">
        <v>2.0</v>
      </c>
      <c r="AX331" s="1" t="s">
        <v>74</v>
      </c>
      <c r="AY331" s="1" t="s">
        <v>74</v>
      </c>
      <c r="AZ331" s="1" t="s">
        <v>74</v>
      </c>
      <c r="BA331" s="1" t="s">
        <v>74</v>
      </c>
      <c r="BB331" s="1">
        <v>386.0</v>
      </c>
      <c r="BC331" s="1">
        <v>391.0</v>
      </c>
      <c r="BD331" s="1" t="s">
        <v>74</v>
      </c>
      <c r="BE331" s="1" t="s">
        <v>3510</v>
      </c>
      <c r="BF331" s="2" t="str">
        <f>HYPERLINK("http://dx.doi.org/10.1139/v84-068","http://dx.doi.org/10.1139/v84-068")</f>
        <v>http://dx.doi.org/10.1139/v84-068</v>
      </c>
      <c r="BG331" s="1" t="s">
        <v>74</v>
      </c>
      <c r="BH331" s="1" t="s">
        <v>74</v>
      </c>
      <c r="BI331" s="1" t="s">
        <v>74</v>
      </c>
      <c r="BJ331" s="1" t="s">
        <v>74</v>
      </c>
      <c r="BK331" s="1" t="s">
        <v>74</v>
      </c>
      <c r="BL331" s="1" t="s">
        <v>74</v>
      </c>
      <c r="BM331" s="1" t="s">
        <v>74</v>
      </c>
      <c r="BN331" s="1" t="s">
        <v>74</v>
      </c>
      <c r="BO331" s="1" t="s">
        <v>74</v>
      </c>
      <c r="BP331" s="1" t="s">
        <v>74</v>
      </c>
      <c r="BQ331" s="1" t="s">
        <v>74</v>
      </c>
      <c r="BR331" s="1" t="s">
        <v>74</v>
      </c>
      <c r="BS331" s="1" t="s">
        <v>3511</v>
      </c>
      <c r="BT331" s="1" t="str">
        <f>HYPERLINK("https%3A%2F%2Fwww.webofscience.com%2Fwos%2Fwoscc%2Ffull-record%2FWOS:A1984SD87400032","View Full Record in Web of Science")</f>
        <v>View Full Record in Web of Science</v>
      </c>
    </row>
    <row r="332" ht="12.75" customHeight="1">
      <c r="A332" s="1" t="s">
        <v>72</v>
      </c>
      <c r="B332" s="1" t="s">
        <v>3512</v>
      </c>
      <c r="C332" s="1" t="s">
        <v>74</v>
      </c>
      <c r="D332" s="1" t="s">
        <v>74</v>
      </c>
      <c r="E332" s="1" t="s">
        <v>74</v>
      </c>
      <c r="F332" s="1" t="s">
        <v>3513</v>
      </c>
      <c r="G332" s="1" t="s">
        <v>74</v>
      </c>
      <c r="H332" s="1" t="s">
        <v>74</v>
      </c>
      <c r="I332" s="1" t="s">
        <v>3514</v>
      </c>
      <c r="J332" s="1" t="s">
        <v>1684</v>
      </c>
      <c r="K332" s="1" t="s">
        <v>74</v>
      </c>
      <c r="L332" s="1" t="s">
        <v>74</v>
      </c>
      <c r="M332" s="1" t="s">
        <v>74</v>
      </c>
      <c r="N332" s="1" t="s">
        <v>74</v>
      </c>
      <c r="O332" s="1" t="s">
        <v>74</v>
      </c>
      <c r="P332" s="1" t="s">
        <v>74</v>
      </c>
      <c r="Q332" s="1" t="s">
        <v>74</v>
      </c>
      <c r="R332" s="1" t="s">
        <v>74</v>
      </c>
      <c r="S332" s="1" t="s">
        <v>74</v>
      </c>
      <c r="T332" s="1" t="s">
        <v>74</v>
      </c>
      <c r="U332" s="1" t="s">
        <v>74</v>
      </c>
      <c r="V332" s="1" t="s">
        <v>3515</v>
      </c>
      <c r="W332" s="1" t="s">
        <v>74</v>
      </c>
      <c r="X332" s="1" t="s">
        <v>74</v>
      </c>
      <c r="Y332" s="1" t="s">
        <v>74</v>
      </c>
      <c r="Z332" s="1" t="s">
        <v>74</v>
      </c>
      <c r="AA332" s="1" t="s">
        <v>3516</v>
      </c>
      <c r="AB332" s="1" t="s">
        <v>74</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74</v>
      </c>
      <c r="AP332" s="1" t="s">
        <v>1686</v>
      </c>
      <c r="AQ332" s="1" t="s">
        <v>74</v>
      </c>
      <c r="AR332" s="1" t="s">
        <v>74</v>
      </c>
      <c r="AS332" s="1" t="s">
        <v>74</v>
      </c>
      <c r="AT332" s="1" t="s">
        <v>3517</v>
      </c>
      <c r="AU332" s="1">
        <v>2025.0</v>
      </c>
      <c r="AV332" s="1">
        <v>16.0</v>
      </c>
      <c r="AW332" s="1" t="s">
        <v>74</v>
      </c>
      <c r="AX332" s="1" t="s">
        <v>74</v>
      </c>
      <c r="AY332" s="1" t="s">
        <v>74</v>
      </c>
      <c r="AZ332" s="1" t="s">
        <v>74</v>
      </c>
      <c r="BA332" s="1" t="s">
        <v>74</v>
      </c>
      <c r="BB332" s="1" t="s">
        <v>74</v>
      </c>
      <c r="BC332" s="1" t="s">
        <v>74</v>
      </c>
      <c r="BD332" s="1">
        <v>1533010.0</v>
      </c>
      <c r="BE332" s="1" t="s">
        <v>3518</v>
      </c>
      <c r="BF332" s="2" t="str">
        <f>HYPERLINK("http://dx.doi.org/10.3389/fphar.2025.1533010","http://dx.doi.org/10.3389/fphar.2025.1533010")</f>
        <v>http://dx.doi.org/10.3389/fphar.2025.1533010</v>
      </c>
      <c r="BG332" s="1" t="s">
        <v>74</v>
      </c>
      <c r="BH332" s="1" t="s">
        <v>74</v>
      </c>
      <c r="BI332" s="1" t="s">
        <v>74</v>
      </c>
      <c r="BJ332" s="1" t="s">
        <v>74</v>
      </c>
      <c r="BK332" s="1" t="s">
        <v>74</v>
      </c>
      <c r="BL332" s="1" t="s">
        <v>74</v>
      </c>
      <c r="BM332" s="1" t="s">
        <v>74</v>
      </c>
      <c r="BN332" s="1">
        <v>3.995942E7</v>
      </c>
      <c r="BO332" s="1" t="s">
        <v>74</v>
      </c>
      <c r="BP332" s="1" t="s">
        <v>74</v>
      </c>
      <c r="BQ332" s="1" t="s">
        <v>74</v>
      </c>
      <c r="BR332" s="1" t="s">
        <v>74</v>
      </c>
      <c r="BS332" s="1" t="s">
        <v>3519</v>
      </c>
      <c r="BT332" s="1" t="str">
        <f>HYPERLINK("https%3A%2F%2Fwww.webofscience.com%2Fwos%2Fwoscc%2Ffull-record%2FWOS:001420360000001","View Full Record in Web of Science")</f>
        <v>View Full Record in Web of Science</v>
      </c>
    </row>
    <row r="333" ht="12.75" customHeight="1">
      <c r="A333" s="1" t="s">
        <v>72</v>
      </c>
      <c r="B333" s="1" t="s">
        <v>3520</v>
      </c>
      <c r="C333" s="1" t="s">
        <v>74</v>
      </c>
      <c r="D333" s="1" t="s">
        <v>74</v>
      </c>
      <c r="E333" s="1" t="s">
        <v>74</v>
      </c>
      <c r="F333" s="1" t="s">
        <v>3521</v>
      </c>
      <c r="G333" s="1" t="s">
        <v>74</v>
      </c>
      <c r="H333" s="1" t="s">
        <v>74</v>
      </c>
      <c r="I333" s="1" t="s">
        <v>3522</v>
      </c>
      <c r="J333" s="1" t="s">
        <v>1959</v>
      </c>
      <c r="K333" s="1" t="s">
        <v>74</v>
      </c>
      <c r="L333" s="1" t="s">
        <v>74</v>
      </c>
      <c r="M333" s="1" t="s">
        <v>74</v>
      </c>
      <c r="N333" s="1" t="s">
        <v>74</v>
      </c>
      <c r="O333" s="1" t="s">
        <v>74</v>
      </c>
      <c r="P333" s="1" t="s">
        <v>74</v>
      </c>
      <c r="Q333" s="1" t="s">
        <v>74</v>
      </c>
      <c r="R333" s="1" t="s">
        <v>74</v>
      </c>
      <c r="S333" s="1" t="s">
        <v>74</v>
      </c>
      <c r="T333" s="1" t="s">
        <v>74</v>
      </c>
      <c r="U333" s="1" t="s">
        <v>74</v>
      </c>
      <c r="V333" s="1" t="s">
        <v>3523</v>
      </c>
      <c r="W333" s="1" t="s">
        <v>74</v>
      </c>
      <c r="X333" s="1" t="s">
        <v>74</v>
      </c>
      <c r="Y333" s="1" t="s">
        <v>74</v>
      </c>
      <c r="Z333" s="1" t="s">
        <v>74</v>
      </c>
      <c r="AA333" s="1" t="s">
        <v>3524</v>
      </c>
      <c r="AB333" s="1" t="s">
        <v>3525</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1963</v>
      </c>
      <c r="AP333" s="1" t="s">
        <v>74</v>
      </c>
      <c r="AQ333" s="1" t="s">
        <v>74</v>
      </c>
      <c r="AR333" s="1" t="s">
        <v>74</v>
      </c>
      <c r="AS333" s="1" t="s">
        <v>74</v>
      </c>
      <c r="AT333" s="1" t="s">
        <v>3526</v>
      </c>
      <c r="AU333" s="1">
        <v>2025.0</v>
      </c>
      <c r="AV333" s="1">
        <v>15.0</v>
      </c>
      <c r="AW333" s="1">
        <v>1.0</v>
      </c>
      <c r="AX333" s="1" t="s">
        <v>74</v>
      </c>
      <c r="AY333" s="1" t="s">
        <v>74</v>
      </c>
      <c r="AZ333" s="1" t="s">
        <v>74</v>
      </c>
      <c r="BA333" s="1" t="s">
        <v>74</v>
      </c>
      <c r="BB333" s="1" t="s">
        <v>74</v>
      </c>
      <c r="BC333" s="1" t="s">
        <v>74</v>
      </c>
      <c r="BD333" s="1">
        <v>1684.0</v>
      </c>
      <c r="BE333" s="1" t="s">
        <v>3527</v>
      </c>
      <c r="BF333" s="2" t="str">
        <f>HYPERLINK("http://dx.doi.org/10.1038/s41598-025-85601-2","http://dx.doi.org/10.1038/s41598-025-85601-2")</f>
        <v>http://dx.doi.org/10.1038/s41598-025-85601-2</v>
      </c>
      <c r="BG333" s="1" t="s">
        <v>74</v>
      </c>
      <c r="BH333" s="1" t="s">
        <v>74</v>
      </c>
      <c r="BI333" s="1" t="s">
        <v>74</v>
      </c>
      <c r="BJ333" s="1" t="s">
        <v>74</v>
      </c>
      <c r="BK333" s="1" t="s">
        <v>74</v>
      </c>
      <c r="BL333" s="1" t="s">
        <v>74</v>
      </c>
      <c r="BM333" s="1" t="s">
        <v>74</v>
      </c>
      <c r="BN333" s="1">
        <v>3.9799227E7</v>
      </c>
      <c r="BO333" s="1" t="s">
        <v>74</v>
      </c>
      <c r="BP333" s="1" t="s">
        <v>74</v>
      </c>
      <c r="BQ333" s="1" t="s">
        <v>74</v>
      </c>
      <c r="BR333" s="1" t="s">
        <v>74</v>
      </c>
      <c r="BS333" s="1" t="s">
        <v>3528</v>
      </c>
      <c r="BT333" s="1" t="str">
        <f>HYPERLINK("https%3A%2F%2Fwww.webofscience.com%2Fwos%2Fwoscc%2Ffull-record%2FWOS:001396240600001","View Full Record in Web of Science")</f>
        <v>View Full Record in Web of Science</v>
      </c>
    </row>
    <row r="334" ht="12.75" customHeight="1">
      <c r="A334" s="1" t="s">
        <v>72</v>
      </c>
      <c r="B334" s="1" t="s">
        <v>3529</v>
      </c>
      <c r="C334" s="1" t="s">
        <v>74</v>
      </c>
      <c r="D334" s="1" t="s">
        <v>74</v>
      </c>
      <c r="E334" s="1" t="s">
        <v>74</v>
      </c>
      <c r="F334" s="1" t="s">
        <v>3530</v>
      </c>
      <c r="G334" s="1" t="s">
        <v>74</v>
      </c>
      <c r="H334" s="1" t="s">
        <v>74</v>
      </c>
      <c r="I334" s="1" t="s">
        <v>3531</v>
      </c>
      <c r="J334" s="1" t="s">
        <v>3532</v>
      </c>
      <c r="K334" s="1" t="s">
        <v>74</v>
      </c>
      <c r="L334" s="1" t="s">
        <v>74</v>
      </c>
      <c r="M334" s="1" t="s">
        <v>74</v>
      </c>
      <c r="N334" s="1" t="s">
        <v>74</v>
      </c>
      <c r="O334" s="1" t="s">
        <v>74</v>
      </c>
      <c r="P334" s="1" t="s">
        <v>74</v>
      </c>
      <c r="Q334" s="1" t="s">
        <v>74</v>
      </c>
      <c r="R334" s="1" t="s">
        <v>74</v>
      </c>
      <c r="S334" s="1" t="s">
        <v>74</v>
      </c>
      <c r="T334" s="1" t="s">
        <v>74</v>
      </c>
      <c r="U334" s="1" t="s">
        <v>74</v>
      </c>
      <c r="V334" s="1" t="s">
        <v>3533</v>
      </c>
      <c r="W334" s="1" t="s">
        <v>74</v>
      </c>
      <c r="X334" s="1" t="s">
        <v>74</v>
      </c>
      <c r="Y334" s="1" t="s">
        <v>74</v>
      </c>
      <c r="Z334" s="1" t="s">
        <v>74</v>
      </c>
      <c r="AA334" s="1" t="s">
        <v>3534</v>
      </c>
      <c r="AB334" s="1" t="s">
        <v>3535</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3536</v>
      </c>
      <c r="AP334" s="1" t="s">
        <v>3537</v>
      </c>
      <c r="AQ334" s="1" t="s">
        <v>74</v>
      </c>
      <c r="AR334" s="1" t="s">
        <v>74</v>
      </c>
      <c r="AS334" s="1" t="s">
        <v>74</v>
      </c>
      <c r="AT334" s="1" t="s">
        <v>977</v>
      </c>
      <c r="AU334" s="1">
        <v>2024.0</v>
      </c>
      <c r="AV334" s="1">
        <v>236.0</v>
      </c>
      <c r="AW334" s="1" t="s">
        <v>74</v>
      </c>
      <c r="AX334" s="1" t="s">
        <v>74</v>
      </c>
      <c r="AY334" s="1" t="s">
        <v>74</v>
      </c>
      <c r="AZ334" s="1" t="s">
        <v>74</v>
      </c>
      <c r="BA334" s="1" t="s">
        <v>74</v>
      </c>
      <c r="BB334" s="1" t="s">
        <v>74</v>
      </c>
      <c r="BC334" s="1" t="s">
        <v>74</v>
      </c>
      <c r="BD334" s="1">
        <v>104179.0</v>
      </c>
      <c r="BE334" s="1" t="s">
        <v>3538</v>
      </c>
      <c r="BF334" s="2" t="str">
        <f>HYPERLINK("http://dx.doi.org/10.1016/j.finel.2024.104179","http://dx.doi.org/10.1016/j.finel.2024.104179")</f>
        <v>http://dx.doi.org/10.1016/j.finel.2024.104179</v>
      </c>
      <c r="BG334" s="1" t="s">
        <v>74</v>
      </c>
      <c r="BH334" s="1" t="s">
        <v>3539</v>
      </c>
      <c r="BI334" s="1" t="s">
        <v>74</v>
      </c>
      <c r="BJ334" s="1" t="s">
        <v>74</v>
      </c>
      <c r="BK334" s="1" t="s">
        <v>74</v>
      </c>
      <c r="BL334" s="1" t="s">
        <v>74</v>
      </c>
      <c r="BM334" s="1" t="s">
        <v>74</v>
      </c>
      <c r="BN334" s="1" t="s">
        <v>74</v>
      </c>
      <c r="BO334" s="1" t="s">
        <v>74</v>
      </c>
      <c r="BP334" s="1" t="s">
        <v>74</v>
      </c>
      <c r="BQ334" s="1" t="s">
        <v>74</v>
      </c>
      <c r="BR334" s="1" t="s">
        <v>74</v>
      </c>
      <c r="BS334" s="1" t="s">
        <v>3540</v>
      </c>
      <c r="BT334" s="1" t="str">
        <f>HYPERLINK("https%3A%2F%2Fwww.webofscience.com%2Fwos%2Fwoscc%2Ffull-record%2FWOS:001240519800001","View Full Record in Web of Science")</f>
        <v>View Full Record in Web of Science</v>
      </c>
    </row>
    <row r="335" ht="12.75" customHeight="1">
      <c r="A335" s="1" t="s">
        <v>72</v>
      </c>
      <c r="B335" s="1" t="s">
        <v>3541</v>
      </c>
      <c r="C335" s="1" t="s">
        <v>74</v>
      </c>
      <c r="D335" s="1" t="s">
        <v>74</v>
      </c>
      <c r="E335" s="1" t="s">
        <v>74</v>
      </c>
      <c r="F335" s="1" t="s">
        <v>3542</v>
      </c>
      <c r="G335" s="1" t="s">
        <v>74</v>
      </c>
      <c r="H335" s="1" t="s">
        <v>74</v>
      </c>
      <c r="I335" s="1" t="s">
        <v>3543</v>
      </c>
      <c r="J335" s="1" t="s">
        <v>3544</v>
      </c>
      <c r="K335" s="1" t="s">
        <v>74</v>
      </c>
      <c r="L335" s="1" t="s">
        <v>74</v>
      </c>
      <c r="M335" s="1" t="s">
        <v>74</v>
      </c>
      <c r="N335" s="1" t="s">
        <v>74</v>
      </c>
      <c r="O335" s="1" t="s">
        <v>74</v>
      </c>
      <c r="P335" s="1" t="s">
        <v>74</v>
      </c>
      <c r="Q335" s="1" t="s">
        <v>74</v>
      </c>
      <c r="R335" s="1" t="s">
        <v>74</v>
      </c>
      <c r="S335" s="1" t="s">
        <v>74</v>
      </c>
      <c r="T335" s="1" t="s">
        <v>74</v>
      </c>
      <c r="U335" s="1" t="s">
        <v>74</v>
      </c>
      <c r="V335" s="1" t="s">
        <v>3545</v>
      </c>
      <c r="W335" s="1" t="s">
        <v>74</v>
      </c>
      <c r="X335" s="1" t="s">
        <v>74</v>
      </c>
      <c r="Y335" s="1" t="s">
        <v>74</v>
      </c>
      <c r="Z335" s="1" t="s">
        <v>74</v>
      </c>
      <c r="AA335" s="1" t="s">
        <v>3546</v>
      </c>
      <c r="AB335" s="1" t="s">
        <v>3547</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3548</v>
      </c>
      <c r="AP335" s="1" t="s">
        <v>3549</v>
      </c>
      <c r="AQ335" s="1" t="s">
        <v>74</v>
      </c>
      <c r="AR335" s="1" t="s">
        <v>74</v>
      </c>
      <c r="AS335" s="1" t="s">
        <v>74</v>
      </c>
      <c r="AT335" s="1" t="s">
        <v>177</v>
      </c>
      <c r="AU335" s="1">
        <v>2024.0</v>
      </c>
      <c r="AV335" s="1">
        <v>134.0</v>
      </c>
      <c r="AW335" s="1" t="s">
        <v>74</v>
      </c>
      <c r="AX335" s="1" t="s">
        <v>74</v>
      </c>
      <c r="AY335" s="1" t="s">
        <v>74</v>
      </c>
      <c r="AZ335" s="1" t="s">
        <v>74</v>
      </c>
      <c r="BA335" s="1" t="s">
        <v>74</v>
      </c>
      <c r="BB335" s="1" t="s">
        <v>74</v>
      </c>
      <c r="BC335" s="1" t="s">
        <v>74</v>
      </c>
      <c r="BD335" s="1">
        <v>102931.0</v>
      </c>
      <c r="BE335" s="1" t="s">
        <v>3550</v>
      </c>
      <c r="BF335" s="2" t="str">
        <f>HYPERLINK("http://dx.doi.org/10.1016/j.simpat.2024.102931","http://dx.doi.org/10.1016/j.simpat.2024.102931")</f>
        <v>http://dx.doi.org/10.1016/j.simpat.2024.102931</v>
      </c>
      <c r="BG335" s="1" t="s">
        <v>74</v>
      </c>
      <c r="BH335" s="1" t="s">
        <v>571</v>
      </c>
      <c r="BI335" s="1" t="s">
        <v>74</v>
      </c>
      <c r="BJ335" s="1" t="s">
        <v>74</v>
      </c>
      <c r="BK335" s="1" t="s">
        <v>74</v>
      </c>
      <c r="BL335" s="1" t="s">
        <v>74</v>
      </c>
      <c r="BM335" s="1" t="s">
        <v>74</v>
      </c>
      <c r="BN335" s="1" t="s">
        <v>74</v>
      </c>
      <c r="BO335" s="1" t="s">
        <v>74</v>
      </c>
      <c r="BP335" s="1" t="s">
        <v>74</v>
      </c>
      <c r="BQ335" s="1" t="s">
        <v>74</v>
      </c>
      <c r="BR335" s="1" t="s">
        <v>74</v>
      </c>
      <c r="BS335" s="1" t="s">
        <v>3551</v>
      </c>
      <c r="BT335" s="1" t="str">
        <f>HYPERLINK("https%3A%2F%2Fwww.webofscience.com%2Fwos%2Fwoscc%2Ffull-record%2FWOS:001226888000001","View Full Record in Web of Science")</f>
        <v>View Full Record in Web of Science</v>
      </c>
    </row>
    <row r="336" ht="12.75" customHeight="1">
      <c r="A336" s="1" t="s">
        <v>72</v>
      </c>
      <c r="B336" s="1" t="s">
        <v>3552</v>
      </c>
      <c r="C336" s="1" t="s">
        <v>74</v>
      </c>
      <c r="D336" s="1" t="s">
        <v>74</v>
      </c>
      <c r="E336" s="1" t="s">
        <v>74</v>
      </c>
      <c r="F336" s="1" t="s">
        <v>3553</v>
      </c>
      <c r="G336" s="1" t="s">
        <v>74</v>
      </c>
      <c r="H336" s="1" t="s">
        <v>74</v>
      </c>
      <c r="I336" s="1" t="s">
        <v>3554</v>
      </c>
      <c r="J336" s="1" t="s">
        <v>3555</v>
      </c>
      <c r="K336" s="1" t="s">
        <v>74</v>
      </c>
      <c r="L336" s="1" t="s">
        <v>74</v>
      </c>
      <c r="M336" s="1" t="s">
        <v>74</v>
      </c>
      <c r="N336" s="1" t="s">
        <v>74</v>
      </c>
      <c r="O336" s="1" t="s">
        <v>74</v>
      </c>
      <c r="P336" s="1" t="s">
        <v>74</v>
      </c>
      <c r="Q336" s="1" t="s">
        <v>74</v>
      </c>
      <c r="R336" s="1" t="s">
        <v>74</v>
      </c>
      <c r="S336" s="1" t="s">
        <v>74</v>
      </c>
      <c r="T336" s="1" t="s">
        <v>74</v>
      </c>
      <c r="U336" s="1" t="s">
        <v>74</v>
      </c>
      <c r="V336" s="1" t="s">
        <v>3556</v>
      </c>
      <c r="W336" s="1" t="s">
        <v>74</v>
      </c>
      <c r="X336" s="1" t="s">
        <v>74</v>
      </c>
      <c r="Y336" s="1" t="s">
        <v>74</v>
      </c>
      <c r="Z336" s="1" t="s">
        <v>74</v>
      </c>
      <c r="AA336" s="1" t="s">
        <v>3557</v>
      </c>
      <c r="AB336" s="1" t="s">
        <v>3558</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3559</v>
      </c>
      <c r="AP336" s="1" t="s">
        <v>3560</v>
      </c>
      <c r="AQ336" s="1" t="s">
        <v>74</v>
      </c>
      <c r="AR336" s="1" t="s">
        <v>74</v>
      </c>
      <c r="AS336" s="1" t="s">
        <v>74</v>
      </c>
      <c r="AT336" s="1" t="s">
        <v>1279</v>
      </c>
      <c r="AU336" s="1">
        <v>2024.0</v>
      </c>
      <c r="AV336" s="1">
        <v>60.0</v>
      </c>
      <c r="AW336" s="1">
        <v>3.0</v>
      </c>
      <c r="AX336" s="1" t="s">
        <v>74</v>
      </c>
      <c r="AY336" s="1" t="s">
        <v>74</v>
      </c>
      <c r="AZ336" s="1" t="s">
        <v>74</v>
      </c>
      <c r="BA336" s="1" t="s">
        <v>74</v>
      </c>
      <c r="BB336" s="1">
        <v>608.0</v>
      </c>
      <c r="BC336" s="1">
        <v>619.0</v>
      </c>
      <c r="BD336" s="1" t="s">
        <v>74</v>
      </c>
      <c r="BE336" s="1" t="s">
        <v>3561</v>
      </c>
      <c r="BF336" s="2" t="str">
        <f>HYPERLINK("http://dx.doi.org/10.1007/s10597-023-01216-9","http://dx.doi.org/10.1007/s10597-023-01216-9")</f>
        <v>http://dx.doi.org/10.1007/s10597-023-01216-9</v>
      </c>
      <c r="BG336" s="1" t="s">
        <v>74</v>
      </c>
      <c r="BH336" s="1" t="s">
        <v>1158</v>
      </c>
      <c r="BI336" s="1" t="s">
        <v>74</v>
      </c>
      <c r="BJ336" s="1" t="s">
        <v>74</v>
      </c>
      <c r="BK336" s="1" t="s">
        <v>74</v>
      </c>
      <c r="BL336" s="1" t="s">
        <v>74</v>
      </c>
      <c r="BM336" s="1" t="s">
        <v>74</v>
      </c>
      <c r="BN336" s="1">
        <v>3.8194119E7</v>
      </c>
      <c r="BO336" s="1" t="s">
        <v>74</v>
      </c>
      <c r="BP336" s="1" t="s">
        <v>74</v>
      </c>
      <c r="BQ336" s="1" t="s">
        <v>74</v>
      </c>
      <c r="BR336" s="1" t="s">
        <v>74</v>
      </c>
      <c r="BS336" s="1" t="s">
        <v>3562</v>
      </c>
      <c r="BT336" s="1" t="str">
        <f>HYPERLINK("https%3A%2F%2Fwww.webofscience.com%2Fwos%2Fwoscc%2Ffull-record%2FWOS:001138396000001","View Full Record in Web of Science")</f>
        <v>View Full Record in Web of Science</v>
      </c>
    </row>
    <row r="337" ht="12.75" customHeight="1">
      <c r="A337" s="1" t="s">
        <v>72</v>
      </c>
      <c r="B337" s="1" t="s">
        <v>3563</v>
      </c>
      <c r="C337" s="1" t="s">
        <v>74</v>
      </c>
      <c r="D337" s="1" t="s">
        <v>74</v>
      </c>
      <c r="E337" s="1" t="s">
        <v>74</v>
      </c>
      <c r="F337" s="1" t="s">
        <v>3564</v>
      </c>
      <c r="G337" s="1" t="s">
        <v>74</v>
      </c>
      <c r="H337" s="1" t="s">
        <v>74</v>
      </c>
      <c r="I337" s="1" t="s">
        <v>3565</v>
      </c>
      <c r="J337" s="1" t="s">
        <v>3566</v>
      </c>
      <c r="K337" s="1" t="s">
        <v>74</v>
      </c>
      <c r="L337" s="1" t="s">
        <v>74</v>
      </c>
      <c r="M337" s="1" t="s">
        <v>74</v>
      </c>
      <c r="N337" s="1" t="s">
        <v>74</v>
      </c>
      <c r="O337" s="1" t="s">
        <v>74</v>
      </c>
      <c r="P337" s="1" t="s">
        <v>74</v>
      </c>
      <c r="Q337" s="1" t="s">
        <v>74</v>
      </c>
      <c r="R337" s="1" t="s">
        <v>74</v>
      </c>
      <c r="S337" s="1" t="s">
        <v>74</v>
      </c>
      <c r="T337" s="1" t="s">
        <v>74</v>
      </c>
      <c r="U337" s="1" t="s">
        <v>74</v>
      </c>
      <c r="V337" s="1" t="s">
        <v>74</v>
      </c>
      <c r="W337" s="1" t="s">
        <v>74</v>
      </c>
      <c r="X337" s="1" t="s">
        <v>74</v>
      </c>
      <c r="Y337" s="1" t="s">
        <v>74</v>
      </c>
      <c r="Z337" s="1" t="s">
        <v>74</v>
      </c>
      <c r="AA337" s="1" t="s">
        <v>3567</v>
      </c>
      <c r="AB337" s="1" t="s">
        <v>3568</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3569</v>
      </c>
      <c r="AP337" s="1" t="s">
        <v>3570</v>
      </c>
      <c r="AQ337" s="1" t="s">
        <v>74</v>
      </c>
      <c r="AR337" s="1" t="s">
        <v>74</v>
      </c>
      <c r="AS337" s="1" t="s">
        <v>74</v>
      </c>
      <c r="AT337" s="1" t="s">
        <v>271</v>
      </c>
      <c r="AU337" s="1">
        <v>2023.0</v>
      </c>
      <c r="AV337" s="1">
        <v>37.0</v>
      </c>
      <c r="AW337" s="1" t="s">
        <v>74</v>
      </c>
      <c r="AX337" s="1" t="s">
        <v>74</v>
      </c>
      <c r="AY337" s="1">
        <v>1.0</v>
      </c>
      <c r="AZ337" s="1" t="s">
        <v>74</v>
      </c>
      <c r="BA337" s="1">
        <v>140.0</v>
      </c>
      <c r="BB337" s="1" t="s">
        <v>3571</v>
      </c>
      <c r="BC337" s="1" t="s">
        <v>3572</v>
      </c>
      <c r="BD337" s="1" t="s">
        <v>74</v>
      </c>
      <c r="BE337" s="1" t="s">
        <v>74</v>
      </c>
      <c r="BF337" s="1" t="s">
        <v>74</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3573</v>
      </c>
      <c r="BT337" s="1" t="str">
        <f>HYPERLINK("https%3A%2F%2Fwww.webofscience.com%2Fwos%2Fwoscc%2Ffull-record%2FWOS:001161877400510","View Full Record in Web of Science")</f>
        <v>View Full Record in Web of Science</v>
      </c>
    </row>
    <row r="338" ht="12.75" customHeight="1">
      <c r="A338" s="1" t="s">
        <v>72</v>
      </c>
      <c r="B338" s="1" t="s">
        <v>3574</v>
      </c>
      <c r="C338" s="1" t="s">
        <v>74</v>
      </c>
      <c r="D338" s="1" t="s">
        <v>74</v>
      </c>
      <c r="E338" s="1" t="s">
        <v>74</v>
      </c>
      <c r="F338" s="1" t="s">
        <v>3575</v>
      </c>
      <c r="G338" s="1" t="s">
        <v>74</v>
      </c>
      <c r="H338" s="1" t="s">
        <v>74</v>
      </c>
      <c r="I338" s="1" t="s">
        <v>3576</v>
      </c>
      <c r="J338" s="1" t="s">
        <v>3577</v>
      </c>
      <c r="K338" s="1" t="s">
        <v>74</v>
      </c>
      <c r="L338" s="1" t="s">
        <v>74</v>
      </c>
      <c r="M338" s="1" t="s">
        <v>74</v>
      </c>
      <c r="N338" s="1" t="s">
        <v>74</v>
      </c>
      <c r="O338" s="1" t="s">
        <v>74</v>
      </c>
      <c r="P338" s="1" t="s">
        <v>74</v>
      </c>
      <c r="Q338" s="1" t="s">
        <v>74</v>
      </c>
      <c r="R338" s="1" t="s">
        <v>74</v>
      </c>
      <c r="S338" s="1" t="s">
        <v>74</v>
      </c>
      <c r="T338" s="1" t="s">
        <v>74</v>
      </c>
      <c r="U338" s="1" t="s">
        <v>74</v>
      </c>
      <c r="V338" s="1" t="s">
        <v>3578</v>
      </c>
      <c r="W338" s="1" t="s">
        <v>74</v>
      </c>
      <c r="X338" s="1" t="s">
        <v>74</v>
      </c>
      <c r="Y338" s="1" t="s">
        <v>74</v>
      </c>
      <c r="Z338" s="1" t="s">
        <v>74</v>
      </c>
      <c r="AA338" s="1" t="s">
        <v>3579</v>
      </c>
      <c r="AB338" s="1" t="s">
        <v>3580</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3581</v>
      </c>
      <c r="AP338" s="1" t="s">
        <v>3582</v>
      </c>
      <c r="AQ338" s="1" t="s">
        <v>74</v>
      </c>
      <c r="AR338" s="1" t="s">
        <v>74</v>
      </c>
      <c r="AS338" s="1" t="s">
        <v>74</v>
      </c>
      <c r="AT338" s="1" t="s">
        <v>3583</v>
      </c>
      <c r="AU338" s="1">
        <v>2023.0</v>
      </c>
      <c r="AV338" s="1">
        <v>675.0</v>
      </c>
      <c r="AW338" s="1" t="s">
        <v>74</v>
      </c>
      <c r="AX338" s="1" t="s">
        <v>74</v>
      </c>
      <c r="AY338" s="1" t="s">
        <v>74</v>
      </c>
      <c r="AZ338" s="1" t="s">
        <v>74</v>
      </c>
      <c r="BA338" s="1" t="s">
        <v>74</v>
      </c>
      <c r="BB338" s="1" t="s">
        <v>74</v>
      </c>
      <c r="BC338" s="1" t="s">
        <v>74</v>
      </c>
      <c r="BD338" s="1" t="s">
        <v>3584</v>
      </c>
      <c r="BE338" s="1" t="s">
        <v>3585</v>
      </c>
      <c r="BF338" s="2" t="str">
        <f>HYPERLINK("http://dx.doi.org/10.1051/0004-6361/202345899","http://dx.doi.org/10.1051/0004-6361/202345899")</f>
        <v>http://dx.doi.org/10.1051/0004-6361/202345899</v>
      </c>
      <c r="BG338" s="1" t="s">
        <v>74</v>
      </c>
      <c r="BH338" s="1" t="s">
        <v>74</v>
      </c>
      <c r="BI338" s="1" t="s">
        <v>74</v>
      </c>
      <c r="BJ338" s="1" t="s">
        <v>74</v>
      </c>
      <c r="BK338" s="1" t="s">
        <v>74</v>
      </c>
      <c r="BL338" s="1" t="s">
        <v>74</v>
      </c>
      <c r="BM338" s="1" t="s">
        <v>74</v>
      </c>
      <c r="BN338" s="1" t="s">
        <v>74</v>
      </c>
      <c r="BO338" s="1" t="s">
        <v>74</v>
      </c>
      <c r="BP338" s="1" t="s">
        <v>74</v>
      </c>
      <c r="BQ338" s="1" t="s">
        <v>74</v>
      </c>
      <c r="BR338" s="1" t="s">
        <v>74</v>
      </c>
      <c r="BS338" s="1" t="s">
        <v>3586</v>
      </c>
      <c r="BT338" s="1" t="str">
        <f>HYPERLINK("https%3A%2F%2Fwww.webofscience.com%2Fwos%2Fwoscc%2Ffull-record%2FWOS:001023434900020","View Full Record in Web of Science")</f>
        <v>View Full Record in Web of Science</v>
      </c>
    </row>
    <row r="339" ht="12.75" customHeight="1">
      <c r="A339" s="1" t="s">
        <v>72</v>
      </c>
      <c r="B339" s="1" t="s">
        <v>3587</v>
      </c>
      <c r="C339" s="1" t="s">
        <v>74</v>
      </c>
      <c r="D339" s="1" t="s">
        <v>74</v>
      </c>
      <c r="E339" s="1" t="s">
        <v>74</v>
      </c>
      <c r="F339" s="1" t="s">
        <v>3588</v>
      </c>
      <c r="G339" s="1" t="s">
        <v>74</v>
      </c>
      <c r="H339" s="1" t="s">
        <v>74</v>
      </c>
      <c r="I339" s="1" t="s">
        <v>3589</v>
      </c>
      <c r="J339" s="1" t="s">
        <v>1959</v>
      </c>
      <c r="K339" s="1" t="s">
        <v>74</v>
      </c>
      <c r="L339" s="1" t="s">
        <v>74</v>
      </c>
      <c r="M339" s="1" t="s">
        <v>74</v>
      </c>
      <c r="N339" s="1" t="s">
        <v>74</v>
      </c>
      <c r="O339" s="1" t="s">
        <v>74</v>
      </c>
      <c r="P339" s="1" t="s">
        <v>74</v>
      </c>
      <c r="Q339" s="1" t="s">
        <v>74</v>
      </c>
      <c r="R339" s="1" t="s">
        <v>74</v>
      </c>
      <c r="S339" s="1" t="s">
        <v>74</v>
      </c>
      <c r="T339" s="1" t="s">
        <v>74</v>
      </c>
      <c r="U339" s="1" t="s">
        <v>74</v>
      </c>
      <c r="V339" s="1" t="s">
        <v>3590</v>
      </c>
      <c r="W339" s="1" t="s">
        <v>74</v>
      </c>
      <c r="X339" s="1" t="s">
        <v>74</v>
      </c>
      <c r="Y339" s="1" t="s">
        <v>74</v>
      </c>
      <c r="Z339" s="1" t="s">
        <v>74</v>
      </c>
      <c r="AA339" s="1" t="s">
        <v>3591</v>
      </c>
      <c r="AB339" s="1" t="s">
        <v>3592</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1963</v>
      </c>
      <c r="AP339" s="1" t="s">
        <v>74</v>
      </c>
      <c r="AQ339" s="1" t="s">
        <v>74</v>
      </c>
      <c r="AR339" s="1" t="s">
        <v>74</v>
      </c>
      <c r="AS339" s="1" t="s">
        <v>74</v>
      </c>
      <c r="AT339" s="1" t="s">
        <v>3593</v>
      </c>
      <c r="AU339" s="1">
        <v>2022.0</v>
      </c>
      <c r="AV339" s="1">
        <v>12.0</v>
      </c>
      <c r="AW339" s="1">
        <v>1.0</v>
      </c>
      <c r="AX339" s="1" t="s">
        <v>74</v>
      </c>
      <c r="AY339" s="1" t="s">
        <v>74</v>
      </c>
      <c r="AZ339" s="1" t="s">
        <v>74</v>
      </c>
      <c r="BA339" s="1" t="s">
        <v>74</v>
      </c>
      <c r="BB339" s="1" t="s">
        <v>74</v>
      </c>
      <c r="BC339" s="1" t="s">
        <v>74</v>
      </c>
      <c r="BD339" s="1">
        <v>22483.0</v>
      </c>
      <c r="BE339" s="1" t="s">
        <v>3594</v>
      </c>
      <c r="BF339" s="2" t="str">
        <f>HYPERLINK("http://dx.doi.org/10.1038/s41598-022-26739-1","http://dx.doi.org/10.1038/s41598-022-26739-1")</f>
        <v>http://dx.doi.org/10.1038/s41598-022-26739-1</v>
      </c>
      <c r="BG339" s="1" t="s">
        <v>74</v>
      </c>
      <c r="BH339" s="1" t="s">
        <v>74</v>
      </c>
      <c r="BI339" s="1" t="s">
        <v>74</v>
      </c>
      <c r="BJ339" s="1" t="s">
        <v>74</v>
      </c>
      <c r="BK339" s="1" t="s">
        <v>74</v>
      </c>
      <c r="BL339" s="1" t="s">
        <v>74</v>
      </c>
      <c r="BM339" s="1" t="s">
        <v>74</v>
      </c>
      <c r="BN339" s="1">
        <v>3.6577769E7</v>
      </c>
      <c r="BO339" s="1" t="s">
        <v>74</v>
      </c>
      <c r="BP339" s="1" t="s">
        <v>74</v>
      </c>
      <c r="BQ339" s="1" t="s">
        <v>74</v>
      </c>
      <c r="BR339" s="1" t="s">
        <v>74</v>
      </c>
      <c r="BS339" s="1" t="s">
        <v>3595</v>
      </c>
      <c r="BT339" s="1" t="str">
        <f>HYPERLINK("https%3A%2F%2Fwww.webofscience.com%2Fwos%2Fwoscc%2Ffull-record%2FWOS:000905762900039","View Full Record in Web of Science")</f>
        <v>View Full Record in Web of Science</v>
      </c>
    </row>
    <row r="340" ht="12.75" customHeight="1">
      <c r="A340" s="1" t="s">
        <v>72</v>
      </c>
      <c r="B340" s="1" t="s">
        <v>3596</v>
      </c>
      <c r="C340" s="1" t="s">
        <v>74</v>
      </c>
      <c r="D340" s="1" t="s">
        <v>74</v>
      </c>
      <c r="E340" s="1" t="s">
        <v>74</v>
      </c>
      <c r="F340" s="1" t="s">
        <v>3597</v>
      </c>
      <c r="G340" s="1" t="s">
        <v>74</v>
      </c>
      <c r="H340" s="1" t="s">
        <v>74</v>
      </c>
      <c r="I340" s="1" t="s">
        <v>3598</v>
      </c>
      <c r="J340" s="1" t="s">
        <v>3599</v>
      </c>
      <c r="K340" s="1" t="s">
        <v>74</v>
      </c>
      <c r="L340" s="1" t="s">
        <v>74</v>
      </c>
      <c r="M340" s="1" t="s">
        <v>74</v>
      </c>
      <c r="N340" s="1" t="s">
        <v>74</v>
      </c>
      <c r="O340" s="1" t="s">
        <v>74</v>
      </c>
      <c r="P340" s="1" t="s">
        <v>74</v>
      </c>
      <c r="Q340" s="1" t="s">
        <v>74</v>
      </c>
      <c r="R340" s="1" t="s">
        <v>74</v>
      </c>
      <c r="S340" s="1" t="s">
        <v>74</v>
      </c>
      <c r="T340" s="1" t="s">
        <v>74</v>
      </c>
      <c r="U340" s="1" t="s">
        <v>74</v>
      </c>
      <c r="V340" s="1" t="s">
        <v>3600</v>
      </c>
      <c r="W340" s="1" t="s">
        <v>74</v>
      </c>
      <c r="X340" s="1" t="s">
        <v>74</v>
      </c>
      <c r="Y340" s="1" t="s">
        <v>74</v>
      </c>
      <c r="Z340" s="1" t="s">
        <v>74</v>
      </c>
      <c r="AA340" s="1" t="s">
        <v>3601</v>
      </c>
      <c r="AB340" s="1" t="s">
        <v>3602</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3603</v>
      </c>
      <c r="AP340" s="1" t="s">
        <v>3604</v>
      </c>
      <c r="AQ340" s="1" t="s">
        <v>74</v>
      </c>
      <c r="AR340" s="1" t="s">
        <v>74</v>
      </c>
      <c r="AS340" s="1" t="s">
        <v>74</v>
      </c>
      <c r="AT340" s="1" t="s">
        <v>1106</v>
      </c>
      <c r="AU340" s="1">
        <v>2023.0</v>
      </c>
      <c r="AV340" s="1">
        <v>157.0</v>
      </c>
      <c r="AW340" s="1" t="s">
        <v>74</v>
      </c>
      <c r="AX340" s="1" t="s">
        <v>74</v>
      </c>
      <c r="AY340" s="1" t="s">
        <v>74</v>
      </c>
      <c r="AZ340" s="1" t="s">
        <v>74</v>
      </c>
      <c r="BA340" s="1" t="s">
        <v>74</v>
      </c>
      <c r="BB340" s="1" t="s">
        <v>74</v>
      </c>
      <c r="BC340" s="1" t="s">
        <v>74</v>
      </c>
      <c r="BD340" s="1">
        <v>108617.0</v>
      </c>
      <c r="BE340" s="1" t="s">
        <v>3605</v>
      </c>
      <c r="BF340" s="2" t="str">
        <f>HYPERLINK("http://dx.doi.org/10.1016/j.optlastec.2022.108617","http://dx.doi.org/10.1016/j.optlastec.2022.108617")</f>
        <v>http://dx.doi.org/10.1016/j.optlastec.2022.108617</v>
      </c>
      <c r="BG340" s="1" t="s">
        <v>74</v>
      </c>
      <c r="BH340" s="1" t="s">
        <v>3606</v>
      </c>
      <c r="BI340" s="1" t="s">
        <v>74</v>
      </c>
      <c r="BJ340" s="1" t="s">
        <v>74</v>
      </c>
      <c r="BK340" s="1" t="s">
        <v>74</v>
      </c>
      <c r="BL340" s="1" t="s">
        <v>74</v>
      </c>
      <c r="BM340" s="1" t="s">
        <v>74</v>
      </c>
      <c r="BN340" s="1" t="s">
        <v>74</v>
      </c>
      <c r="BO340" s="1" t="s">
        <v>74</v>
      </c>
      <c r="BP340" s="1" t="s">
        <v>74</v>
      </c>
      <c r="BQ340" s="1" t="s">
        <v>74</v>
      </c>
      <c r="BR340" s="1" t="s">
        <v>74</v>
      </c>
      <c r="BS340" s="1" t="s">
        <v>3607</v>
      </c>
      <c r="BT340" s="1" t="str">
        <f>HYPERLINK("https%3A%2F%2Fwww.webofscience.com%2Fwos%2Fwoscc%2Ffull-record%2FWOS:000862927000004","View Full Record in Web of Science")</f>
        <v>View Full Record in Web of Science</v>
      </c>
    </row>
    <row r="341" ht="12.75" customHeight="1">
      <c r="A341" s="1" t="s">
        <v>72</v>
      </c>
      <c r="B341" s="1" t="s">
        <v>3608</v>
      </c>
      <c r="C341" s="1" t="s">
        <v>74</v>
      </c>
      <c r="D341" s="1" t="s">
        <v>74</v>
      </c>
      <c r="E341" s="1" t="s">
        <v>74</v>
      </c>
      <c r="F341" s="1" t="s">
        <v>3609</v>
      </c>
      <c r="G341" s="1" t="s">
        <v>74</v>
      </c>
      <c r="H341" s="1" t="s">
        <v>74</v>
      </c>
      <c r="I341" s="1" t="s">
        <v>3610</v>
      </c>
      <c r="J341" s="1" t="s">
        <v>3611</v>
      </c>
      <c r="K341" s="1" t="s">
        <v>74</v>
      </c>
      <c r="L341" s="1" t="s">
        <v>74</v>
      </c>
      <c r="M341" s="1" t="s">
        <v>74</v>
      </c>
      <c r="N341" s="1" t="s">
        <v>74</v>
      </c>
      <c r="O341" s="1" t="s">
        <v>74</v>
      </c>
      <c r="P341" s="1" t="s">
        <v>74</v>
      </c>
      <c r="Q341" s="1" t="s">
        <v>74</v>
      </c>
      <c r="R341" s="1" t="s">
        <v>74</v>
      </c>
      <c r="S341" s="1" t="s">
        <v>74</v>
      </c>
      <c r="T341" s="1" t="s">
        <v>74</v>
      </c>
      <c r="U341" s="1" t="s">
        <v>74</v>
      </c>
      <c r="V341" s="1" t="s">
        <v>3612</v>
      </c>
      <c r="W341" s="1" t="s">
        <v>74</v>
      </c>
      <c r="X341" s="1" t="s">
        <v>74</v>
      </c>
      <c r="Y341" s="1" t="s">
        <v>74</v>
      </c>
      <c r="Z341" s="1" t="s">
        <v>74</v>
      </c>
      <c r="AA341" s="1" t="s">
        <v>3613</v>
      </c>
      <c r="AB341" s="1" t="s">
        <v>3614</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3615</v>
      </c>
      <c r="AP341" s="1" t="s">
        <v>74</v>
      </c>
      <c r="AQ341" s="1" t="s">
        <v>74</v>
      </c>
      <c r="AR341" s="1" t="s">
        <v>74</v>
      </c>
      <c r="AS341" s="1" t="s">
        <v>74</v>
      </c>
      <c r="AT341" s="1" t="s">
        <v>3616</v>
      </c>
      <c r="AU341" s="1">
        <v>2022.0</v>
      </c>
      <c r="AV341" s="1">
        <v>10.0</v>
      </c>
      <c r="AW341" s="1" t="s">
        <v>74</v>
      </c>
      <c r="AX341" s="1" t="s">
        <v>74</v>
      </c>
      <c r="AY341" s="1" t="s">
        <v>74</v>
      </c>
      <c r="AZ341" s="1" t="s">
        <v>74</v>
      </c>
      <c r="BA341" s="1" t="s">
        <v>74</v>
      </c>
      <c r="BB341" s="1" t="s">
        <v>74</v>
      </c>
      <c r="BC341" s="1" t="s">
        <v>74</v>
      </c>
      <c r="BD341" s="1">
        <v>924019.0</v>
      </c>
      <c r="BE341" s="1" t="s">
        <v>3617</v>
      </c>
      <c r="BF341" s="2" t="str">
        <f>HYPERLINK("http://dx.doi.org/10.3389/fbioe.2022.924019","http://dx.doi.org/10.3389/fbioe.2022.924019")</f>
        <v>http://dx.doi.org/10.3389/fbioe.2022.924019</v>
      </c>
      <c r="BG341" s="1" t="s">
        <v>74</v>
      </c>
      <c r="BH341" s="1" t="s">
        <v>74</v>
      </c>
      <c r="BI341" s="1" t="s">
        <v>74</v>
      </c>
      <c r="BJ341" s="1" t="s">
        <v>74</v>
      </c>
      <c r="BK341" s="1" t="s">
        <v>74</v>
      </c>
      <c r="BL341" s="1" t="s">
        <v>74</v>
      </c>
      <c r="BM341" s="1" t="s">
        <v>74</v>
      </c>
      <c r="BN341" s="1">
        <v>3.6091433E7</v>
      </c>
      <c r="BO341" s="1" t="s">
        <v>74</v>
      </c>
      <c r="BP341" s="1" t="s">
        <v>74</v>
      </c>
      <c r="BQ341" s="1" t="s">
        <v>74</v>
      </c>
      <c r="BR341" s="1" t="s">
        <v>74</v>
      </c>
      <c r="BS341" s="1" t="s">
        <v>3618</v>
      </c>
      <c r="BT341" s="1" t="str">
        <f>HYPERLINK("https%3A%2F%2Fwww.webofscience.com%2Fwos%2Fwoscc%2Ffull-record%2FWOS:000852520100001","View Full Record in Web of Science")</f>
        <v>View Full Record in Web of Science</v>
      </c>
    </row>
    <row r="342" ht="12.75" customHeight="1">
      <c r="A342" s="1" t="s">
        <v>72</v>
      </c>
      <c r="B342" s="1" t="s">
        <v>3619</v>
      </c>
      <c r="C342" s="1" t="s">
        <v>74</v>
      </c>
      <c r="D342" s="1" t="s">
        <v>74</v>
      </c>
      <c r="E342" s="1" t="s">
        <v>74</v>
      </c>
      <c r="F342" s="1" t="s">
        <v>3620</v>
      </c>
      <c r="G342" s="1" t="s">
        <v>74</v>
      </c>
      <c r="H342" s="1" t="s">
        <v>74</v>
      </c>
      <c r="I342" s="1" t="s">
        <v>3621</v>
      </c>
      <c r="J342" s="1" t="s">
        <v>3622</v>
      </c>
      <c r="K342" s="1" t="s">
        <v>74</v>
      </c>
      <c r="L342" s="1" t="s">
        <v>74</v>
      </c>
      <c r="M342" s="1" t="s">
        <v>74</v>
      </c>
      <c r="N342" s="1" t="s">
        <v>74</v>
      </c>
      <c r="O342" s="1" t="s">
        <v>74</v>
      </c>
      <c r="P342" s="1" t="s">
        <v>74</v>
      </c>
      <c r="Q342" s="1" t="s">
        <v>74</v>
      </c>
      <c r="R342" s="1" t="s">
        <v>74</v>
      </c>
      <c r="S342" s="1" t="s">
        <v>74</v>
      </c>
      <c r="T342" s="1" t="s">
        <v>74</v>
      </c>
      <c r="U342" s="1" t="s">
        <v>74</v>
      </c>
      <c r="V342" s="1" t="s">
        <v>3623</v>
      </c>
      <c r="W342" s="1" t="s">
        <v>74</v>
      </c>
      <c r="X342" s="1" t="s">
        <v>74</v>
      </c>
      <c r="Y342" s="1" t="s">
        <v>74</v>
      </c>
      <c r="Z342" s="1" t="s">
        <v>74</v>
      </c>
      <c r="AA342" s="1" t="s">
        <v>3624</v>
      </c>
      <c r="AB342" s="1" t="s">
        <v>3625</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74</v>
      </c>
      <c r="AP342" s="1" t="s">
        <v>3626</v>
      </c>
      <c r="AQ342" s="1" t="s">
        <v>74</v>
      </c>
      <c r="AR342" s="1" t="s">
        <v>74</v>
      </c>
      <c r="AS342" s="1" t="s">
        <v>74</v>
      </c>
      <c r="AT342" s="1" t="s">
        <v>294</v>
      </c>
      <c r="AU342" s="1">
        <v>2022.0</v>
      </c>
      <c r="AV342" s="1">
        <v>12.0</v>
      </c>
      <c r="AW342" s="1">
        <v>3.0</v>
      </c>
      <c r="AX342" s="1" t="s">
        <v>74</v>
      </c>
      <c r="AY342" s="1" t="s">
        <v>74</v>
      </c>
      <c r="AZ342" s="1" t="s">
        <v>74</v>
      </c>
      <c r="BA342" s="1" t="s">
        <v>74</v>
      </c>
      <c r="BB342" s="1" t="s">
        <v>74</v>
      </c>
      <c r="BC342" s="1" t="s">
        <v>74</v>
      </c>
      <c r="BD342" s="1">
        <v>1586.0</v>
      </c>
      <c r="BE342" s="1" t="s">
        <v>3627</v>
      </c>
      <c r="BF342" s="2" t="str">
        <f>HYPERLINK("http://dx.doi.org/10.3390/app12031586","http://dx.doi.org/10.3390/app12031586")</f>
        <v>http://dx.doi.org/10.3390/app12031586</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3628</v>
      </c>
      <c r="BT342" s="1" t="str">
        <f>HYPERLINK("https%3A%2F%2Fwww.webofscience.com%2Fwos%2Fwoscc%2Ffull-record%2FWOS:000761013300001","View Full Record in Web of Science")</f>
        <v>View Full Record in Web of Science</v>
      </c>
    </row>
    <row r="343" ht="12.75" customHeight="1">
      <c r="A343" s="1" t="s">
        <v>72</v>
      </c>
      <c r="B343" s="1" t="s">
        <v>3629</v>
      </c>
      <c r="C343" s="1" t="s">
        <v>74</v>
      </c>
      <c r="D343" s="1" t="s">
        <v>74</v>
      </c>
      <c r="E343" s="1" t="s">
        <v>74</v>
      </c>
      <c r="F343" s="1" t="s">
        <v>3630</v>
      </c>
      <c r="G343" s="1" t="s">
        <v>74</v>
      </c>
      <c r="H343" s="1" t="s">
        <v>74</v>
      </c>
      <c r="I343" s="1" t="s">
        <v>3631</v>
      </c>
      <c r="J343" s="1" t="s">
        <v>3632</v>
      </c>
      <c r="K343" s="1" t="s">
        <v>74</v>
      </c>
      <c r="L343" s="1" t="s">
        <v>74</v>
      </c>
      <c r="M343" s="1" t="s">
        <v>74</v>
      </c>
      <c r="N343" s="1" t="s">
        <v>74</v>
      </c>
      <c r="O343" s="1" t="s">
        <v>74</v>
      </c>
      <c r="P343" s="1" t="s">
        <v>74</v>
      </c>
      <c r="Q343" s="1" t="s">
        <v>74</v>
      </c>
      <c r="R343" s="1" t="s">
        <v>74</v>
      </c>
      <c r="S343" s="1" t="s">
        <v>74</v>
      </c>
      <c r="T343" s="1" t="s">
        <v>74</v>
      </c>
      <c r="U343" s="1" t="s">
        <v>74</v>
      </c>
      <c r="V343" s="1" t="s">
        <v>3633</v>
      </c>
      <c r="W343" s="1" t="s">
        <v>74</v>
      </c>
      <c r="X343" s="1" t="s">
        <v>74</v>
      </c>
      <c r="Y343" s="1" t="s">
        <v>74</v>
      </c>
      <c r="Z343" s="1" t="s">
        <v>74</v>
      </c>
      <c r="AA343" s="1" t="s">
        <v>3634</v>
      </c>
      <c r="AB343" s="1" t="s">
        <v>3635</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74</v>
      </c>
      <c r="AP343" s="1" t="s">
        <v>3636</v>
      </c>
      <c r="AQ343" s="1" t="s">
        <v>74</v>
      </c>
      <c r="AR343" s="1" t="s">
        <v>74</v>
      </c>
      <c r="AS343" s="1" t="s">
        <v>74</v>
      </c>
      <c r="AT343" s="1" t="s">
        <v>282</v>
      </c>
      <c r="AU343" s="1">
        <v>2021.0</v>
      </c>
      <c r="AV343" s="1">
        <v>7.0</v>
      </c>
      <c r="AW343" s="1">
        <v>8.0</v>
      </c>
      <c r="AX343" s="1" t="s">
        <v>74</v>
      </c>
      <c r="AY343" s="1" t="s">
        <v>74</v>
      </c>
      <c r="AZ343" s="1" t="s">
        <v>74</v>
      </c>
      <c r="BA343" s="1" t="s">
        <v>74</v>
      </c>
      <c r="BB343" s="1" t="s">
        <v>74</v>
      </c>
      <c r="BC343" s="1" t="s">
        <v>74</v>
      </c>
      <c r="BD343" s="1">
        <v>278.0</v>
      </c>
      <c r="BE343" s="1" t="s">
        <v>3637</v>
      </c>
      <c r="BF343" s="2" t="str">
        <f>HYPERLINK("http://dx.doi.org/10.3390/universe7080278","http://dx.doi.org/10.3390/universe7080278")</f>
        <v>http://dx.doi.org/10.3390/universe7080278</v>
      </c>
      <c r="BG343" s="1" t="s">
        <v>74</v>
      </c>
      <c r="BH343" s="1" t="s">
        <v>74</v>
      </c>
      <c r="BI343" s="1" t="s">
        <v>74</v>
      </c>
      <c r="BJ343" s="1" t="s">
        <v>74</v>
      </c>
      <c r="BK343" s="1" t="s">
        <v>74</v>
      </c>
      <c r="BL343" s="1" t="s">
        <v>74</v>
      </c>
      <c r="BM343" s="1" t="s">
        <v>74</v>
      </c>
      <c r="BN343" s="1" t="s">
        <v>74</v>
      </c>
      <c r="BO343" s="1" t="s">
        <v>74</v>
      </c>
      <c r="BP343" s="1" t="s">
        <v>74</v>
      </c>
      <c r="BQ343" s="1" t="s">
        <v>74</v>
      </c>
      <c r="BR343" s="1" t="s">
        <v>74</v>
      </c>
      <c r="BS343" s="1" t="s">
        <v>3638</v>
      </c>
      <c r="BT343" s="1" t="str">
        <f>HYPERLINK("https%3A%2F%2Fwww.webofscience.com%2Fwos%2Fwoscc%2Ffull-record%2FWOS:000690136800001","View Full Record in Web of Science")</f>
        <v>View Full Record in Web of Science</v>
      </c>
    </row>
    <row r="344" ht="12.75" customHeight="1">
      <c r="A344" s="1" t="s">
        <v>72</v>
      </c>
      <c r="B344" s="1" t="s">
        <v>3639</v>
      </c>
      <c r="C344" s="1" t="s">
        <v>74</v>
      </c>
      <c r="D344" s="1" t="s">
        <v>74</v>
      </c>
      <c r="E344" s="1" t="s">
        <v>74</v>
      </c>
      <c r="F344" s="1" t="s">
        <v>3640</v>
      </c>
      <c r="G344" s="1" t="s">
        <v>74</v>
      </c>
      <c r="H344" s="1" t="s">
        <v>74</v>
      </c>
      <c r="I344" s="1" t="s">
        <v>3641</v>
      </c>
      <c r="J344" s="1" t="s">
        <v>3642</v>
      </c>
      <c r="K344" s="1" t="s">
        <v>74</v>
      </c>
      <c r="L344" s="1" t="s">
        <v>74</v>
      </c>
      <c r="M344" s="1" t="s">
        <v>74</v>
      </c>
      <c r="N344" s="1" t="s">
        <v>74</v>
      </c>
      <c r="O344" s="1" t="s">
        <v>74</v>
      </c>
      <c r="P344" s="1" t="s">
        <v>74</v>
      </c>
      <c r="Q344" s="1" t="s">
        <v>74</v>
      </c>
      <c r="R344" s="1" t="s">
        <v>74</v>
      </c>
      <c r="S344" s="1" t="s">
        <v>74</v>
      </c>
      <c r="T344" s="1" t="s">
        <v>74</v>
      </c>
      <c r="U344" s="1" t="s">
        <v>74</v>
      </c>
      <c r="V344" s="1" t="s">
        <v>3643</v>
      </c>
      <c r="W344" s="1" t="s">
        <v>74</v>
      </c>
      <c r="X344" s="1" t="s">
        <v>74</v>
      </c>
      <c r="Y344" s="1" t="s">
        <v>74</v>
      </c>
      <c r="Z344" s="1" t="s">
        <v>74</v>
      </c>
      <c r="AA344" s="1" t="s">
        <v>74</v>
      </c>
      <c r="AB344" s="1" t="s">
        <v>74</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3644</v>
      </c>
      <c r="AP344" s="1" t="s">
        <v>3645</v>
      </c>
      <c r="AQ344" s="1" t="s">
        <v>74</v>
      </c>
      <c r="AR344" s="1" t="s">
        <v>74</v>
      </c>
      <c r="AS344" s="1" t="s">
        <v>74</v>
      </c>
      <c r="AT344" s="1" t="s">
        <v>600</v>
      </c>
      <c r="AU344" s="1">
        <v>2021.0</v>
      </c>
      <c r="AV344" s="1" t="s">
        <v>74</v>
      </c>
      <c r="AW344" s="1">
        <v>52.0</v>
      </c>
      <c r="AX344" s="1" t="s">
        <v>74</v>
      </c>
      <c r="AY344" s="1" t="s">
        <v>74</v>
      </c>
      <c r="AZ344" s="1" t="s">
        <v>74</v>
      </c>
      <c r="BA344" s="1" t="s">
        <v>74</v>
      </c>
      <c r="BB344" s="1" t="s">
        <v>74</v>
      </c>
      <c r="BC344" s="1" t="s">
        <v>74</v>
      </c>
      <c r="BD344" s="1" t="s">
        <v>3646</v>
      </c>
      <c r="BE344" s="1" t="s">
        <v>3647</v>
      </c>
      <c r="BF344" s="2" t="str">
        <f>HYPERLINK("http://dx.doi.org/10.22187/rfde2021n52espa15","http://dx.doi.org/10.22187/rfde2021n52espa15")</f>
        <v>http://dx.doi.org/10.22187/rfde2021n52espa15</v>
      </c>
      <c r="BG344" s="1" t="s">
        <v>74</v>
      </c>
      <c r="BH344" s="1" t="s">
        <v>74</v>
      </c>
      <c r="BI344" s="1" t="s">
        <v>74</v>
      </c>
      <c r="BJ344" s="1" t="s">
        <v>74</v>
      </c>
      <c r="BK344" s="1" t="s">
        <v>74</v>
      </c>
      <c r="BL344" s="1" t="s">
        <v>74</v>
      </c>
      <c r="BM344" s="1" t="s">
        <v>74</v>
      </c>
      <c r="BN344" s="1" t="s">
        <v>74</v>
      </c>
      <c r="BO344" s="1" t="s">
        <v>74</v>
      </c>
      <c r="BP344" s="1" t="s">
        <v>74</v>
      </c>
      <c r="BQ344" s="1" t="s">
        <v>74</v>
      </c>
      <c r="BR344" s="1" t="s">
        <v>74</v>
      </c>
      <c r="BS344" s="1" t="s">
        <v>3648</v>
      </c>
      <c r="BT344" s="1" t="str">
        <f>HYPERLINK("https%3A%2F%2Fwww.webofscience.com%2Fwos%2Fwoscc%2Ffull-record%2FWOS:000734883700011","View Full Record in Web of Science")</f>
        <v>View Full Record in Web of Science</v>
      </c>
    </row>
    <row r="345" ht="12.75" customHeight="1">
      <c r="A345" s="1" t="s">
        <v>72</v>
      </c>
      <c r="B345" s="1" t="s">
        <v>3649</v>
      </c>
      <c r="C345" s="1" t="s">
        <v>74</v>
      </c>
      <c r="D345" s="1" t="s">
        <v>74</v>
      </c>
      <c r="E345" s="1" t="s">
        <v>74</v>
      </c>
      <c r="F345" s="1" t="s">
        <v>3650</v>
      </c>
      <c r="G345" s="1" t="s">
        <v>74</v>
      </c>
      <c r="H345" s="1" t="s">
        <v>74</v>
      </c>
      <c r="I345" s="1" t="s">
        <v>3651</v>
      </c>
      <c r="J345" s="1" t="s">
        <v>3652</v>
      </c>
      <c r="K345" s="1" t="s">
        <v>74</v>
      </c>
      <c r="L345" s="1" t="s">
        <v>74</v>
      </c>
      <c r="M345" s="1" t="s">
        <v>74</v>
      </c>
      <c r="N345" s="1" t="s">
        <v>74</v>
      </c>
      <c r="O345" s="1" t="s">
        <v>74</v>
      </c>
      <c r="P345" s="1" t="s">
        <v>74</v>
      </c>
      <c r="Q345" s="1" t="s">
        <v>74</v>
      </c>
      <c r="R345" s="1" t="s">
        <v>74</v>
      </c>
      <c r="S345" s="1" t="s">
        <v>74</v>
      </c>
      <c r="T345" s="1" t="s">
        <v>74</v>
      </c>
      <c r="U345" s="1" t="s">
        <v>74</v>
      </c>
      <c r="V345" s="1" t="s">
        <v>3653</v>
      </c>
      <c r="W345" s="1" t="s">
        <v>74</v>
      </c>
      <c r="X345" s="1" t="s">
        <v>74</v>
      </c>
      <c r="Y345" s="1" t="s">
        <v>74</v>
      </c>
      <c r="Z345" s="1" t="s">
        <v>74</v>
      </c>
      <c r="AA345" s="1" t="s">
        <v>3654</v>
      </c>
      <c r="AB345" s="1" t="s">
        <v>3655</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3656</v>
      </c>
      <c r="AP345" s="1" t="s">
        <v>3657</v>
      </c>
      <c r="AQ345" s="1" t="s">
        <v>74</v>
      </c>
      <c r="AR345" s="1" t="s">
        <v>74</v>
      </c>
      <c r="AS345" s="1" t="s">
        <v>74</v>
      </c>
      <c r="AT345" s="1" t="s">
        <v>282</v>
      </c>
      <c r="AU345" s="1">
        <v>2021.0</v>
      </c>
      <c r="AV345" s="1">
        <v>167.0</v>
      </c>
      <c r="AW345" s="1" t="s">
        <v>74</v>
      </c>
      <c r="AX345" s="1" t="s">
        <v>74</v>
      </c>
      <c r="AY345" s="1" t="s">
        <v>74</v>
      </c>
      <c r="AZ345" s="1" t="s">
        <v>74</v>
      </c>
      <c r="BA345" s="1" t="s">
        <v>74</v>
      </c>
      <c r="BB345" s="1" t="s">
        <v>74</v>
      </c>
      <c r="BC345" s="1" t="s">
        <v>74</v>
      </c>
      <c r="BD345" s="1">
        <v>106303.0</v>
      </c>
      <c r="BE345" s="1" t="s">
        <v>3658</v>
      </c>
      <c r="BF345" s="2" t="str">
        <f>HYPERLINK("http://dx.doi.org/10.1016/j.microc.2021.106303","http://dx.doi.org/10.1016/j.microc.2021.106303")</f>
        <v>http://dx.doi.org/10.1016/j.microc.2021.106303</v>
      </c>
      <c r="BG345" s="1" t="s">
        <v>74</v>
      </c>
      <c r="BH345" s="1" t="s">
        <v>2427</v>
      </c>
      <c r="BI345" s="1" t="s">
        <v>74</v>
      </c>
      <c r="BJ345" s="1" t="s">
        <v>74</v>
      </c>
      <c r="BK345" s="1" t="s">
        <v>74</v>
      </c>
      <c r="BL345" s="1" t="s">
        <v>74</v>
      </c>
      <c r="BM345" s="1" t="s">
        <v>74</v>
      </c>
      <c r="BN345" s="1" t="s">
        <v>74</v>
      </c>
      <c r="BO345" s="1" t="s">
        <v>74</v>
      </c>
      <c r="BP345" s="1" t="s">
        <v>74</v>
      </c>
      <c r="BQ345" s="1" t="s">
        <v>74</v>
      </c>
      <c r="BR345" s="1" t="s">
        <v>74</v>
      </c>
      <c r="BS345" s="1" t="s">
        <v>3659</v>
      </c>
      <c r="BT345" s="1" t="str">
        <f>HYPERLINK("https%3A%2F%2Fwww.webofscience.com%2Fwos%2Fwoscc%2Ffull-record%2FWOS:000662635700015","View Full Record in Web of Science")</f>
        <v>View Full Record in Web of Science</v>
      </c>
    </row>
    <row r="346" ht="12.75" customHeight="1">
      <c r="A346" s="1" t="s">
        <v>72</v>
      </c>
      <c r="B346" s="1" t="s">
        <v>3660</v>
      </c>
      <c r="C346" s="1" t="s">
        <v>74</v>
      </c>
      <c r="D346" s="1" t="s">
        <v>74</v>
      </c>
      <c r="E346" s="1" t="s">
        <v>74</v>
      </c>
      <c r="F346" s="1" t="s">
        <v>3661</v>
      </c>
      <c r="G346" s="1" t="s">
        <v>74</v>
      </c>
      <c r="H346" s="1" t="s">
        <v>74</v>
      </c>
      <c r="I346" s="1" t="s">
        <v>3662</v>
      </c>
      <c r="J346" s="1" t="s">
        <v>3663</v>
      </c>
      <c r="K346" s="1" t="s">
        <v>74</v>
      </c>
      <c r="L346" s="1" t="s">
        <v>74</v>
      </c>
      <c r="M346" s="1" t="s">
        <v>74</v>
      </c>
      <c r="N346" s="1" t="s">
        <v>74</v>
      </c>
      <c r="O346" s="1" t="s">
        <v>74</v>
      </c>
      <c r="P346" s="1" t="s">
        <v>74</v>
      </c>
      <c r="Q346" s="1" t="s">
        <v>74</v>
      </c>
      <c r="R346" s="1" t="s">
        <v>74</v>
      </c>
      <c r="S346" s="1" t="s">
        <v>74</v>
      </c>
      <c r="T346" s="1" t="s">
        <v>74</v>
      </c>
      <c r="U346" s="1" t="s">
        <v>74</v>
      </c>
      <c r="V346" s="1" t="s">
        <v>3664</v>
      </c>
      <c r="W346" s="1" t="s">
        <v>74</v>
      </c>
      <c r="X346" s="1" t="s">
        <v>74</v>
      </c>
      <c r="Y346" s="1" t="s">
        <v>74</v>
      </c>
      <c r="Z346" s="1" t="s">
        <v>74</v>
      </c>
      <c r="AA346" s="1" t="s">
        <v>74</v>
      </c>
      <c r="AB346" s="1" t="s">
        <v>74</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3665</v>
      </c>
      <c r="AP346" s="1" t="s">
        <v>74</v>
      </c>
      <c r="AQ346" s="1" t="s">
        <v>74</v>
      </c>
      <c r="AR346" s="1" t="s">
        <v>74</v>
      </c>
      <c r="AS346" s="1" t="s">
        <v>74</v>
      </c>
      <c r="AT346" s="1" t="s">
        <v>1279</v>
      </c>
      <c r="AU346" s="1">
        <v>2021.0</v>
      </c>
      <c r="AV346" s="1">
        <v>50.0</v>
      </c>
      <c r="AW346" s="1" t="s">
        <v>74</v>
      </c>
      <c r="AX346" s="1" t="s">
        <v>74</v>
      </c>
      <c r="AY346" s="1" t="s">
        <v>74</v>
      </c>
      <c r="AZ346" s="1" t="s">
        <v>74</v>
      </c>
      <c r="BA346" s="1" t="s">
        <v>74</v>
      </c>
      <c r="BB346" s="1" t="s">
        <v>74</v>
      </c>
      <c r="BC346" s="1" t="s">
        <v>74</v>
      </c>
      <c r="BD346" s="1" t="s">
        <v>74</v>
      </c>
      <c r="BE346" s="1" t="s">
        <v>74</v>
      </c>
      <c r="BF346" s="1" t="s">
        <v>74</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3666</v>
      </c>
      <c r="BT346" s="1" t="str">
        <f>HYPERLINK("https%3A%2F%2Fwww.webofscience.com%2Fwos%2Fwoscc%2Ffull-record%2FWOS:000706614500029","View Full Record in Web of Science")</f>
        <v>View Full Record in Web of Science</v>
      </c>
    </row>
    <row r="347" ht="12.75" customHeight="1">
      <c r="A347" s="1" t="s">
        <v>72</v>
      </c>
      <c r="B347" s="1" t="s">
        <v>3667</v>
      </c>
      <c r="C347" s="1" t="s">
        <v>74</v>
      </c>
      <c r="D347" s="1" t="s">
        <v>74</v>
      </c>
      <c r="E347" s="1" t="s">
        <v>74</v>
      </c>
      <c r="F347" s="1" t="s">
        <v>3668</v>
      </c>
      <c r="G347" s="1" t="s">
        <v>74</v>
      </c>
      <c r="H347" s="1" t="s">
        <v>74</v>
      </c>
      <c r="I347" s="1" t="s">
        <v>3669</v>
      </c>
      <c r="J347" s="1" t="s">
        <v>3670</v>
      </c>
      <c r="K347" s="1" t="s">
        <v>74</v>
      </c>
      <c r="L347" s="1" t="s">
        <v>74</v>
      </c>
      <c r="M347" s="1" t="s">
        <v>74</v>
      </c>
      <c r="N347" s="1" t="s">
        <v>74</v>
      </c>
      <c r="O347" s="1" t="s">
        <v>74</v>
      </c>
      <c r="P347" s="1" t="s">
        <v>74</v>
      </c>
      <c r="Q347" s="1" t="s">
        <v>74</v>
      </c>
      <c r="R347" s="1" t="s">
        <v>74</v>
      </c>
      <c r="S347" s="1" t="s">
        <v>74</v>
      </c>
      <c r="T347" s="1" t="s">
        <v>74</v>
      </c>
      <c r="U347" s="1" t="s">
        <v>74</v>
      </c>
      <c r="V347" s="1" t="s">
        <v>3671</v>
      </c>
      <c r="W347" s="1" t="s">
        <v>74</v>
      </c>
      <c r="X347" s="1" t="s">
        <v>74</v>
      </c>
      <c r="Y347" s="1" t="s">
        <v>74</v>
      </c>
      <c r="Z347" s="1" t="s">
        <v>74</v>
      </c>
      <c r="AA347" s="1" t="s">
        <v>3672</v>
      </c>
      <c r="AB347" s="1" t="s">
        <v>3673</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3674</v>
      </c>
      <c r="AP347" s="1" t="s">
        <v>74</v>
      </c>
      <c r="AQ347" s="1" t="s">
        <v>74</v>
      </c>
      <c r="AR347" s="1" t="s">
        <v>74</v>
      </c>
      <c r="AS347" s="1" t="s">
        <v>74</v>
      </c>
      <c r="AT347" s="1" t="s">
        <v>294</v>
      </c>
      <c r="AU347" s="1">
        <v>2021.0</v>
      </c>
      <c r="AV347" s="1">
        <v>16.0</v>
      </c>
      <c r="AW347" s="1">
        <v>2.0</v>
      </c>
      <c r="AX347" s="1" t="s">
        <v>74</v>
      </c>
      <c r="AY347" s="1" t="s">
        <v>74</v>
      </c>
      <c r="AZ347" s="1" t="s">
        <v>74</v>
      </c>
      <c r="BA347" s="1" t="s">
        <v>74</v>
      </c>
      <c r="BB347" s="1" t="s">
        <v>74</v>
      </c>
      <c r="BC347" s="1" t="s">
        <v>74</v>
      </c>
      <c r="BD347" s="1">
        <v>210212.0</v>
      </c>
      <c r="BE347" s="1" t="s">
        <v>3675</v>
      </c>
      <c r="BF347" s="2" t="str">
        <f>HYPERLINK("http://dx.doi.org/10.20964/2021.02.34","http://dx.doi.org/10.20964/2021.02.34")</f>
        <v>http://dx.doi.org/10.20964/2021.02.34</v>
      </c>
      <c r="BG347" s="1" t="s">
        <v>74</v>
      </c>
      <c r="BH347" s="1" t="s">
        <v>74</v>
      </c>
      <c r="BI347" s="1" t="s">
        <v>74</v>
      </c>
      <c r="BJ347" s="1" t="s">
        <v>74</v>
      </c>
      <c r="BK347" s="1" t="s">
        <v>74</v>
      </c>
      <c r="BL347" s="1" t="s">
        <v>74</v>
      </c>
      <c r="BM347" s="1" t="s">
        <v>74</v>
      </c>
      <c r="BN347" s="1" t="s">
        <v>74</v>
      </c>
      <c r="BO347" s="1" t="s">
        <v>74</v>
      </c>
      <c r="BP347" s="1" t="s">
        <v>74</v>
      </c>
      <c r="BQ347" s="1" t="s">
        <v>74</v>
      </c>
      <c r="BR347" s="1" t="s">
        <v>74</v>
      </c>
      <c r="BS347" s="1" t="s">
        <v>3676</v>
      </c>
      <c r="BT347" s="1" t="str">
        <f>HYPERLINK("https%3A%2F%2Fwww.webofscience.com%2Fwos%2Fwoscc%2Ffull-record%2FWOS:000620082300004","View Full Record in Web of Science")</f>
        <v>View Full Record in Web of Science</v>
      </c>
    </row>
    <row r="348" ht="12.75" customHeight="1">
      <c r="A348" s="1" t="s">
        <v>72</v>
      </c>
      <c r="B348" s="1" t="s">
        <v>3677</v>
      </c>
      <c r="C348" s="1" t="s">
        <v>74</v>
      </c>
      <c r="D348" s="1" t="s">
        <v>74</v>
      </c>
      <c r="E348" s="1" t="s">
        <v>74</v>
      </c>
      <c r="F348" s="1" t="s">
        <v>3678</v>
      </c>
      <c r="G348" s="1" t="s">
        <v>74</v>
      </c>
      <c r="H348" s="1" t="s">
        <v>74</v>
      </c>
      <c r="I348" s="1" t="s">
        <v>3679</v>
      </c>
      <c r="J348" s="1" t="s">
        <v>2262</v>
      </c>
      <c r="K348" s="1" t="s">
        <v>74</v>
      </c>
      <c r="L348" s="1" t="s">
        <v>74</v>
      </c>
      <c r="M348" s="1" t="s">
        <v>74</v>
      </c>
      <c r="N348" s="1" t="s">
        <v>74</v>
      </c>
      <c r="O348" s="1" t="s">
        <v>74</v>
      </c>
      <c r="P348" s="1" t="s">
        <v>74</v>
      </c>
      <c r="Q348" s="1" t="s">
        <v>74</v>
      </c>
      <c r="R348" s="1" t="s">
        <v>74</v>
      </c>
      <c r="S348" s="1" t="s">
        <v>74</v>
      </c>
      <c r="T348" s="1" t="s">
        <v>74</v>
      </c>
      <c r="U348" s="1" t="s">
        <v>74</v>
      </c>
      <c r="V348" s="1" t="s">
        <v>3680</v>
      </c>
      <c r="W348" s="1" t="s">
        <v>74</v>
      </c>
      <c r="X348" s="1" t="s">
        <v>74</v>
      </c>
      <c r="Y348" s="1" t="s">
        <v>74</v>
      </c>
      <c r="Z348" s="1" t="s">
        <v>74</v>
      </c>
      <c r="AA348" s="1" t="s">
        <v>3681</v>
      </c>
      <c r="AB348" s="1" t="s">
        <v>3682</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2266</v>
      </c>
      <c r="AP348" s="1" t="s">
        <v>2267</v>
      </c>
      <c r="AQ348" s="1" t="s">
        <v>74</v>
      </c>
      <c r="AR348" s="1" t="s">
        <v>74</v>
      </c>
      <c r="AS348" s="1" t="s">
        <v>74</v>
      </c>
      <c r="AT348" s="1" t="s">
        <v>3683</v>
      </c>
      <c r="AU348" s="1">
        <v>2021.0</v>
      </c>
      <c r="AV348" s="1">
        <v>328.0</v>
      </c>
      <c r="AW348" s="1" t="s">
        <v>74</v>
      </c>
      <c r="AX348" s="1" t="s">
        <v>74</v>
      </c>
      <c r="AY348" s="1" t="s">
        <v>74</v>
      </c>
      <c r="AZ348" s="1" t="s">
        <v>74</v>
      </c>
      <c r="BA348" s="1" t="s">
        <v>74</v>
      </c>
      <c r="BB348" s="1" t="s">
        <v>74</v>
      </c>
      <c r="BC348" s="1" t="s">
        <v>74</v>
      </c>
      <c r="BD348" s="1">
        <v>115450.0</v>
      </c>
      <c r="BE348" s="1" t="s">
        <v>3684</v>
      </c>
      <c r="BF348" s="2" t="str">
        <f>HYPERLINK("http://dx.doi.org/10.1016/j.molliq.2021.115450","http://dx.doi.org/10.1016/j.molliq.2021.115450")</f>
        <v>http://dx.doi.org/10.1016/j.molliq.2021.115450</v>
      </c>
      <c r="BG348" s="1" t="s">
        <v>74</v>
      </c>
      <c r="BH348" s="1" t="s">
        <v>131</v>
      </c>
      <c r="BI348" s="1" t="s">
        <v>74</v>
      </c>
      <c r="BJ348" s="1" t="s">
        <v>74</v>
      </c>
      <c r="BK348" s="1" t="s">
        <v>74</v>
      </c>
      <c r="BL348" s="1" t="s">
        <v>74</v>
      </c>
      <c r="BM348" s="1" t="s">
        <v>74</v>
      </c>
      <c r="BN348" s="1" t="s">
        <v>74</v>
      </c>
      <c r="BO348" s="1" t="s">
        <v>74</v>
      </c>
      <c r="BP348" s="1" t="s">
        <v>74</v>
      </c>
      <c r="BQ348" s="1" t="s">
        <v>74</v>
      </c>
      <c r="BR348" s="1" t="s">
        <v>74</v>
      </c>
      <c r="BS348" s="1" t="s">
        <v>3685</v>
      </c>
      <c r="BT348" s="1" t="str">
        <f>HYPERLINK("https%3A%2F%2Fwww.webofscience.com%2Fwos%2Fwoscc%2Ffull-record%2FWOS:000637338200078","View Full Record in Web of Science")</f>
        <v>View Full Record in Web of Science</v>
      </c>
    </row>
    <row r="349" ht="12.75" customHeight="1">
      <c r="A349" s="1" t="s">
        <v>72</v>
      </c>
      <c r="B349" s="1" t="s">
        <v>3686</v>
      </c>
      <c r="C349" s="1" t="s">
        <v>74</v>
      </c>
      <c r="D349" s="1" t="s">
        <v>74</v>
      </c>
      <c r="E349" s="1" t="s">
        <v>74</v>
      </c>
      <c r="F349" s="1" t="s">
        <v>3687</v>
      </c>
      <c r="G349" s="1" t="s">
        <v>74</v>
      </c>
      <c r="H349" s="1" t="s">
        <v>74</v>
      </c>
      <c r="I349" s="1" t="s">
        <v>3688</v>
      </c>
      <c r="J349" s="1" t="s">
        <v>186</v>
      </c>
      <c r="K349" s="1" t="s">
        <v>74</v>
      </c>
      <c r="L349" s="1" t="s">
        <v>74</v>
      </c>
      <c r="M349" s="1" t="s">
        <v>74</v>
      </c>
      <c r="N349" s="1" t="s">
        <v>74</v>
      </c>
      <c r="O349" s="1" t="s">
        <v>74</v>
      </c>
      <c r="P349" s="1" t="s">
        <v>74</v>
      </c>
      <c r="Q349" s="1" t="s">
        <v>74</v>
      </c>
      <c r="R349" s="1" t="s">
        <v>74</v>
      </c>
      <c r="S349" s="1" t="s">
        <v>74</v>
      </c>
      <c r="T349" s="1" t="s">
        <v>74</v>
      </c>
      <c r="U349" s="1" t="s">
        <v>74</v>
      </c>
      <c r="V349" s="1" t="s">
        <v>3689</v>
      </c>
      <c r="W349" s="1" t="s">
        <v>74</v>
      </c>
      <c r="X349" s="1" t="s">
        <v>74</v>
      </c>
      <c r="Y349" s="1" t="s">
        <v>74</v>
      </c>
      <c r="Z349" s="1" t="s">
        <v>74</v>
      </c>
      <c r="AA349" s="1" t="s">
        <v>3690</v>
      </c>
      <c r="AB349" s="1" t="s">
        <v>3691</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190</v>
      </c>
      <c r="AP349" s="1" t="s">
        <v>191</v>
      </c>
      <c r="AQ349" s="1" t="s">
        <v>74</v>
      </c>
      <c r="AR349" s="1" t="s">
        <v>74</v>
      </c>
      <c r="AS349" s="1" t="s">
        <v>74</v>
      </c>
      <c r="AT349" s="1" t="s">
        <v>1131</v>
      </c>
      <c r="AU349" s="1">
        <v>2020.0</v>
      </c>
      <c r="AV349" s="1">
        <v>141.0</v>
      </c>
      <c r="AW349" s="1" t="s">
        <v>74</v>
      </c>
      <c r="AX349" s="1" t="s">
        <v>74</v>
      </c>
      <c r="AY349" s="1" t="s">
        <v>74</v>
      </c>
      <c r="AZ349" s="1" t="s">
        <v>74</v>
      </c>
      <c r="BA349" s="1" t="s">
        <v>74</v>
      </c>
      <c r="BB349" s="1" t="s">
        <v>74</v>
      </c>
      <c r="BC349" s="1" t="s">
        <v>74</v>
      </c>
      <c r="BD349" s="1">
        <v>112908.0</v>
      </c>
      <c r="BE349" s="1" t="s">
        <v>3692</v>
      </c>
      <c r="BF349" s="2" t="str">
        <f>HYPERLINK("http://dx.doi.org/10.1016/j.eswa.2019.112908","http://dx.doi.org/10.1016/j.eswa.2019.112908")</f>
        <v>http://dx.doi.org/10.1016/j.eswa.2019.112908</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3693</v>
      </c>
      <c r="BT349" s="1" t="str">
        <f>HYPERLINK("https%3A%2F%2Fwww.webofscience.com%2Fwos%2Fwoscc%2Ffull-record%2FWOS:000496334800005","View Full Record in Web of Science")</f>
        <v>View Full Record in Web of Science</v>
      </c>
    </row>
    <row r="350" ht="12.75" customHeight="1">
      <c r="A350" s="1" t="s">
        <v>72</v>
      </c>
      <c r="B350" s="1" t="s">
        <v>3694</v>
      </c>
      <c r="C350" s="1" t="s">
        <v>74</v>
      </c>
      <c r="D350" s="1" t="s">
        <v>74</v>
      </c>
      <c r="E350" s="1" t="s">
        <v>74</v>
      </c>
      <c r="F350" s="1" t="s">
        <v>3695</v>
      </c>
      <c r="G350" s="1" t="s">
        <v>74</v>
      </c>
      <c r="H350" s="1" t="s">
        <v>74</v>
      </c>
      <c r="I350" s="1" t="s">
        <v>3696</v>
      </c>
      <c r="J350" s="1" t="s">
        <v>3697</v>
      </c>
      <c r="K350" s="1" t="s">
        <v>74</v>
      </c>
      <c r="L350" s="1" t="s">
        <v>74</v>
      </c>
      <c r="M350" s="1" t="s">
        <v>74</v>
      </c>
      <c r="N350" s="1" t="s">
        <v>74</v>
      </c>
      <c r="O350" s="1" t="s">
        <v>74</v>
      </c>
      <c r="P350" s="1" t="s">
        <v>74</v>
      </c>
      <c r="Q350" s="1" t="s">
        <v>74</v>
      </c>
      <c r="R350" s="1" t="s">
        <v>74</v>
      </c>
      <c r="S350" s="1" t="s">
        <v>74</v>
      </c>
      <c r="T350" s="1" t="s">
        <v>74</v>
      </c>
      <c r="U350" s="1" t="s">
        <v>74</v>
      </c>
      <c r="V350" s="1" t="s">
        <v>3698</v>
      </c>
      <c r="W350" s="1" t="s">
        <v>74</v>
      </c>
      <c r="X350" s="1" t="s">
        <v>74</v>
      </c>
      <c r="Y350" s="1" t="s">
        <v>74</v>
      </c>
      <c r="Z350" s="1" t="s">
        <v>74</v>
      </c>
      <c r="AA350" s="1" t="s">
        <v>3699</v>
      </c>
      <c r="AB350" s="1" t="s">
        <v>3700</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3701</v>
      </c>
      <c r="AP350" s="1" t="s">
        <v>74</v>
      </c>
      <c r="AQ350" s="1" t="s">
        <v>74</v>
      </c>
      <c r="AR350" s="1" t="s">
        <v>74</v>
      </c>
      <c r="AS350" s="1" t="s">
        <v>74</v>
      </c>
      <c r="AT350" s="1" t="s">
        <v>534</v>
      </c>
      <c r="AU350" s="1">
        <v>2020.0</v>
      </c>
      <c r="AV350" s="1">
        <v>20.0</v>
      </c>
      <c r="AW350" s="1">
        <v>1.0</v>
      </c>
      <c r="AX350" s="1" t="s">
        <v>74</v>
      </c>
      <c r="AY350" s="1" t="s">
        <v>74</v>
      </c>
      <c r="AZ350" s="1" t="s">
        <v>74</v>
      </c>
      <c r="BA350" s="1" t="s">
        <v>74</v>
      </c>
      <c r="BB350" s="1" t="s">
        <v>74</v>
      </c>
      <c r="BC350" s="1" t="s">
        <v>74</v>
      </c>
      <c r="BD350" s="1">
        <v>25.0</v>
      </c>
      <c r="BE350" s="1" t="s">
        <v>3702</v>
      </c>
      <c r="BF350" s="2" t="str">
        <f>HYPERLINK("http://dx.doi.org/10.1186/s12870-019-2229-5","http://dx.doi.org/10.1186/s12870-019-2229-5")</f>
        <v>http://dx.doi.org/10.1186/s12870-019-2229-5</v>
      </c>
      <c r="BG350" s="1" t="s">
        <v>74</v>
      </c>
      <c r="BH350" s="1" t="s">
        <v>74</v>
      </c>
      <c r="BI350" s="1" t="s">
        <v>74</v>
      </c>
      <c r="BJ350" s="1" t="s">
        <v>74</v>
      </c>
      <c r="BK350" s="1" t="s">
        <v>74</v>
      </c>
      <c r="BL350" s="1" t="s">
        <v>74</v>
      </c>
      <c r="BM350" s="1" t="s">
        <v>74</v>
      </c>
      <c r="BN350" s="1">
        <v>3.1941449E7</v>
      </c>
      <c r="BO350" s="1" t="s">
        <v>74</v>
      </c>
      <c r="BP350" s="1" t="s">
        <v>74</v>
      </c>
      <c r="BQ350" s="1" t="s">
        <v>74</v>
      </c>
      <c r="BR350" s="1" t="s">
        <v>74</v>
      </c>
      <c r="BS350" s="1" t="s">
        <v>3703</v>
      </c>
      <c r="BT350" s="1" t="str">
        <f>HYPERLINK("https%3A%2F%2Fwww.webofscience.com%2Fwos%2Fwoscc%2Ffull-record%2FWOS:000513707200002","View Full Record in Web of Science")</f>
        <v>View Full Record in Web of Science</v>
      </c>
    </row>
    <row r="351" ht="12.75" customHeight="1">
      <c r="A351" s="1" t="s">
        <v>72</v>
      </c>
      <c r="B351" s="1" t="s">
        <v>3704</v>
      </c>
      <c r="C351" s="1" t="s">
        <v>74</v>
      </c>
      <c r="D351" s="1" t="s">
        <v>74</v>
      </c>
      <c r="E351" s="1" t="s">
        <v>74</v>
      </c>
      <c r="F351" s="1" t="s">
        <v>3705</v>
      </c>
      <c r="G351" s="1" t="s">
        <v>74</v>
      </c>
      <c r="H351" s="1" t="s">
        <v>74</v>
      </c>
      <c r="I351" s="1" t="s">
        <v>3706</v>
      </c>
      <c r="J351" s="1" t="s">
        <v>3707</v>
      </c>
      <c r="K351" s="1" t="s">
        <v>74</v>
      </c>
      <c r="L351" s="1" t="s">
        <v>74</v>
      </c>
      <c r="M351" s="1" t="s">
        <v>74</v>
      </c>
      <c r="N351" s="1" t="s">
        <v>74</v>
      </c>
      <c r="O351" s="1" t="s">
        <v>74</v>
      </c>
      <c r="P351" s="1" t="s">
        <v>74</v>
      </c>
      <c r="Q351" s="1" t="s">
        <v>74</v>
      </c>
      <c r="R351" s="1" t="s">
        <v>74</v>
      </c>
      <c r="S351" s="1" t="s">
        <v>74</v>
      </c>
      <c r="T351" s="1" t="s">
        <v>74</v>
      </c>
      <c r="U351" s="1" t="s">
        <v>74</v>
      </c>
      <c r="V351" s="1" t="s">
        <v>3708</v>
      </c>
      <c r="W351" s="1" t="s">
        <v>74</v>
      </c>
      <c r="X351" s="1" t="s">
        <v>74</v>
      </c>
      <c r="Y351" s="1" t="s">
        <v>74</v>
      </c>
      <c r="Z351" s="1" t="s">
        <v>74</v>
      </c>
      <c r="AA351" s="1" t="s">
        <v>74</v>
      </c>
      <c r="AB351" s="1" t="s">
        <v>74</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74</v>
      </c>
      <c r="AP351" s="1" t="s">
        <v>3709</v>
      </c>
      <c r="AQ351" s="1" t="s">
        <v>74</v>
      </c>
      <c r="AR351" s="1" t="s">
        <v>74</v>
      </c>
      <c r="AS351" s="1" t="s">
        <v>74</v>
      </c>
      <c r="AT351" s="1" t="s">
        <v>74</v>
      </c>
      <c r="AU351" s="1">
        <v>2020.0</v>
      </c>
      <c r="AV351" s="1">
        <v>11.0</v>
      </c>
      <c r="AW351" s="1">
        <v>2.0</v>
      </c>
      <c r="AX351" s="1" t="s">
        <v>74</v>
      </c>
      <c r="AY351" s="1" t="s">
        <v>74</v>
      </c>
      <c r="AZ351" s="1" t="s">
        <v>74</v>
      </c>
      <c r="BA351" s="1" t="s">
        <v>74</v>
      </c>
      <c r="BB351" s="1">
        <v>237.0</v>
      </c>
      <c r="BC351" s="1">
        <v>260.0</v>
      </c>
      <c r="BD351" s="1" t="s">
        <v>74</v>
      </c>
      <c r="BE351" s="1" t="s">
        <v>3710</v>
      </c>
      <c r="BF351" s="2" t="str">
        <f>HYPERLINK("http://dx.doi.org/10.5281/zenodo.4323216","http://dx.doi.org/10.5281/zenodo.4323216")</f>
        <v>http://dx.doi.org/10.5281/zenodo.4323216</v>
      </c>
      <c r="BG351" s="1" t="s">
        <v>74</v>
      </c>
      <c r="BH351" s="1" t="s">
        <v>74</v>
      </c>
      <c r="BI351" s="1" t="s">
        <v>74</v>
      </c>
      <c r="BJ351" s="1" t="s">
        <v>74</v>
      </c>
      <c r="BK351" s="1" t="s">
        <v>74</v>
      </c>
      <c r="BL351" s="1" t="s">
        <v>74</v>
      </c>
      <c r="BM351" s="1" t="s">
        <v>74</v>
      </c>
      <c r="BN351" s="1" t="s">
        <v>74</v>
      </c>
      <c r="BO351" s="1" t="s">
        <v>74</v>
      </c>
      <c r="BP351" s="1" t="s">
        <v>74</v>
      </c>
      <c r="BQ351" s="1" t="s">
        <v>74</v>
      </c>
      <c r="BR351" s="1" t="s">
        <v>74</v>
      </c>
      <c r="BS351" s="1" t="s">
        <v>3711</v>
      </c>
      <c r="BT351" s="1" t="str">
        <f>HYPERLINK("https%3A%2F%2Fwww.webofscience.com%2Fwos%2Fwoscc%2Ffull-record%2FWOS:000599999700011","View Full Record in Web of Science")</f>
        <v>View Full Record in Web of Science</v>
      </c>
    </row>
    <row r="352" ht="12.75" customHeight="1">
      <c r="A352" s="1" t="s">
        <v>72</v>
      </c>
      <c r="B352" s="1" t="s">
        <v>3712</v>
      </c>
      <c r="C352" s="1" t="s">
        <v>74</v>
      </c>
      <c r="D352" s="1" t="s">
        <v>74</v>
      </c>
      <c r="E352" s="1" t="s">
        <v>74</v>
      </c>
      <c r="F352" s="1" t="s">
        <v>3713</v>
      </c>
      <c r="G352" s="1" t="s">
        <v>74</v>
      </c>
      <c r="H352" s="1" t="s">
        <v>74</v>
      </c>
      <c r="I352" s="1" t="s">
        <v>3714</v>
      </c>
      <c r="J352" s="1" t="s">
        <v>3715</v>
      </c>
      <c r="K352" s="1" t="s">
        <v>74</v>
      </c>
      <c r="L352" s="1" t="s">
        <v>74</v>
      </c>
      <c r="M352" s="1" t="s">
        <v>74</v>
      </c>
      <c r="N352" s="1" t="s">
        <v>74</v>
      </c>
      <c r="O352" s="1" t="s">
        <v>74</v>
      </c>
      <c r="P352" s="1" t="s">
        <v>74</v>
      </c>
      <c r="Q352" s="1" t="s">
        <v>74</v>
      </c>
      <c r="R352" s="1" t="s">
        <v>74</v>
      </c>
      <c r="S352" s="1" t="s">
        <v>74</v>
      </c>
      <c r="T352" s="1" t="s">
        <v>74</v>
      </c>
      <c r="U352" s="1" t="s">
        <v>74</v>
      </c>
      <c r="V352" s="1" t="s">
        <v>3716</v>
      </c>
      <c r="W352" s="1" t="s">
        <v>74</v>
      </c>
      <c r="X352" s="1" t="s">
        <v>74</v>
      </c>
      <c r="Y352" s="1" t="s">
        <v>74</v>
      </c>
      <c r="Z352" s="1" t="s">
        <v>74</v>
      </c>
      <c r="AA352" s="1" t="s">
        <v>3717</v>
      </c>
      <c r="AB352" s="1" t="s">
        <v>3718</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3719</v>
      </c>
      <c r="AP352" s="1" t="s">
        <v>3720</v>
      </c>
      <c r="AQ352" s="1" t="s">
        <v>74</v>
      </c>
      <c r="AR352" s="1" t="s">
        <v>74</v>
      </c>
      <c r="AS352" s="1" t="s">
        <v>74</v>
      </c>
      <c r="AT352" s="1" t="s">
        <v>3721</v>
      </c>
      <c r="AU352" s="1">
        <v>2019.0</v>
      </c>
      <c r="AV352" s="1">
        <v>193.0</v>
      </c>
      <c r="AW352" s="1" t="s">
        <v>74</v>
      </c>
      <c r="AX352" s="1" t="s">
        <v>74</v>
      </c>
      <c r="AY352" s="1" t="s">
        <v>74</v>
      </c>
      <c r="AZ352" s="1" t="s">
        <v>74</v>
      </c>
      <c r="BA352" s="1" t="s">
        <v>74</v>
      </c>
      <c r="BB352" s="1">
        <v>295.0</v>
      </c>
      <c r="BC352" s="1">
        <v>300.0</v>
      </c>
      <c r="BD352" s="1" t="s">
        <v>74</v>
      </c>
      <c r="BE352" s="1" t="s">
        <v>3722</v>
      </c>
      <c r="BF352" s="2" t="str">
        <f>HYPERLINK("http://dx.doi.org/10.1016/j.engstruct.2019.05.010","http://dx.doi.org/10.1016/j.engstruct.2019.05.010")</f>
        <v>http://dx.doi.org/10.1016/j.engstruct.2019.05.010</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3723</v>
      </c>
      <c r="BT352" s="1" t="str">
        <f>HYPERLINK("https%3A%2F%2Fwww.webofscience.com%2Fwos%2Fwoscc%2Ffull-record%2FWOS:000473841700023","View Full Record in Web of Science")</f>
        <v>View Full Record in Web of Science</v>
      </c>
    </row>
    <row r="353" ht="12.75" customHeight="1">
      <c r="A353" s="1" t="s">
        <v>72</v>
      </c>
      <c r="B353" s="1" t="s">
        <v>3724</v>
      </c>
      <c r="C353" s="1" t="s">
        <v>74</v>
      </c>
      <c r="D353" s="1" t="s">
        <v>74</v>
      </c>
      <c r="E353" s="1" t="s">
        <v>74</v>
      </c>
      <c r="F353" s="1" t="s">
        <v>3725</v>
      </c>
      <c r="G353" s="1" t="s">
        <v>74</v>
      </c>
      <c r="H353" s="1" t="s">
        <v>74</v>
      </c>
      <c r="I353" s="1" t="s">
        <v>3726</v>
      </c>
      <c r="J353" s="1" t="s">
        <v>3727</v>
      </c>
      <c r="K353" s="1" t="s">
        <v>74</v>
      </c>
      <c r="L353" s="1" t="s">
        <v>74</v>
      </c>
      <c r="M353" s="1" t="s">
        <v>74</v>
      </c>
      <c r="N353" s="1" t="s">
        <v>74</v>
      </c>
      <c r="O353" s="1" t="s">
        <v>74</v>
      </c>
      <c r="P353" s="1" t="s">
        <v>74</v>
      </c>
      <c r="Q353" s="1" t="s">
        <v>74</v>
      </c>
      <c r="R353" s="1" t="s">
        <v>74</v>
      </c>
      <c r="S353" s="1" t="s">
        <v>74</v>
      </c>
      <c r="T353" s="1" t="s">
        <v>74</v>
      </c>
      <c r="U353" s="1" t="s">
        <v>74</v>
      </c>
      <c r="V353" s="1" t="s">
        <v>3728</v>
      </c>
      <c r="W353" s="1" t="s">
        <v>74</v>
      </c>
      <c r="X353" s="1" t="s">
        <v>74</v>
      </c>
      <c r="Y353" s="1" t="s">
        <v>74</v>
      </c>
      <c r="Z353" s="1" t="s">
        <v>74</v>
      </c>
      <c r="AA353" s="1" t="s">
        <v>3729</v>
      </c>
      <c r="AB353" s="1" t="s">
        <v>3730</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3731</v>
      </c>
      <c r="AP353" s="1" t="s">
        <v>3732</v>
      </c>
      <c r="AQ353" s="1" t="s">
        <v>74</v>
      </c>
      <c r="AR353" s="1" t="s">
        <v>74</v>
      </c>
      <c r="AS353" s="1" t="s">
        <v>74</v>
      </c>
      <c r="AT353" s="1" t="s">
        <v>3733</v>
      </c>
      <c r="AU353" s="1">
        <v>2019.0</v>
      </c>
      <c r="AV353" s="1">
        <v>54.0</v>
      </c>
      <c r="AW353" s="1">
        <v>10.0</v>
      </c>
      <c r="AX353" s="1" t="s">
        <v>74</v>
      </c>
      <c r="AY353" s="1" t="s">
        <v>74</v>
      </c>
      <c r="AZ353" s="1" t="s">
        <v>74</v>
      </c>
      <c r="BA353" s="1" t="s">
        <v>74</v>
      </c>
      <c r="BB353" s="1">
        <v>1035.0</v>
      </c>
      <c r="BC353" s="1">
        <v>1043.0</v>
      </c>
      <c r="BD353" s="1" t="s">
        <v>74</v>
      </c>
      <c r="BE353" s="1" t="s">
        <v>3734</v>
      </c>
      <c r="BF353" s="2" t="str">
        <f>HYPERLINK("http://dx.doi.org/10.1080/10934529.2019.1623597","http://dx.doi.org/10.1080/10934529.2019.1623597")</f>
        <v>http://dx.doi.org/10.1080/10934529.2019.1623597</v>
      </c>
      <c r="BG353" s="1" t="s">
        <v>74</v>
      </c>
      <c r="BH353" s="1" t="s">
        <v>3735</v>
      </c>
      <c r="BI353" s="1" t="s">
        <v>74</v>
      </c>
      <c r="BJ353" s="1" t="s">
        <v>74</v>
      </c>
      <c r="BK353" s="1" t="s">
        <v>74</v>
      </c>
      <c r="BL353" s="1" t="s">
        <v>74</v>
      </c>
      <c r="BM353" s="1" t="s">
        <v>74</v>
      </c>
      <c r="BN353" s="1">
        <v>3.1188049E7</v>
      </c>
      <c r="BO353" s="1" t="s">
        <v>74</v>
      </c>
      <c r="BP353" s="1" t="s">
        <v>74</v>
      </c>
      <c r="BQ353" s="1" t="s">
        <v>74</v>
      </c>
      <c r="BR353" s="1" t="s">
        <v>74</v>
      </c>
      <c r="BS353" s="1" t="s">
        <v>3736</v>
      </c>
      <c r="BT353" s="1" t="str">
        <f>HYPERLINK("https%3A%2F%2Fwww.webofscience.com%2Fwos%2Fwoscc%2Ffull-record%2FWOS:000472402400001","View Full Record in Web of Science")</f>
        <v>View Full Record in Web of Science</v>
      </c>
    </row>
    <row r="354" ht="12.75" customHeight="1">
      <c r="A354" s="1" t="s">
        <v>72</v>
      </c>
      <c r="B354" s="1" t="s">
        <v>3737</v>
      </c>
      <c r="C354" s="1" t="s">
        <v>74</v>
      </c>
      <c r="D354" s="1" t="s">
        <v>74</v>
      </c>
      <c r="E354" s="1" t="s">
        <v>74</v>
      </c>
      <c r="F354" s="1" t="s">
        <v>3738</v>
      </c>
      <c r="G354" s="1" t="s">
        <v>74</v>
      </c>
      <c r="H354" s="1" t="s">
        <v>74</v>
      </c>
      <c r="I354" s="1" t="s">
        <v>3739</v>
      </c>
      <c r="J354" s="1" t="s">
        <v>3740</v>
      </c>
      <c r="K354" s="1" t="s">
        <v>74</v>
      </c>
      <c r="L354" s="1" t="s">
        <v>74</v>
      </c>
      <c r="M354" s="1" t="s">
        <v>74</v>
      </c>
      <c r="N354" s="1" t="s">
        <v>74</v>
      </c>
      <c r="O354" s="1" t="s">
        <v>74</v>
      </c>
      <c r="P354" s="1" t="s">
        <v>74</v>
      </c>
      <c r="Q354" s="1" t="s">
        <v>74</v>
      </c>
      <c r="R354" s="1" t="s">
        <v>74</v>
      </c>
      <c r="S354" s="1" t="s">
        <v>74</v>
      </c>
      <c r="T354" s="1" t="s">
        <v>74</v>
      </c>
      <c r="U354" s="1" t="s">
        <v>74</v>
      </c>
      <c r="V354" s="1" t="s">
        <v>3741</v>
      </c>
      <c r="W354" s="1" t="s">
        <v>74</v>
      </c>
      <c r="X354" s="1" t="s">
        <v>74</v>
      </c>
      <c r="Y354" s="1" t="s">
        <v>74</v>
      </c>
      <c r="Z354" s="1" t="s">
        <v>74</v>
      </c>
      <c r="AA354" s="1" t="s">
        <v>3742</v>
      </c>
      <c r="AB354" s="1" t="s">
        <v>3743</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3744</v>
      </c>
      <c r="AP354" s="1" t="s">
        <v>3745</v>
      </c>
      <c r="AQ354" s="1" t="s">
        <v>74</v>
      </c>
      <c r="AR354" s="1" t="s">
        <v>74</v>
      </c>
      <c r="AS354" s="1" t="s">
        <v>74</v>
      </c>
      <c r="AT354" s="1" t="s">
        <v>3746</v>
      </c>
      <c r="AU354" s="1">
        <v>2019.0</v>
      </c>
      <c r="AV354" s="1">
        <v>13.0</v>
      </c>
      <c r="AW354" s="1">
        <v>7.0</v>
      </c>
      <c r="AX354" s="1" t="s">
        <v>74</v>
      </c>
      <c r="AY354" s="1" t="s">
        <v>74</v>
      </c>
      <c r="AZ354" s="1" t="s">
        <v>569</v>
      </c>
      <c r="BA354" s="1" t="s">
        <v>74</v>
      </c>
      <c r="BB354" s="1">
        <v>848.0</v>
      </c>
      <c r="BC354" s="1">
        <v>856.0</v>
      </c>
      <c r="BD354" s="1" t="s">
        <v>74</v>
      </c>
      <c r="BE354" s="1" t="s">
        <v>3747</v>
      </c>
      <c r="BF354" s="2" t="str">
        <f>HYPERLINK("http://dx.doi.org/10.1049/iet-com.2018.5623","http://dx.doi.org/10.1049/iet-com.2018.5623")</f>
        <v>http://dx.doi.org/10.1049/iet-com.2018.5623</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3748</v>
      </c>
      <c r="BT354" s="1" t="str">
        <f>HYPERLINK("https%3A%2F%2Fwww.webofscience.com%2Fwos%2Fwoscc%2Ffull-record%2FWOS:000464014500008","View Full Record in Web of Science")</f>
        <v>View Full Record in Web of Science</v>
      </c>
    </row>
    <row r="355" ht="12.75" customHeight="1">
      <c r="A355" s="1" t="s">
        <v>72</v>
      </c>
      <c r="B355" s="1" t="s">
        <v>3749</v>
      </c>
      <c r="C355" s="1" t="s">
        <v>74</v>
      </c>
      <c r="D355" s="1" t="s">
        <v>74</v>
      </c>
      <c r="E355" s="1" t="s">
        <v>74</v>
      </c>
      <c r="F355" s="1" t="s">
        <v>3750</v>
      </c>
      <c r="G355" s="1" t="s">
        <v>74</v>
      </c>
      <c r="H355" s="1" t="s">
        <v>74</v>
      </c>
      <c r="I355" s="1" t="s">
        <v>3751</v>
      </c>
      <c r="J355" s="1" t="s">
        <v>3752</v>
      </c>
      <c r="K355" s="1" t="s">
        <v>74</v>
      </c>
      <c r="L355" s="1" t="s">
        <v>74</v>
      </c>
      <c r="M355" s="1" t="s">
        <v>74</v>
      </c>
      <c r="N355" s="1" t="s">
        <v>74</v>
      </c>
      <c r="O355" s="1" t="s">
        <v>74</v>
      </c>
      <c r="P355" s="1" t="s">
        <v>74</v>
      </c>
      <c r="Q355" s="1" t="s">
        <v>74</v>
      </c>
      <c r="R355" s="1" t="s">
        <v>74</v>
      </c>
      <c r="S355" s="1" t="s">
        <v>74</v>
      </c>
      <c r="T355" s="1" t="s">
        <v>74</v>
      </c>
      <c r="U355" s="1" t="s">
        <v>74</v>
      </c>
      <c r="V355" s="1" t="s">
        <v>3753</v>
      </c>
      <c r="W355" s="1" t="s">
        <v>74</v>
      </c>
      <c r="X355" s="1" t="s">
        <v>74</v>
      </c>
      <c r="Y355" s="1" t="s">
        <v>74</v>
      </c>
      <c r="Z355" s="1" t="s">
        <v>74</v>
      </c>
      <c r="AA355" s="1" t="s">
        <v>3754</v>
      </c>
      <c r="AB355" s="1" t="s">
        <v>3755</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3756</v>
      </c>
      <c r="AP355" s="1" t="s">
        <v>3757</v>
      </c>
      <c r="AQ355" s="1" t="s">
        <v>74</v>
      </c>
      <c r="AR355" s="1" t="s">
        <v>74</v>
      </c>
      <c r="AS355" s="1" t="s">
        <v>74</v>
      </c>
      <c r="AT355" s="1" t="s">
        <v>1279</v>
      </c>
      <c r="AU355" s="1">
        <v>2019.0</v>
      </c>
      <c r="AV355" s="1">
        <v>12.0</v>
      </c>
      <c r="AW355" s="1">
        <v>2.0</v>
      </c>
      <c r="AX355" s="1" t="s">
        <v>74</v>
      </c>
      <c r="AY355" s="1" t="s">
        <v>74</v>
      </c>
      <c r="AZ355" s="1" t="s">
        <v>74</v>
      </c>
      <c r="BA355" s="1" t="s">
        <v>74</v>
      </c>
      <c r="BB355" s="1">
        <v>264.0</v>
      </c>
      <c r="BC355" s="1">
        <v>271.0</v>
      </c>
      <c r="BD355" s="1" t="s">
        <v>74</v>
      </c>
      <c r="BE355" s="1" t="s">
        <v>3758</v>
      </c>
      <c r="BF355" s="2" t="str">
        <f>HYPERLINK("http://dx.doi.org/10.1093/jpe/rty019","http://dx.doi.org/10.1093/jpe/rty019")</f>
        <v>http://dx.doi.org/10.1093/jpe/rty019</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3759</v>
      </c>
      <c r="BT355" s="1" t="str">
        <f>HYPERLINK("https%3A%2F%2Fwww.webofscience.com%2Fwos%2Fwoscc%2Ffull-record%2FWOS:000461146600008","View Full Record in Web of Science")</f>
        <v>View Full Record in Web of Science</v>
      </c>
    </row>
    <row r="356" ht="12.75" customHeight="1">
      <c r="A356" s="1" t="s">
        <v>72</v>
      </c>
      <c r="B356" s="1" t="s">
        <v>3760</v>
      </c>
      <c r="C356" s="1" t="s">
        <v>74</v>
      </c>
      <c r="D356" s="1" t="s">
        <v>74</v>
      </c>
      <c r="E356" s="1" t="s">
        <v>74</v>
      </c>
      <c r="F356" s="1" t="s">
        <v>3761</v>
      </c>
      <c r="G356" s="1" t="s">
        <v>74</v>
      </c>
      <c r="H356" s="1" t="s">
        <v>74</v>
      </c>
      <c r="I356" s="1" t="s">
        <v>3762</v>
      </c>
      <c r="J356" s="1" t="s">
        <v>3763</v>
      </c>
      <c r="K356" s="1" t="s">
        <v>74</v>
      </c>
      <c r="L356" s="1" t="s">
        <v>74</v>
      </c>
      <c r="M356" s="1" t="s">
        <v>74</v>
      </c>
      <c r="N356" s="1" t="s">
        <v>74</v>
      </c>
      <c r="O356" s="1" t="s">
        <v>74</v>
      </c>
      <c r="P356" s="1" t="s">
        <v>74</v>
      </c>
      <c r="Q356" s="1" t="s">
        <v>74</v>
      </c>
      <c r="R356" s="1" t="s">
        <v>74</v>
      </c>
      <c r="S356" s="1" t="s">
        <v>74</v>
      </c>
      <c r="T356" s="1" t="s">
        <v>74</v>
      </c>
      <c r="U356" s="1" t="s">
        <v>74</v>
      </c>
      <c r="V356" s="1" t="s">
        <v>3764</v>
      </c>
      <c r="W356" s="1" t="s">
        <v>74</v>
      </c>
      <c r="X356" s="1" t="s">
        <v>74</v>
      </c>
      <c r="Y356" s="1" t="s">
        <v>74</v>
      </c>
      <c r="Z356" s="1" t="s">
        <v>74</v>
      </c>
      <c r="AA356" s="1" t="s">
        <v>3765</v>
      </c>
      <c r="AB356" s="1" t="s">
        <v>3766</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3767</v>
      </c>
      <c r="AP356" s="1" t="s">
        <v>3768</v>
      </c>
      <c r="AQ356" s="1" t="s">
        <v>74</v>
      </c>
      <c r="AR356" s="1" t="s">
        <v>74</v>
      </c>
      <c r="AS356" s="1" t="s">
        <v>74</v>
      </c>
      <c r="AT356" s="1" t="s">
        <v>74</v>
      </c>
      <c r="AU356" s="1">
        <v>2018.0</v>
      </c>
      <c r="AV356" s="1">
        <v>14.0</v>
      </c>
      <c r="AW356" s="1">
        <v>3.0</v>
      </c>
      <c r="AX356" s="1" t="s">
        <v>74</v>
      </c>
      <c r="AY356" s="1" t="s">
        <v>74</v>
      </c>
      <c r="AZ356" s="1" t="s">
        <v>74</v>
      </c>
      <c r="BA356" s="1" t="s">
        <v>74</v>
      </c>
      <c r="BB356" s="1">
        <v>391.0</v>
      </c>
      <c r="BC356" s="1">
        <v>403.0</v>
      </c>
      <c r="BD356" s="1" t="s">
        <v>74</v>
      </c>
      <c r="BE356" s="1" t="s">
        <v>3769</v>
      </c>
      <c r="BF356" s="2" t="str">
        <f>HYPERLINK("http://dx.doi.org/10.18294/sc.2018.1873","http://dx.doi.org/10.18294/sc.2018.1873")</f>
        <v>http://dx.doi.org/10.18294/sc.2018.1873</v>
      </c>
      <c r="BG356" s="1" t="s">
        <v>74</v>
      </c>
      <c r="BH356" s="1" t="s">
        <v>74</v>
      </c>
      <c r="BI356" s="1" t="s">
        <v>74</v>
      </c>
      <c r="BJ356" s="1" t="s">
        <v>74</v>
      </c>
      <c r="BK356" s="1" t="s">
        <v>74</v>
      </c>
      <c r="BL356" s="1" t="s">
        <v>74</v>
      </c>
      <c r="BM356" s="1" t="s">
        <v>74</v>
      </c>
      <c r="BN356" s="1">
        <v>3.0517553E7</v>
      </c>
      <c r="BO356" s="1" t="s">
        <v>74</v>
      </c>
      <c r="BP356" s="1" t="s">
        <v>74</v>
      </c>
      <c r="BQ356" s="1" t="s">
        <v>74</v>
      </c>
      <c r="BR356" s="1" t="s">
        <v>74</v>
      </c>
      <c r="BS356" s="1" t="s">
        <v>3770</v>
      </c>
      <c r="BT356" s="1" t="str">
        <f>HYPERLINK("https%3A%2F%2Fwww.webofscience.com%2Fwos%2Fwoscc%2Ffull-record%2FWOS:000453255300003","View Full Record in Web of Science")</f>
        <v>View Full Record in Web of Science</v>
      </c>
    </row>
    <row r="357" ht="12.75" customHeight="1">
      <c r="A357" s="1" t="s">
        <v>72</v>
      </c>
      <c r="B357" s="1" t="s">
        <v>707</v>
      </c>
      <c r="C357" s="1" t="s">
        <v>74</v>
      </c>
      <c r="D357" s="1" t="s">
        <v>74</v>
      </c>
      <c r="E357" s="1" t="s">
        <v>74</v>
      </c>
      <c r="F357" s="1" t="s">
        <v>708</v>
      </c>
      <c r="G357" s="1" t="s">
        <v>74</v>
      </c>
      <c r="H357" s="1" t="s">
        <v>74</v>
      </c>
      <c r="I357" s="1" t="s">
        <v>3771</v>
      </c>
      <c r="J357" s="1" t="s">
        <v>3772</v>
      </c>
      <c r="K357" s="1" t="s">
        <v>74</v>
      </c>
      <c r="L357" s="1" t="s">
        <v>74</v>
      </c>
      <c r="M357" s="1" t="s">
        <v>74</v>
      </c>
      <c r="N357" s="1" t="s">
        <v>74</v>
      </c>
      <c r="O357" s="1" t="s">
        <v>74</v>
      </c>
      <c r="P357" s="1" t="s">
        <v>74</v>
      </c>
      <c r="Q357" s="1" t="s">
        <v>74</v>
      </c>
      <c r="R357" s="1" t="s">
        <v>74</v>
      </c>
      <c r="S357" s="1" t="s">
        <v>74</v>
      </c>
      <c r="T357" s="1" t="s">
        <v>74</v>
      </c>
      <c r="U357" s="1" t="s">
        <v>74</v>
      </c>
      <c r="V357" s="1" t="s">
        <v>3773</v>
      </c>
      <c r="W357" s="1" t="s">
        <v>74</v>
      </c>
      <c r="X357" s="1" t="s">
        <v>74</v>
      </c>
      <c r="Y357" s="1" t="s">
        <v>74</v>
      </c>
      <c r="Z357" s="1" t="s">
        <v>74</v>
      </c>
      <c r="AA357" s="1" t="s">
        <v>712</v>
      </c>
      <c r="AB357" s="1" t="s">
        <v>74</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3774</v>
      </c>
      <c r="AP357" s="1" t="s">
        <v>3775</v>
      </c>
      <c r="AQ357" s="1" t="s">
        <v>74</v>
      </c>
      <c r="AR357" s="1" t="s">
        <v>74</v>
      </c>
      <c r="AS357" s="1" t="s">
        <v>74</v>
      </c>
      <c r="AT357" s="1" t="s">
        <v>271</v>
      </c>
      <c r="AU357" s="1">
        <v>2017.0</v>
      </c>
      <c r="AV357" s="1">
        <v>112.0</v>
      </c>
      <c r="AW357" s="1" t="s">
        <v>74</v>
      </c>
      <c r="AX357" s="1" t="s">
        <v>74</v>
      </c>
      <c r="AY357" s="1" t="s">
        <v>74</v>
      </c>
      <c r="AZ357" s="1" t="s">
        <v>74</v>
      </c>
      <c r="BA357" s="1" t="s">
        <v>74</v>
      </c>
      <c r="BB357" s="1">
        <v>553.0</v>
      </c>
      <c r="BC357" s="1">
        <v>558.0</v>
      </c>
      <c r="BD357" s="1" t="s">
        <v>74</v>
      </c>
      <c r="BE357" s="1" t="s">
        <v>3776</v>
      </c>
      <c r="BF357" s="2" t="str">
        <f>HYPERLINK("http://dx.doi.org/10.1016/j.ijheatmasstransfer.2017.01.101","http://dx.doi.org/10.1016/j.ijheatmasstransfer.2017.01.101")</f>
        <v>http://dx.doi.org/10.1016/j.ijheatmasstransfer.2017.01.101</v>
      </c>
      <c r="BG357" s="1" t="s">
        <v>74</v>
      </c>
      <c r="BH357" s="1" t="s">
        <v>74</v>
      </c>
      <c r="BI357" s="1" t="s">
        <v>74</v>
      </c>
      <c r="BJ357" s="1" t="s">
        <v>74</v>
      </c>
      <c r="BK357" s="1" t="s">
        <v>74</v>
      </c>
      <c r="BL357" s="1" t="s">
        <v>74</v>
      </c>
      <c r="BM357" s="1" t="s">
        <v>74</v>
      </c>
      <c r="BN357" s="1" t="s">
        <v>74</v>
      </c>
      <c r="BO357" s="1" t="s">
        <v>74</v>
      </c>
      <c r="BP357" s="1" t="s">
        <v>74</v>
      </c>
      <c r="BQ357" s="1" t="s">
        <v>74</v>
      </c>
      <c r="BR357" s="1" t="s">
        <v>74</v>
      </c>
      <c r="BS357" s="1" t="s">
        <v>3777</v>
      </c>
      <c r="BT357" s="1" t="str">
        <f>HYPERLINK("https%3A%2F%2Fwww.webofscience.com%2Fwos%2Fwoscc%2Ffull-record%2FWOS:000404198600049","View Full Record in Web of Science")</f>
        <v>View Full Record in Web of Science</v>
      </c>
    </row>
    <row r="358" ht="12.75" customHeight="1">
      <c r="A358" s="1" t="s">
        <v>72</v>
      </c>
      <c r="B358" s="1" t="s">
        <v>3778</v>
      </c>
      <c r="C358" s="1" t="s">
        <v>74</v>
      </c>
      <c r="D358" s="1" t="s">
        <v>74</v>
      </c>
      <c r="E358" s="1" t="s">
        <v>74</v>
      </c>
      <c r="F358" s="1" t="s">
        <v>3779</v>
      </c>
      <c r="G358" s="1" t="s">
        <v>74</v>
      </c>
      <c r="H358" s="1" t="s">
        <v>74</v>
      </c>
      <c r="I358" s="1" t="s">
        <v>3780</v>
      </c>
      <c r="J358" s="1" t="s">
        <v>3781</v>
      </c>
      <c r="K358" s="1" t="s">
        <v>74</v>
      </c>
      <c r="L358" s="1" t="s">
        <v>74</v>
      </c>
      <c r="M358" s="1" t="s">
        <v>74</v>
      </c>
      <c r="N358" s="1" t="s">
        <v>74</v>
      </c>
      <c r="O358" s="1" t="s">
        <v>74</v>
      </c>
      <c r="P358" s="1" t="s">
        <v>74</v>
      </c>
      <c r="Q358" s="1" t="s">
        <v>74</v>
      </c>
      <c r="R358" s="1" t="s">
        <v>74</v>
      </c>
      <c r="S358" s="1" t="s">
        <v>74</v>
      </c>
      <c r="T358" s="1" t="s">
        <v>74</v>
      </c>
      <c r="U358" s="1" t="s">
        <v>74</v>
      </c>
      <c r="V358" s="1" t="s">
        <v>3782</v>
      </c>
      <c r="W358" s="1" t="s">
        <v>74</v>
      </c>
      <c r="X358" s="1" t="s">
        <v>74</v>
      </c>
      <c r="Y358" s="1" t="s">
        <v>74</v>
      </c>
      <c r="Z358" s="1" t="s">
        <v>74</v>
      </c>
      <c r="AA358" s="1" t="s">
        <v>3185</v>
      </c>
      <c r="AB358" s="1" t="s">
        <v>3783</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3784</v>
      </c>
      <c r="AP358" s="1" t="s">
        <v>3785</v>
      </c>
      <c r="AQ358" s="1" t="s">
        <v>74</v>
      </c>
      <c r="AR358" s="1" t="s">
        <v>74</v>
      </c>
      <c r="AS358" s="1" t="s">
        <v>74</v>
      </c>
      <c r="AT358" s="1" t="s">
        <v>534</v>
      </c>
      <c r="AU358" s="1">
        <v>2017.0</v>
      </c>
      <c r="AV358" s="1">
        <v>112.0</v>
      </c>
      <c r="AW358" s="1" t="s">
        <v>74</v>
      </c>
      <c r="AX358" s="1" t="s">
        <v>74</v>
      </c>
      <c r="AY358" s="1" t="s">
        <v>74</v>
      </c>
      <c r="AZ358" s="1" t="s">
        <v>74</v>
      </c>
      <c r="BA358" s="1" t="s">
        <v>74</v>
      </c>
      <c r="BB358" s="1">
        <v>208.0</v>
      </c>
      <c r="BC358" s="1">
        <v>222.0</v>
      </c>
      <c r="BD358" s="1" t="s">
        <v>74</v>
      </c>
      <c r="BE358" s="1" t="s">
        <v>3786</v>
      </c>
      <c r="BF358" s="2" t="str">
        <f>HYPERLINK("http://dx.doi.org/10.1016/j.comnet.2016.11.011","http://dx.doi.org/10.1016/j.comnet.2016.11.011")</f>
        <v>http://dx.doi.org/10.1016/j.comnet.2016.11.011</v>
      </c>
      <c r="BG358" s="1" t="s">
        <v>74</v>
      </c>
      <c r="BH358" s="1" t="s">
        <v>74</v>
      </c>
      <c r="BI358" s="1" t="s">
        <v>74</v>
      </c>
      <c r="BJ358" s="1" t="s">
        <v>74</v>
      </c>
      <c r="BK358" s="1" t="s">
        <v>74</v>
      </c>
      <c r="BL358" s="1" t="s">
        <v>74</v>
      </c>
      <c r="BM358" s="1" t="s">
        <v>74</v>
      </c>
      <c r="BN358" s="1" t="s">
        <v>74</v>
      </c>
      <c r="BO358" s="1" t="s">
        <v>74</v>
      </c>
      <c r="BP358" s="1" t="s">
        <v>74</v>
      </c>
      <c r="BQ358" s="1" t="s">
        <v>74</v>
      </c>
      <c r="BR358" s="1" t="s">
        <v>74</v>
      </c>
      <c r="BS358" s="1" t="s">
        <v>3787</v>
      </c>
      <c r="BT358" s="1" t="str">
        <f>HYPERLINK("https%3A%2F%2Fwww.webofscience.com%2Fwos%2Fwoscc%2Ffull-record%2FWOS:000392781800015","View Full Record in Web of Science")</f>
        <v>View Full Record in Web of Science</v>
      </c>
    </row>
    <row r="359" ht="12.75" customHeight="1">
      <c r="A359" s="1" t="s">
        <v>207</v>
      </c>
      <c r="B359" s="1" t="s">
        <v>3788</v>
      </c>
      <c r="C359" s="1" t="s">
        <v>74</v>
      </c>
      <c r="D359" s="1" t="s">
        <v>3789</v>
      </c>
      <c r="E359" s="1" t="s">
        <v>74</v>
      </c>
      <c r="F359" s="1" t="s">
        <v>3790</v>
      </c>
      <c r="G359" s="1" t="s">
        <v>74</v>
      </c>
      <c r="H359" s="1" t="s">
        <v>74</v>
      </c>
      <c r="I359" s="1" t="s">
        <v>3791</v>
      </c>
      <c r="J359" s="1" t="s">
        <v>3792</v>
      </c>
      <c r="K359" s="1" t="s">
        <v>74</v>
      </c>
      <c r="L359" s="1" t="s">
        <v>74</v>
      </c>
      <c r="M359" s="1" t="s">
        <v>74</v>
      </c>
      <c r="N359" s="1" t="s">
        <v>74</v>
      </c>
      <c r="O359" s="1" t="s">
        <v>3793</v>
      </c>
      <c r="P359" s="1" t="s">
        <v>3794</v>
      </c>
      <c r="Q359" s="1" t="s">
        <v>3795</v>
      </c>
      <c r="R359" s="1" t="s">
        <v>3796</v>
      </c>
      <c r="S359" s="1" t="s">
        <v>74</v>
      </c>
      <c r="T359" s="1" t="s">
        <v>74</v>
      </c>
      <c r="U359" s="1" t="s">
        <v>74</v>
      </c>
      <c r="V359" s="1" t="s">
        <v>3797</v>
      </c>
      <c r="W359" s="1" t="s">
        <v>74</v>
      </c>
      <c r="X359" s="1" t="s">
        <v>74</v>
      </c>
      <c r="Y359" s="1" t="s">
        <v>74</v>
      </c>
      <c r="Z359" s="1" t="s">
        <v>74</v>
      </c>
      <c r="AA359" s="1" t="s">
        <v>3798</v>
      </c>
      <c r="AB359" s="1" t="s">
        <v>3799</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74</v>
      </c>
      <c r="AP359" s="1" t="s">
        <v>74</v>
      </c>
      <c r="AQ359" s="1" t="s">
        <v>3800</v>
      </c>
      <c r="AR359" s="1" t="s">
        <v>74</v>
      </c>
      <c r="AS359" s="1" t="s">
        <v>74</v>
      </c>
      <c r="AT359" s="1" t="s">
        <v>74</v>
      </c>
      <c r="AU359" s="1">
        <v>2016.0</v>
      </c>
      <c r="AV359" s="1" t="s">
        <v>74</v>
      </c>
      <c r="AW359" s="1" t="s">
        <v>74</v>
      </c>
      <c r="AX359" s="1" t="s">
        <v>74</v>
      </c>
      <c r="AY359" s="1" t="s">
        <v>74</v>
      </c>
      <c r="AZ359" s="1" t="s">
        <v>74</v>
      </c>
      <c r="BA359" s="1" t="s">
        <v>74</v>
      </c>
      <c r="BB359" s="1">
        <v>180.0</v>
      </c>
      <c r="BC359" s="1">
        <v>187.0</v>
      </c>
      <c r="BD359" s="1" t="s">
        <v>74</v>
      </c>
      <c r="BE359" s="1" t="s">
        <v>74</v>
      </c>
      <c r="BF359" s="1" t="s">
        <v>74</v>
      </c>
      <c r="BG359" s="1" t="s">
        <v>74</v>
      </c>
      <c r="BH359" s="1" t="s">
        <v>74</v>
      </c>
      <c r="BI359" s="1" t="s">
        <v>74</v>
      </c>
      <c r="BJ359" s="1" t="s">
        <v>74</v>
      </c>
      <c r="BK359" s="1" t="s">
        <v>74</v>
      </c>
      <c r="BL359" s="1" t="s">
        <v>74</v>
      </c>
      <c r="BM359" s="1" t="s">
        <v>74</v>
      </c>
      <c r="BN359" s="1" t="s">
        <v>74</v>
      </c>
      <c r="BO359" s="1" t="s">
        <v>74</v>
      </c>
      <c r="BP359" s="1" t="s">
        <v>74</v>
      </c>
      <c r="BQ359" s="1" t="s">
        <v>74</v>
      </c>
      <c r="BR359" s="1" t="s">
        <v>74</v>
      </c>
      <c r="BS359" s="1" t="s">
        <v>3801</v>
      </c>
      <c r="BT359" s="1" t="str">
        <f>HYPERLINK("https%3A%2F%2Fwww.webofscience.com%2Fwos%2Fwoscc%2Ffull-record%2FWOS:000391251000028","View Full Record in Web of Science")</f>
        <v>View Full Record in Web of Science</v>
      </c>
    </row>
    <row r="360" ht="12.75" customHeight="1">
      <c r="A360" s="1" t="s">
        <v>72</v>
      </c>
      <c r="B360" s="1" t="s">
        <v>3802</v>
      </c>
      <c r="C360" s="1" t="s">
        <v>74</v>
      </c>
      <c r="D360" s="1" t="s">
        <v>74</v>
      </c>
      <c r="E360" s="1" t="s">
        <v>74</v>
      </c>
      <c r="F360" s="1" t="s">
        <v>3803</v>
      </c>
      <c r="G360" s="1" t="s">
        <v>74</v>
      </c>
      <c r="H360" s="1" t="s">
        <v>74</v>
      </c>
      <c r="I360" s="1" t="s">
        <v>3804</v>
      </c>
      <c r="J360" s="1" t="s">
        <v>3805</v>
      </c>
      <c r="K360" s="1" t="s">
        <v>74</v>
      </c>
      <c r="L360" s="1" t="s">
        <v>74</v>
      </c>
      <c r="M360" s="1" t="s">
        <v>74</v>
      </c>
      <c r="N360" s="1" t="s">
        <v>74</v>
      </c>
      <c r="O360" s="1" t="s">
        <v>74</v>
      </c>
      <c r="P360" s="1" t="s">
        <v>74</v>
      </c>
      <c r="Q360" s="1" t="s">
        <v>74</v>
      </c>
      <c r="R360" s="1" t="s">
        <v>74</v>
      </c>
      <c r="S360" s="1" t="s">
        <v>74</v>
      </c>
      <c r="T360" s="1" t="s">
        <v>74</v>
      </c>
      <c r="U360" s="1" t="s">
        <v>74</v>
      </c>
      <c r="V360" s="1" t="s">
        <v>3806</v>
      </c>
      <c r="W360" s="1" t="s">
        <v>74</v>
      </c>
      <c r="X360" s="1" t="s">
        <v>74</v>
      </c>
      <c r="Y360" s="1" t="s">
        <v>74</v>
      </c>
      <c r="Z360" s="1" t="s">
        <v>74</v>
      </c>
      <c r="AA360" s="1" t="s">
        <v>3807</v>
      </c>
      <c r="AB360" s="1" t="s">
        <v>3808</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3809</v>
      </c>
      <c r="AP360" s="1" t="s">
        <v>3810</v>
      </c>
      <c r="AQ360" s="1" t="s">
        <v>74</v>
      </c>
      <c r="AR360" s="1" t="s">
        <v>74</v>
      </c>
      <c r="AS360" s="1" t="s">
        <v>74</v>
      </c>
      <c r="AT360" s="1" t="s">
        <v>164</v>
      </c>
      <c r="AU360" s="1">
        <v>2015.0</v>
      </c>
      <c r="AV360" s="1">
        <v>32.0</v>
      </c>
      <c r="AW360" s="1">
        <v>6.0</v>
      </c>
      <c r="AX360" s="1" t="s">
        <v>74</v>
      </c>
      <c r="AY360" s="1" t="s">
        <v>74</v>
      </c>
      <c r="AZ360" s="1" t="s">
        <v>74</v>
      </c>
      <c r="BA360" s="1" t="s">
        <v>74</v>
      </c>
      <c r="BB360" s="1">
        <v>2903.0</v>
      </c>
      <c r="BC360" s="1">
        <v>2909.0</v>
      </c>
      <c r="BD360" s="1" t="s">
        <v>74</v>
      </c>
      <c r="BE360" s="1" t="s">
        <v>3811</v>
      </c>
      <c r="BF360" s="2" t="str">
        <f>HYPERLINK("http://dx.doi.org/10.3305/nh.2015.32.6.9808","http://dx.doi.org/10.3305/nh.2015.32.6.9808")</f>
        <v>http://dx.doi.org/10.3305/nh.2015.32.6.9808</v>
      </c>
      <c r="BG360" s="1" t="s">
        <v>74</v>
      </c>
      <c r="BH360" s="1" t="s">
        <v>74</v>
      </c>
      <c r="BI360" s="1" t="s">
        <v>74</v>
      </c>
      <c r="BJ360" s="1" t="s">
        <v>74</v>
      </c>
      <c r="BK360" s="1" t="s">
        <v>74</v>
      </c>
      <c r="BL360" s="1" t="s">
        <v>74</v>
      </c>
      <c r="BM360" s="1" t="s">
        <v>74</v>
      </c>
      <c r="BN360" s="1">
        <v>2.6667751E7</v>
      </c>
      <c r="BO360" s="1" t="s">
        <v>74</v>
      </c>
      <c r="BP360" s="1" t="s">
        <v>74</v>
      </c>
      <c r="BQ360" s="1" t="s">
        <v>74</v>
      </c>
      <c r="BR360" s="1" t="s">
        <v>74</v>
      </c>
      <c r="BS360" s="1" t="s">
        <v>3812</v>
      </c>
      <c r="BT360" s="1" t="str">
        <f>HYPERLINK("https%3A%2F%2Fwww.webofscience.com%2Fwos%2Fwoscc%2Ffull-record%2FWOS:000367417600073","View Full Record in Web of Science")</f>
        <v>View Full Record in Web of Science</v>
      </c>
    </row>
    <row r="361" ht="12.75" customHeight="1">
      <c r="A361" s="1" t="s">
        <v>72</v>
      </c>
      <c r="B361" s="1" t="s">
        <v>3813</v>
      </c>
      <c r="C361" s="1" t="s">
        <v>74</v>
      </c>
      <c r="D361" s="1" t="s">
        <v>74</v>
      </c>
      <c r="E361" s="1" t="s">
        <v>74</v>
      </c>
      <c r="F361" s="1" t="s">
        <v>3814</v>
      </c>
      <c r="G361" s="1" t="s">
        <v>74</v>
      </c>
      <c r="H361" s="1" t="s">
        <v>74</v>
      </c>
      <c r="I361" s="1" t="s">
        <v>3815</v>
      </c>
      <c r="J361" s="1" t="s">
        <v>3816</v>
      </c>
      <c r="K361" s="1" t="s">
        <v>74</v>
      </c>
      <c r="L361" s="1" t="s">
        <v>74</v>
      </c>
      <c r="M361" s="1" t="s">
        <v>74</v>
      </c>
      <c r="N361" s="1" t="s">
        <v>74</v>
      </c>
      <c r="O361" s="1" t="s">
        <v>74</v>
      </c>
      <c r="P361" s="1" t="s">
        <v>74</v>
      </c>
      <c r="Q361" s="1" t="s">
        <v>74</v>
      </c>
      <c r="R361" s="1" t="s">
        <v>74</v>
      </c>
      <c r="S361" s="1" t="s">
        <v>74</v>
      </c>
      <c r="T361" s="1" t="s">
        <v>74</v>
      </c>
      <c r="U361" s="1" t="s">
        <v>74</v>
      </c>
      <c r="V361" s="1" t="s">
        <v>3817</v>
      </c>
      <c r="W361" s="1" t="s">
        <v>74</v>
      </c>
      <c r="X361" s="1" t="s">
        <v>74</v>
      </c>
      <c r="Y361" s="1" t="s">
        <v>74</v>
      </c>
      <c r="Z361" s="1" t="s">
        <v>74</v>
      </c>
      <c r="AA361" s="1" t="s">
        <v>3818</v>
      </c>
      <c r="AB361" s="1" t="s">
        <v>3819</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3820</v>
      </c>
      <c r="AP361" s="1" t="s">
        <v>3821</v>
      </c>
      <c r="AQ361" s="1" t="s">
        <v>74</v>
      </c>
      <c r="AR361" s="1" t="s">
        <v>74</v>
      </c>
      <c r="AS361" s="1" t="s">
        <v>74</v>
      </c>
      <c r="AT361" s="1" t="s">
        <v>82</v>
      </c>
      <c r="AU361" s="1">
        <v>2014.0</v>
      </c>
      <c r="AV361" s="1">
        <v>155.0</v>
      </c>
      <c r="AW361" s="1">
        <v>10.0</v>
      </c>
      <c r="AX361" s="1" t="s">
        <v>74</v>
      </c>
      <c r="AY361" s="1" t="s">
        <v>74</v>
      </c>
      <c r="AZ361" s="1" t="s">
        <v>74</v>
      </c>
      <c r="BA361" s="1" t="s">
        <v>74</v>
      </c>
      <c r="BB361" s="1">
        <v>2108.0</v>
      </c>
      <c r="BC361" s="1">
        <v>2115.0</v>
      </c>
      <c r="BD361" s="1" t="s">
        <v>74</v>
      </c>
      <c r="BE361" s="1" t="s">
        <v>3822</v>
      </c>
      <c r="BF361" s="2" t="str">
        <f>HYPERLINK("http://dx.doi.org/10.1016/j.pain.2014.07.024","http://dx.doi.org/10.1016/j.pain.2014.07.024")</f>
        <v>http://dx.doi.org/10.1016/j.pain.2014.07.024</v>
      </c>
      <c r="BG361" s="1" t="s">
        <v>74</v>
      </c>
      <c r="BH361" s="1" t="s">
        <v>74</v>
      </c>
      <c r="BI361" s="1" t="s">
        <v>74</v>
      </c>
      <c r="BJ361" s="1" t="s">
        <v>74</v>
      </c>
      <c r="BK361" s="1" t="s">
        <v>74</v>
      </c>
      <c r="BL361" s="1" t="s">
        <v>74</v>
      </c>
      <c r="BM361" s="1" t="s">
        <v>74</v>
      </c>
      <c r="BN361" s="1">
        <v>2.5102401E7</v>
      </c>
      <c r="BO361" s="1" t="s">
        <v>74</v>
      </c>
      <c r="BP361" s="1" t="s">
        <v>74</v>
      </c>
      <c r="BQ361" s="1" t="s">
        <v>74</v>
      </c>
      <c r="BR361" s="1" t="s">
        <v>74</v>
      </c>
      <c r="BS361" s="1" t="s">
        <v>3823</v>
      </c>
      <c r="BT361" s="1" t="str">
        <f>HYPERLINK("https%3A%2F%2Fwww.webofscience.com%2Fwos%2Fwoscc%2Ffull-record%2FWOS:000343831300029","View Full Record in Web of Science")</f>
        <v>View Full Record in Web of Science</v>
      </c>
    </row>
    <row r="362" ht="12.75" customHeight="1">
      <c r="A362" s="1" t="s">
        <v>72</v>
      </c>
      <c r="B362" s="1" t="s">
        <v>3824</v>
      </c>
      <c r="C362" s="1" t="s">
        <v>74</v>
      </c>
      <c r="D362" s="1" t="s">
        <v>74</v>
      </c>
      <c r="E362" s="1" t="s">
        <v>74</v>
      </c>
      <c r="F362" s="1" t="s">
        <v>3825</v>
      </c>
      <c r="G362" s="1" t="s">
        <v>74</v>
      </c>
      <c r="H362" s="1" t="s">
        <v>74</v>
      </c>
      <c r="I362" s="1" t="s">
        <v>3826</v>
      </c>
      <c r="J362" s="1" t="s">
        <v>2460</v>
      </c>
      <c r="K362" s="1" t="s">
        <v>74</v>
      </c>
      <c r="L362" s="1" t="s">
        <v>74</v>
      </c>
      <c r="M362" s="1" t="s">
        <v>74</v>
      </c>
      <c r="N362" s="1" t="s">
        <v>74</v>
      </c>
      <c r="O362" s="1" t="s">
        <v>74</v>
      </c>
      <c r="P362" s="1" t="s">
        <v>74</v>
      </c>
      <c r="Q362" s="1" t="s">
        <v>74</v>
      </c>
      <c r="R362" s="1" t="s">
        <v>74</v>
      </c>
      <c r="S362" s="1" t="s">
        <v>74</v>
      </c>
      <c r="T362" s="1" t="s">
        <v>74</v>
      </c>
      <c r="U362" s="1" t="s">
        <v>74</v>
      </c>
      <c r="V362" s="1" t="s">
        <v>3827</v>
      </c>
      <c r="W362" s="1" t="s">
        <v>74</v>
      </c>
      <c r="X362" s="1" t="s">
        <v>74</v>
      </c>
      <c r="Y362" s="1" t="s">
        <v>74</v>
      </c>
      <c r="Z362" s="1" t="s">
        <v>74</v>
      </c>
      <c r="AA362" s="1" t="s">
        <v>3828</v>
      </c>
      <c r="AB362" s="1" t="s">
        <v>2828</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2464</v>
      </c>
      <c r="AP362" s="1" t="s">
        <v>2465</v>
      </c>
      <c r="AQ362" s="1" t="s">
        <v>74</v>
      </c>
      <c r="AR362" s="1" t="s">
        <v>74</v>
      </c>
      <c r="AS362" s="1" t="s">
        <v>74</v>
      </c>
      <c r="AT362" s="1" t="s">
        <v>745</v>
      </c>
      <c r="AU362" s="1">
        <v>2014.0</v>
      </c>
      <c r="AV362" s="1">
        <v>142.0</v>
      </c>
      <c r="AW362" s="1">
        <v>5.0</v>
      </c>
      <c r="AX362" s="1" t="s">
        <v>74</v>
      </c>
      <c r="AY362" s="1" t="s">
        <v>74</v>
      </c>
      <c r="AZ362" s="1" t="s">
        <v>74</v>
      </c>
      <c r="BA362" s="1" t="s">
        <v>74</v>
      </c>
      <c r="BB362" s="1">
        <v>567.0</v>
      </c>
      <c r="BC362" s="1">
        <v>573.0</v>
      </c>
      <c r="BD362" s="1" t="s">
        <v>74</v>
      </c>
      <c r="BE362" s="1" t="s">
        <v>3829</v>
      </c>
      <c r="BF362" s="2" t="str">
        <f>HYPERLINK("http://dx.doi.org/10.4067/S0034-98872014000500003","http://dx.doi.org/10.4067/S0034-98872014000500003")</f>
        <v>http://dx.doi.org/10.4067/S0034-98872014000500003</v>
      </c>
      <c r="BG362" s="1" t="s">
        <v>74</v>
      </c>
      <c r="BH362" s="1" t="s">
        <v>74</v>
      </c>
      <c r="BI362" s="1" t="s">
        <v>74</v>
      </c>
      <c r="BJ362" s="1" t="s">
        <v>74</v>
      </c>
      <c r="BK362" s="1" t="s">
        <v>74</v>
      </c>
      <c r="BL362" s="1" t="s">
        <v>74</v>
      </c>
      <c r="BM362" s="1" t="s">
        <v>74</v>
      </c>
      <c r="BN362" s="1">
        <v>2.5427012E7</v>
      </c>
      <c r="BO362" s="1" t="s">
        <v>74</v>
      </c>
      <c r="BP362" s="1" t="s">
        <v>74</v>
      </c>
      <c r="BQ362" s="1" t="s">
        <v>74</v>
      </c>
      <c r="BR362" s="1" t="s">
        <v>74</v>
      </c>
      <c r="BS362" s="1" t="s">
        <v>3830</v>
      </c>
      <c r="BT362" s="1" t="str">
        <f>HYPERLINK("https%3A%2F%2Fwww.webofscience.com%2Fwos%2Fwoscc%2Ffull-record%2FWOS:000338270300003","View Full Record in Web of Science")</f>
        <v>View Full Record in Web of Science</v>
      </c>
    </row>
    <row r="363" ht="12.75" customHeight="1">
      <c r="A363" s="1" t="s">
        <v>72</v>
      </c>
      <c r="B363" s="1" t="s">
        <v>3831</v>
      </c>
      <c r="C363" s="1" t="s">
        <v>74</v>
      </c>
      <c r="D363" s="1" t="s">
        <v>74</v>
      </c>
      <c r="E363" s="1" t="s">
        <v>74</v>
      </c>
      <c r="F363" s="1" t="s">
        <v>3832</v>
      </c>
      <c r="G363" s="1" t="s">
        <v>74</v>
      </c>
      <c r="H363" s="1" t="s">
        <v>74</v>
      </c>
      <c r="I363" s="1" t="s">
        <v>3833</v>
      </c>
      <c r="J363" s="1" t="s">
        <v>3834</v>
      </c>
      <c r="K363" s="1" t="s">
        <v>74</v>
      </c>
      <c r="L363" s="1" t="s">
        <v>74</v>
      </c>
      <c r="M363" s="1" t="s">
        <v>74</v>
      </c>
      <c r="N363" s="1" t="s">
        <v>74</v>
      </c>
      <c r="O363" s="1" t="s">
        <v>74</v>
      </c>
      <c r="P363" s="1" t="s">
        <v>74</v>
      </c>
      <c r="Q363" s="1" t="s">
        <v>74</v>
      </c>
      <c r="R363" s="1" t="s">
        <v>74</v>
      </c>
      <c r="S363" s="1" t="s">
        <v>74</v>
      </c>
      <c r="T363" s="1" t="s">
        <v>74</v>
      </c>
      <c r="U363" s="1" t="s">
        <v>74</v>
      </c>
      <c r="V363" s="1" t="s">
        <v>3835</v>
      </c>
      <c r="W363" s="1" t="s">
        <v>74</v>
      </c>
      <c r="X363" s="1" t="s">
        <v>74</v>
      </c>
      <c r="Y363" s="1" t="s">
        <v>74</v>
      </c>
      <c r="Z363" s="1" t="s">
        <v>74</v>
      </c>
      <c r="AA363" s="1" t="s">
        <v>74</v>
      </c>
      <c r="AB363" s="1" t="s">
        <v>74</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3836</v>
      </c>
      <c r="AP363" s="1" t="s">
        <v>3837</v>
      </c>
      <c r="AQ363" s="1" t="s">
        <v>74</v>
      </c>
      <c r="AR363" s="1" t="s">
        <v>74</v>
      </c>
      <c r="AS363" s="1" t="s">
        <v>74</v>
      </c>
      <c r="AT363" s="1" t="s">
        <v>74</v>
      </c>
      <c r="AU363" s="1">
        <v>2014.0</v>
      </c>
      <c r="AV363" s="1">
        <v>64.0</v>
      </c>
      <c r="AW363" s="1">
        <v>6.0</v>
      </c>
      <c r="AX363" s="1" t="s">
        <v>74</v>
      </c>
      <c r="AY363" s="1" t="s">
        <v>74</v>
      </c>
      <c r="AZ363" s="1" t="s">
        <v>74</v>
      </c>
      <c r="BA363" s="1" t="s">
        <v>74</v>
      </c>
      <c r="BB363" s="1">
        <v>2299.0</v>
      </c>
      <c r="BC363" s="1">
        <v>2377.0</v>
      </c>
      <c r="BD363" s="1" t="s">
        <v>74</v>
      </c>
      <c r="BE363" s="1" t="s">
        <v>3838</v>
      </c>
      <c r="BF363" s="2" t="str">
        <f>HYPERLINK("http://dx.doi.org/10.5802/aif.2914","http://dx.doi.org/10.5802/aif.2914")</f>
        <v>http://dx.doi.org/10.5802/aif.2914</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3839</v>
      </c>
      <c r="BT363" s="1" t="str">
        <f>HYPERLINK("https%3A%2F%2Fwww.webofscience.com%2Fwos%2Fwoscc%2Ffull-record%2FWOS:000348013000004","View Full Record in Web of Science")</f>
        <v>View Full Record in Web of Science</v>
      </c>
    </row>
    <row r="364" ht="12.75" customHeight="1">
      <c r="A364" s="1" t="s">
        <v>72</v>
      </c>
      <c r="B364" s="1" t="s">
        <v>3840</v>
      </c>
      <c r="C364" s="1" t="s">
        <v>74</v>
      </c>
      <c r="D364" s="1" t="s">
        <v>74</v>
      </c>
      <c r="E364" s="1" t="s">
        <v>74</v>
      </c>
      <c r="F364" s="1" t="s">
        <v>3841</v>
      </c>
      <c r="G364" s="1" t="s">
        <v>74</v>
      </c>
      <c r="H364" s="1" t="s">
        <v>74</v>
      </c>
      <c r="I364" s="1" t="s">
        <v>3842</v>
      </c>
      <c r="J364" s="1" t="s">
        <v>3843</v>
      </c>
      <c r="K364" s="1" t="s">
        <v>74</v>
      </c>
      <c r="L364" s="1" t="s">
        <v>74</v>
      </c>
      <c r="M364" s="1" t="s">
        <v>74</v>
      </c>
      <c r="N364" s="1" t="s">
        <v>74</v>
      </c>
      <c r="O364" s="1" t="s">
        <v>74</v>
      </c>
      <c r="P364" s="1" t="s">
        <v>74</v>
      </c>
      <c r="Q364" s="1" t="s">
        <v>74</v>
      </c>
      <c r="R364" s="1" t="s">
        <v>74</v>
      </c>
      <c r="S364" s="1" t="s">
        <v>74</v>
      </c>
      <c r="T364" s="1" t="s">
        <v>74</v>
      </c>
      <c r="U364" s="1" t="s">
        <v>74</v>
      </c>
      <c r="V364" s="1" t="s">
        <v>3844</v>
      </c>
      <c r="W364" s="1" t="s">
        <v>74</v>
      </c>
      <c r="X364" s="1" t="s">
        <v>74</v>
      </c>
      <c r="Y364" s="1" t="s">
        <v>74</v>
      </c>
      <c r="Z364" s="1" t="s">
        <v>74</v>
      </c>
      <c r="AA364" s="1" t="s">
        <v>3845</v>
      </c>
      <c r="AB364" s="1" t="s">
        <v>3846</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3847</v>
      </c>
      <c r="AP364" s="1" t="s">
        <v>3848</v>
      </c>
      <c r="AQ364" s="1" t="s">
        <v>74</v>
      </c>
      <c r="AR364" s="1" t="s">
        <v>74</v>
      </c>
      <c r="AS364" s="1" t="s">
        <v>74</v>
      </c>
      <c r="AT364" s="1" t="s">
        <v>3849</v>
      </c>
      <c r="AU364" s="1">
        <v>2014.0</v>
      </c>
      <c r="AV364" s="1">
        <v>72.0</v>
      </c>
      <c r="AW364" s="1">
        <v>1.0</v>
      </c>
      <c r="AX364" s="1" t="s">
        <v>74</v>
      </c>
      <c r="AY364" s="1" t="s">
        <v>74</v>
      </c>
      <c r="AZ364" s="1" t="s">
        <v>74</v>
      </c>
      <c r="BA364" s="1" t="s">
        <v>74</v>
      </c>
      <c r="BB364" s="1">
        <v>57.0</v>
      </c>
      <c r="BC364" s="1">
        <v>82.0</v>
      </c>
      <c r="BD364" s="1" t="s">
        <v>74</v>
      </c>
      <c r="BE364" s="1" t="s">
        <v>3850</v>
      </c>
      <c r="BF364" s="2" t="str">
        <f>HYPERLINK("http://dx.doi.org/10.3989/ris.2011.11.08","http://dx.doi.org/10.3989/ris.2011.11.08")</f>
        <v>http://dx.doi.org/10.3989/ris.2011.11.08</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3851</v>
      </c>
      <c r="BT364" s="1" t="str">
        <f>HYPERLINK("https%3A%2F%2Fwww.webofscience.com%2Fwos%2Fwoscc%2Ffull-record%2FWOS:000331617100003","View Full Record in Web of Science")</f>
        <v>View Full Record in Web of Science</v>
      </c>
    </row>
    <row r="365" ht="12.75" customHeight="1">
      <c r="A365" s="1" t="s">
        <v>72</v>
      </c>
      <c r="B365" s="1" t="s">
        <v>3852</v>
      </c>
      <c r="C365" s="1" t="s">
        <v>74</v>
      </c>
      <c r="D365" s="1" t="s">
        <v>74</v>
      </c>
      <c r="E365" s="1" t="s">
        <v>74</v>
      </c>
      <c r="F365" s="1" t="s">
        <v>3853</v>
      </c>
      <c r="G365" s="1" t="s">
        <v>74</v>
      </c>
      <c r="H365" s="1" t="s">
        <v>74</v>
      </c>
      <c r="I365" s="1" t="s">
        <v>3854</v>
      </c>
      <c r="J365" s="1" t="s">
        <v>3855</v>
      </c>
      <c r="K365" s="1" t="s">
        <v>74</v>
      </c>
      <c r="L365" s="1" t="s">
        <v>74</v>
      </c>
      <c r="M365" s="1" t="s">
        <v>74</v>
      </c>
      <c r="N365" s="1" t="s">
        <v>74</v>
      </c>
      <c r="O365" s="1" t="s">
        <v>74</v>
      </c>
      <c r="P365" s="1" t="s">
        <v>74</v>
      </c>
      <c r="Q365" s="1" t="s">
        <v>74</v>
      </c>
      <c r="R365" s="1" t="s">
        <v>74</v>
      </c>
      <c r="S365" s="1" t="s">
        <v>74</v>
      </c>
      <c r="T365" s="1" t="s">
        <v>74</v>
      </c>
      <c r="U365" s="1" t="s">
        <v>74</v>
      </c>
      <c r="V365" s="1" t="s">
        <v>74</v>
      </c>
      <c r="W365" s="1" t="s">
        <v>74</v>
      </c>
      <c r="X365" s="1" t="s">
        <v>74</v>
      </c>
      <c r="Y365" s="1" t="s">
        <v>74</v>
      </c>
      <c r="Z365" s="1" t="s">
        <v>74</v>
      </c>
      <c r="AA365" s="1" t="s">
        <v>3856</v>
      </c>
      <c r="AB365" s="1" t="s">
        <v>3857</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3858</v>
      </c>
      <c r="AP365" s="1" t="s">
        <v>3859</v>
      </c>
      <c r="AQ365" s="1" t="s">
        <v>74</v>
      </c>
      <c r="AR365" s="1" t="s">
        <v>74</v>
      </c>
      <c r="AS365" s="1" t="s">
        <v>74</v>
      </c>
      <c r="AT365" s="1" t="s">
        <v>3860</v>
      </c>
      <c r="AU365" s="1">
        <v>2012.0</v>
      </c>
      <c r="AV365" s="1">
        <v>54.0</v>
      </c>
      <c r="AW365" s="1">
        <v>5.0</v>
      </c>
      <c r="AX365" s="1" t="s">
        <v>74</v>
      </c>
      <c r="AY365" s="1" t="s">
        <v>74</v>
      </c>
      <c r="AZ365" s="1" t="s">
        <v>74</v>
      </c>
      <c r="BA365" s="1" t="s">
        <v>74</v>
      </c>
      <c r="BB365" s="1">
        <v>459.0</v>
      </c>
      <c r="BC365" s="1">
        <v>460.0</v>
      </c>
      <c r="BD365" s="1" t="s">
        <v>74</v>
      </c>
      <c r="BE365" s="1" t="s">
        <v>3861</v>
      </c>
      <c r="BF365" s="2" t="str">
        <f>HYPERLINK("http://dx.doi.org/10.1590/S0036-36342012000500001","http://dx.doi.org/10.1590/S0036-36342012000500001")</f>
        <v>http://dx.doi.org/10.1590/S0036-36342012000500001</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3862</v>
      </c>
      <c r="BT365" s="1" t="str">
        <f>HYPERLINK("https%3A%2F%2Fwww.webofscience.com%2Fwos%2Fwoscc%2Ffull-record%2FWOS:000309320100001","View Full Record in Web of Science")</f>
        <v>View Full Record in Web of Science</v>
      </c>
    </row>
    <row r="366" ht="12.75" customHeight="1">
      <c r="A366" s="1" t="s">
        <v>72</v>
      </c>
      <c r="B366" s="1" t="s">
        <v>3863</v>
      </c>
      <c r="C366" s="1" t="s">
        <v>74</v>
      </c>
      <c r="D366" s="1" t="s">
        <v>74</v>
      </c>
      <c r="E366" s="1" t="s">
        <v>74</v>
      </c>
      <c r="F366" s="1" t="s">
        <v>3864</v>
      </c>
      <c r="G366" s="1" t="s">
        <v>74</v>
      </c>
      <c r="H366" s="1" t="s">
        <v>74</v>
      </c>
      <c r="I366" s="1" t="s">
        <v>3865</v>
      </c>
      <c r="J366" s="1" t="s">
        <v>3866</v>
      </c>
      <c r="K366" s="1" t="s">
        <v>74</v>
      </c>
      <c r="L366" s="1" t="s">
        <v>74</v>
      </c>
      <c r="M366" s="1" t="s">
        <v>74</v>
      </c>
      <c r="N366" s="1" t="s">
        <v>74</v>
      </c>
      <c r="O366" s="1" t="s">
        <v>74</v>
      </c>
      <c r="P366" s="1" t="s">
        <v>74</v>
      </c>
      <c r="Q366" s="1" t="s">
        <v>74</v>
      </c>
      <c r="R366" s="1" t="s">
        <v>74</v>
      </c>
      <c r="S366" s="1" t="s">
        <v>74</v>
      </c>
      <c r="T366" s="1" t="s">
        <v>74</v>
      </c>
      <c r="U366" s="1" t="s">
        <v>74</v>
      </c>
      <c r="V366" s="1" t="s">
        <v>3867</v>
      </c>
      <c r="W366" s="1" t="s">
        <v>74</v>
      </c>
      <c r="X366" s="1" t="s">
        <v>74</v>
      </c>
      <c r="Y366" s="1" t="s">
        <v>74</v>
      </c>
      <c r="Z366" s="1" t="s">
        <v>74</v>
      </c>
      <c r="AA366" s="1" t="s">
        <v>3868</v>
      </c>
      <c r="AB366" s="1" t="s">
        <v>3869</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3870</v>
      </c>
      <c r="AP366" s="1" t="s">
        <v>3871</v>
      </c>
      <c r="AQ366" s="1" t="s">
        <v>74</v>
      </c>
      <c r="AR366" s="1" t="s">
        <v>74</v>
      </c>
      <c r="AS366" s="1" t="s">
        <v>74</v>
      </c>
      <c r="AT366" s="1" t="s">
        <v>74</v>
      </c>
      <c r="AU366" s="1">
        <v>2012.0</v>
      </c>
      <c r="AV366" s="1">
        <v>15.0</v>
      </c>
      <c r="AW366" s="1">
        <v>2.0</v>
      </c>
      <c r="AX366" s="1" t="s">
        <v>74</v>
      </c>
      <c r="AY366" s="1" t="s">
        <v>74</v>
      </c>
      <c r="AZ366" s="1" t="s">
        <v>74</v>
      </c>
      <c r="BA366" s="1" t="s">
        <v>74</v>
      </c>
      <c r="BB366" s="1">
        <v>185.0</v>
      </c>
      <c r="BC366" s="1">
        <v>193.0</v>
      </c>
      <c r="BD366" s="1" t="s">
        <v>74</v>
      </c>
      <c r="BE366" s="1" t="s">
        <v>3872</v>
      </c>
      <c r="BF366" s="2" t="str">
        <f>HYPERLINK("http://dx.doi.org/10.1080/10255842.2010.520704","http://dx.doi.org/10.1080/10255842.2010.520704")</f>
        <v>http://dx.doi.org/10.1080/10255842.2010.520704</v>
      </c>
      <c r="BG366" s="1" t="s">
        <v>74</v>
      </c>
      <c r="BH366" s="1" t="s">
        <v>74</v>
      </c>
      <c r="BI366" s="1" t="s">
        <v>74</v>
      </c>
      <c r="BJ366" s="1" t="s">
        <v>74</v>
      </c>
      <c r="BK366" s="1" t="s">
        <v>74</v>
      </c>
      <c r="BL366" s="1" t="s">
        <v>74</v>
      </c>
      <c r="BM366" s="1" t="s">
        <v>74</v>
      </c>
      <c r="BN366" s="1">
        <v>2.1480018E7</v>
      </c>
      <c r="BO366" s="1" t="s">
        <v>74</v>
      </c>
      <c r="BP366" s="1" t="s">
        <v>74</v>
      </c>
      <c r="BQ366" s="1" t="s">
        <v>74</v>
      </c>
      <c r="BR366" s="1" t="s">
        <v>74</v>
      </c>
      <c r="BS366" s="1" t="s">
        <v>3873</v>
      </c>
      <c r="BT366" s="1" t="str">
        <f>HYPERLINK("https%3A%2F%2Fwww.webofscience.com%2Fwos%2Fwoscc%2Ffull-record%2FWOS:000301596300010","View Full Record in Web of Science")</f>
        <v>View Full Record in Web of Science</v>
      </c>
    </row>
    <row r="367" ht="12.75" customHeight="1">
      <c r="A367" s="1" t="s">
        <v>72</v>
      </c>
      <c r="B367" s="1" t="s">
        <v>3874</v>
      </c>
      <c r="C367" s="1" t="s">
        <v>74</v>
      </c>
      <c r="D367" s="1" t="s">
        <v>74</v>
      </c>
      <c r="E367" s="1" t="s">
        <v>74</v>
      </c>
      <c r="F367" s="1" t="s">
        <v>3875</v>
      </c>
      <c r="G367" s="1" t="s">
        <v>74</v>
      </c>
      <c r="H367" s="1" t="s">
        <v>74</v>
      </c>
      <c r="I367" s="1" t="s">
        <v>3876</v>
      </c>
      <c r="J367" s="1" t="s">
        <v>3877</v>
      </c>
      <c r="K367" s="1" t="s">
        <v>74</v>
      </c>
      <c r="L367" s="1" t="s">
        <v>74</v>
      </c>
      <c r="M367" s="1" t="s">
        <v>74</v>
      </c>
      <c r="N367" s="1" t="s">
        <v>74</v>
      </c>
      <c r="O367" s="1" t="s">
        <v>74</v>
      </c>
      <c r="P367" s="1" t="s">
        <v>74</v>
      </c>
      <c r="Q367" s="1" t="s">
        <v>74</v>
      </c>
      <c r="R367" s="1" t="s">
        <v>74</v>
      </c>
      <c r="S367" s="1" t="s">
        <v>74</v>
      </c>
      <c r="T367" s="1" t="s">
        <v>74</v>
      </c>
      <c r="U367" s="1" t="s">
        <v>74</v>
      </c>
      <c r="V367" s="1" t="s">
        <v>3878</v>
      </c>
      <c r="W367" s="1" t="s">
        <v>74</v>
      </c>
      <c r="X367" s="1" t="s">
        <v>74</v>
      </c>
      <c r="Y367" s="1" t="s">
        <v>74</v>
      </c>
      <c r="Z367" s="1" t="s">
        <v>74</v>
      </c>
      <c r="AA367" s="1" t="s">
        <v>3879</v>
      </c>
      <c r="AB367" s="1" t="s">
        <v>3880</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3881</v>
      </c>
      <c r="AP367" s="1" t="s">
        <v>3882</v>
      </c>
      <c r="AQ367" s="1" t="s">
        <v>74</v>
      </c>
      <c r="AR367" s="1" t="s">
        <v>74</v>
      </c>
      <c r="AS367" s="1" t="s">
        <v>74</v>
      </c>
      <c r="AT367" s="1" t="s">
        <v>164</v>
      </c>
      <c r="AU367" s="1">
        <v>2010.0</v>
      </c>
      <c r="AV367" s="1">
        <v>31.0</v>
      </c>
      <c r="AW367" s="1">
        <v>12.0</v>
      </c>
      <c r="AX367" s="1" t="s">
        <v>74</v>
      </c>
      <c r="AY367" s="1" t="s">
        <v>74</v>
      </c>
      <c r="AZ367" s="1" t="s">
        <v>74</v>
      </c>
      <c r="BA367" s="1" t="s">
        <v>74</v>
      </c>
      <c r="BB367" s="1">
        <v>1553.0</v>
      </c>
      <c r="BC367" s="1">
        <v>1565.0</v>
      </c>
      <c r="BD367" s="1" t="s">
        <v>74</v>
      </c>
      <c r="BE367" s="1" t="s">
        <v>3883</v>
      </c>
      <c r="BF367" s="2" t="str">
        <f>HYPERLINK("http://dx.doi.org/10.1088/0967-3334/31/12/001","http://dx.doi.org/10.1088/0967-3334/31/12/001")</f>
        <v>http://dx.doi.org/10.1088/0967-3334/31/12/001</v>
      </c>
      <c r="BG367" s="1" t="s">
        <v>74</v>
      </c>
      <c r="BH367" s="1" t="s">
        <v>74</v>
      </c>
      <c r="BI367" s="1" t="s">
        <v>74</v>
      </c>
      <c r="BJ367" s="1" t="s">
        <v>74</v>
      </c>
      <c r="BK367" s="1" t="s">
        <v>74</v>
      </c>
      <c r="BL367" s="1" t="s">
        <v>74</v>
      </c>
      <c r="BM367" s="1" t="s">
        <v>74</v>
      </c>
      <c r="BN367" s="1">
        <v>2.0980717E7</v>
      </c>
      <c r="BO367" s="1" t="s">
        <v>74</v>
      </c>
      <c r="BP367" s="1" t="s">
        <v>74</v>
      </c>
      <c r="BQ367" s="1" t="s">
        <v>74</v>
      </c>
      <c r="BR367" s="1" t="s">
        <v>74</v>
      </c>
      <c r="BS367" s="1" t="s">
        <v>3884</v>
      </c>
      <c r="BT367" s="1" t="str">
        <f>HYPERLINK("https%3A%2F%2Fwww.webofscience.com%2Fwos%2Fwoscc%2Ffull-record%2FWOS:000284398300002","View Full Record in Web of Science")</f>
        <v>View Full Record in Web of Science</v>
      </c>
    </row>
    <row r="368" ht="12.75" customHeight="1">
      <c r="A368" s="1" t="s">
        <v>72</v>
      </c>
      <c r="B368" s="1" t="s">
        <v>3885</v>
      </c>
      <c r="C368" s="1" t="s">
        <v>74</v>
      </c>
      <c r="D368" s="1" t="s">
        <v>74</v>
      </c>
      <c r="E368" s="1" t="s">
        <v>74</v>
      </c>
      <c r="F368" s="1" t="s">
        <v>3886</v>
      </c>
      <c r="G368" s="1" t="s">
        <v>74</v>
      </c>
      <c r="H368" s="1" t="s">
        <v>74</v>
      </c>
      <c r="I368" s="1" t="s">
        <v>3887</v>
      </c>
      <c r="J368" s="1" t="s">
        <v>3888</v>
      </c>
      <c r="K368" s="1" t="s">
        <v>74</v>
      </c>
      <c r="L368" s="1" t="s">
        <v>74</v>
      </c>
      <c r="M368" s="1" t="s">
        <v>74</v>
      </c>
      <c r="N368" s="1" t="s">
        <v>74</v>
      </c>
      <c r="O368" s="1" t="s">
        <v>3889</v>
      </c>
      <c r="P368" s="1" t="s">
        <v>3890</v>
      </c>
      <c r="Q368" s="1" t="s">
        <v>1372</v>
      </c>
      <c r="R368" s="1" t="s">
        <v>74</v>
      </c>
      <c r="S368" s="1" t="s">
        <v>74</v>
      </c>
      <c r="T368" s="1" t="s">
        <v>74</v>
      </c>
      <c r="U368" s="1" t="s">
        <v>74</v>
      </c>
      <c r="V368" s="1" t="s">
        <v>74</v>
      </c>
      <c r="W368" s="1" t="s">
        <v>74</v>
      </c>
      <c r="X368" s="1" t="s">
        <v>74</v>
      </c>
      <c r="Y368" s="1" t="s">
        <v>74</v>
      </c>
      <c r="Z368" s="1" t="s">
        <v>74</v>
      </c>
      <c r="AA368" s="1" t="s">
        <v>3891</v>
      </c>
      <c r="AB368" s="1" t="s">
        <v>3892</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3893</v>
      </c>
      <c r="AP368" s="1" t="s">
        <v>74</v>
      </c>
      <c r="AQ368" s="1" t="s">
        <v>74</v>
      </c>
      <c r="AR368" s="1" t="s">
        <v>74</v>
      </c>
      <c r="AS368" s="1" t="s">
        <v>74</v>
      </c>
      <c r="AT368" s="1" t="s">
        <v>271</v>
      </c>
      <c r="AU368" s="1">
        <v>2010.0</v>
      </c>
      <c r="AV368" s="1">
        <v>31.0</v>
      </c>
      <c r="AW368" s="1">
        <v>9.0</v>
      </c>
      <c r="AX368" s="1" t="s">
        <v>74</v>
      </c>
      <c r="AY368" s="1" t="s">
        <v>74</v>
      </c>
      <c r="AZ368" s="1" t="s">
        <v>74</v>
      </c>
      <c r="BA368" s="1" t="s">
        <v>74</v>
      </c>
      <c r="BB368" s="1" t="s">
        <v>3584</v>
      </c>
      <c r="BC368" s="1" t="s">
        <v>3584</v>
      </c>
      <c r="BD368" s="1" t="s">
        <v>74</v>
      </c>
      <c r="BE368" s="1" t="s">
        <v>74</v>
      </c>
      <c r="BF368" s="1" t="s">
        <v>74</v>
      </c>
      <c r="BG368" s="1" t="s">
        <v>74</v>
      </c>
      <c r="BH368" s="1" t="s">
        <v>74</v>
      </c>
      <c r="BI368" s="1" t="s">
        <v>74</v>
      </c>
      <c r="BJ368" s="1" t="s">
        <v>74</v>
      </c>
      <c r="BK368" s="1" t="s">
        <v>74</v>
      </c>
      <c r="BL368" s="1" t="s">
        <v>74</v>
      </c>
      <c r="BM368" s="1" t="s">
        <v>74</v>
      </c>
      <c r="BN368" s="1" t="s">
        <v>74</v>
      </c>
      <c r="BO368" s="1" t="s">
        <v>74</v>
      </c>
      <c r="BP368" s="1" t="s">
        <v>74</v>
      </c>
      <c r="BQ368" s="1" t="s">
        <v>74</v>
      </c>
      <c r="BR368" s="1" t="s">
        <v>74</v>
      </c>
      <c r="BS368" s="1" t="s">
        <v>3894</v>
      </c>
      <c r="BT368" s="1" t="str">
        <f>HYPERLINK("https%3A%2F%2Fwww.webofscience.com%2Fwos%2Fwoscc%2Ffull-record%2FWOS:000282147100193","View Full Record in Web of Science")</f>
        <v>View Full Record in Web of Science</v>
      </c>
    </row>
    <row r="369" ht="12.75" customHeight="1">
      <c r="A369" s="1" t="s">
        <v>72</v>
      </c>
      <c r="B369" s="1" t="s">
        <v>3895</v>
      </c>
      <c r="C369" s="1" t="s">
        <v>74</v>
      </c>
      <c r="D369" s="1" t="s">
        <v>74</v>
      </c>
      <c r="E369" s="1" t="s">
        <v>74</v>
      </c>
      <c r="F369" s="1" t="s">
        <v>3896</v>
      </c>
      <c r="G369" s="1" t="s">
        <v>74</v>
      </c>
      <c r="H369" s="1" t="s">
        <v>74</v>
      </c>
      <c r="I369" s="1" t="s">
        <v>3897</v>
      </c>
      <c r="J369" s="1" t="s">
        <v>3898</v>
      </c>
      <c r="K369" s="1" t="s">
        <v>74</v>
      </c>
      <c r="L369" s="1" t="s">
        <v>74</v>
      </c>
      <c r="M369" s="1" t="s">
        <v>74</v>
      </c>
      <c r="N369" s="1" t="s">
        <v>74</v>
      </c>
      <c r="O369" s="1" t="s">
        <v>74</v>
      </c>
      <c r="P369" s="1" t="s">
        <v>74</v>
      </c>
      <c r="Q369" s="1" t="s">
        <v>74</v>
      </c>
      <c r="R369" s="1" t="s">
        <v>74</v>
      </c>
      <c r="S369" s="1" t="s">
        <v>74</v>
      </c>
      <c r="T369" s="1" t="s">
        <v>74</v>
      </c>
      <c r="U369" s="1" t="s">
        <v>74</v>
      </c>
      <c r="V369" s="1" t="s">
        <v>3899</v>
      </c>
      <c r="W369" s="1" t="s">
        <v>74</v>
      </c>
      <c r="X369" s="1" t="s">
        <v>74</v>
      </c>
      <c r="Y369" s="1" t="s">
        <v>74</v>
      </c>
      <c r="Z369" s="1" t="s">
        <v>74</v>
      </c>
      <c r="AA369" s="1" t="s">
        <v>3900</v>
      </c>
      <c r="AB369" s="1" t="s">
        <v>3901</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3902</v>
      </c>
      <c r="AP369" s="1" t="s">
        <v>3903</v>
      </c>
      <c r="AQ369" s="1" t="s">
        <v>74</v>
      </c>
      <c r="AR369" s="1" t="s">
        <v>74</v>
      </c>
      <c r="AS369" s="1" t="s">
        <v>74</v>
      </c>
      <c r="AT369" s="1" t="s">
        <v>3904</v>
      </c>
      <c r="AU369" s="1">
        <v>2010.0</v>
      </c>
      <c r="AV369" s="1">
        <v>493.0</v>
      </c>
      <c r="AW369" s="1" t="s">
        <v>409</v>
      </c>
      <c r="AX369" s="1" t="s">
        <v>74</v>
      </c>
      <c r="AY369" s="1" t="s">
        <v>74</v>
      </c>
      <c r="AZ369" s="1" t="s">
        <v>74</v>
      </c>
      <c r="BA369" s="1" t="s">
        <v>74</v>
      </c>
      <c r="BB369" s="1">
        <v>326.0</v>
      </c>
      <c r="BC369" s="1">
        <v>334.0</v>
      </c>
      <c r="BD369" s="1" t="s">
        <v>74</v>
      </c>
      <c r="BE369" s="1" t="s">
        <v>3905</v>
      </c>
      <c r="BF369" s="2" t="str">
        <f>HYPERLINK("http://dx.doi.org/10.1016/j.jallcom.2009.12.094","http://dx.doi.org/10.1016/j.jallcom.2009.12.094")</f>
        <v>http://dx.doi.org/10.1016/j.jallcom.2009.12.094</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3906</v>
      </c>
      <c r="BT369" s="1" t="str">
        <f>HYPERLINK("https%3A%2F%2Fwww.webofscience.com%2Fwos%2Fwoscc%2Ffull-record%2FWOS:000276054200071","View Full Record in Web of Science")</f>
        <v>View Full Record in Web of Science</v>
      </c>
    </row>
    <row r="370" ht="12.75" customHeight="1">
      <c r="A370" s="1" t="s">
        <v>72</v>
      </c>
      <c r="B370" s="1" t="s">
        <v>3907</v>
      </c>
      <c r="C370" s="1" t="s">
        <v>74</v>
      </c>
      <c r="D370" s="1" t="s">
        <v>74</v>
      </c>
      <c r="E370" s="1" t="s">
        <v>74</v>
      </c>
      <c r="F370" s="1" t="s">
        <v>3908</v>
      </c>
      <c r="G370" s="1" t="s">
        <v>74</v>
      </c>
      <c r="H370" s="1" t="s">
        <v>74</v>
      </c>
      <c r="I370" s="1" t="s">
        <v>3909</v>
      </c>
      <c r="J370" s="1" t="s">
        <v>457</v>
      </c>
      <c r="K370" s="1" t="s">
        <v>74</v>
      </c>
      <c r="L370" s="1" t="s">
        <v>74</v>
      </c>
      <c r="M370" s="1" t="s">
        <v>74</v>
      </c>
      <c r="N370" s="1" t="s">
        <v>74</v>
      </c>
      <c r="O370" s="1" t="s">
        <v>74</v>
      </c>
      <c r="P370" s="1" t="s">
        <v>74</v>
      </c>
      <c r="Q370" s="1" t="s">
        <v>74</v>
      </c>
      <c r="R370" s="1" t="s">
        <v>74</v>
      </c>
      <c r="S370" s="1" t="s">
        <v>74</v>
      </c>
      <c r="T370" s="1" t="s">
        <v>74</v>
      </c>
      <c r="U370" s="1" t="s">
        <v>74</v>
      </c>
      <c r="V370" s="1" t="s">
        <v>74</v>
      </c>
      <c r="W370" s="1" t="s">
        <v>74</v>
      </c>
      <c r="X370" s="1" t="s">
        <v>74</v>
      </c>
      <c r="Y370" s="1" t="s">
        <v>74</v>
      </c>
      <c r="Z370" s="1" t="s">
        <v>74</v>
      </c>
      <c r="AA370" s="1" t="s">
        <v>3910</v>
      </c>
      <c r="AB370" s="1" t="s">
        <v>3911</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458</v>
      </c>
      <c r="AP370" s="1" t="s">
        <v>3912</v>
      </c>
      <c r="AQ370" s="1" t="s">
        <v>74</v>
      </c>
      <c r="AR370" s="1" t="s">
        <v>74</v>
      </c>
      <c r="AS370" s="1" t="s">
        <v>74</v>
      </c>
      <c r="AT370" s="1" t="s">
        <v>177</v>
      </c>
      <c r="AU370" s="1">
        <v>2009.0</v>
      </c>
      <c r="AV370" s="1">
        <v>37.0</v>
      </c>
      <c r="AW370" s="1">
        <v>3.0</v>
      </c>
      <c r="AX370" s="1" t="s">
        <v>74</v>
      </c>
      <c r="AY370" s="1" t="s">
        <v>74</v>
      </c>
      <c r="AZ370" s="1" t="s">
        <v>74</v>
      </c>
      <c r="BA370" s="1" t="s">
        <v>74</v>
      </c>
      <c r="BB370" s="1">
        <v>225.0</v>
      </c>
      <c r="BC370" s="1">
        <v>227.0</v>
      </c>
      <c r="BD370" s="1" t="s">
        <v>74</v>
      </c>
      <c r="BE370" s="1" t="s">
        <v>3913</v>
      </c>
      <c r="BF370" s="2" t="str">
        <f>HYPERLINK("http://dx.doi.org/10.1016/j.bse.2009.02.002","http://dx.doi.org/10.1016/j.bse.2009.02.002")</f>
        <v>http://dx.doi.org/10.1016/j.bse.2009.02.002</v>
      </c>
      <c r="BG370" s="1" t="s">
        <v>74</v>
      </c>
      <c r="BH370" s="1" t="s">
        <v>74</v>
      </c>
      <c r="BI370" s="1" t="s">
        <v>74</v>
      </c>
      <c r="BJ370" s="1" t="s">
        <v>74</v>
      </c>
      <c r="BK370" s="1" t="s">
        <v>74</v>
      </c>
      <c r="BL370" s="1" t="s">
        <v>74</v>
      </c>
      <c r="BM370" s="1" t="s">
        <v>74</v>
      </c>
      <c r="BN370" s="1" t="s">
        <v>74</v>
      </c>
      <c r="BO370" s="1" t="s">
        <v>74</v>
      </c>
      <c r="BP370" s="1" t="s">
        <v>74</v>
      </c>
      <c r="BQ370" s="1" t="s">
        <v>74</v>
      </c>
      <c r="BR370" s="1" t="s">
        <v>74</v>
      </c>
      <c r="BS370" s="1" t="s">
        <v>3914</v>
      </c>
      <c r="BT370" s="1" t="str">
        <f>HYPERLINK("https%3A%2F%2Fwww.webofscience.com%2Fwos%2Fwoscc%2Ffull-record%2FWOS:000266960700014","View Full Record in Web of Science")</f>
        <v>View Full Record in Web of Science</v>
      </c>
    </row>
    <row r="371" ht="12.75" customHeight="1">
      <c r="A371" s="1" t="s">
        <v>72</v>
      </c>
      <c r="B371" s="1" t="s">
        <v>3915</v>
      </c>
      <c r="C371" s="1" t="s">
        <v>74</v>
      </c>
      <c r="D371" s="1" t="s">
        <v>74</v>
      </c>
      <c r="E371" s="1" t="s">
        <v>74</v>
      </c>
      <c r="F371" s="1" t="s">
        <v>3916</v>
      </c>
      <c r="G371" s="1" t="s">
        <v>74</v>
      </c>
      <c r="H371" s="1" t="s">
        <v>74</v>
      </c>
      <c r="I371" s="1" t="s">
        <v>3917</v>
      </c>
      <c r="J371" s="1" t="s">
        <v>3918</v>
      </c>
      <c r="K371" s="1" t="s">
        <v>74</v>
      </c>
      <c r="L371" s="1" t="s">
        <v>74</v>
      </c>
      <c r="M371" s="1" t="s">
        <v>74</v>
      </c>
      <c r="N371" s="1" t="s">
        <v>74</v>
      </c>
      <c r="O371" s="1" t="s">
        <v>74</v>
      </c>
      <c r="P371" s="1" t="s">
        <v>74</v>
      </c>
      <c r="Q371" s="1" t="s">
        <v>74</v>
      </c>
      <c r="R371" s="1" t="s">
        <v>74</v>
      </c>
      <c r="S371" s="1" t="s">
        <v>74</v>
      </c>
      <c r="T371" s="1" t="s">
        <v>74</v>
      </c>
      <c r="U371" s="1" t="s">
        <v>74</v>
      </c>
      <c r="V371" s="1" t="s">
        <v>3919</v>
      </c>
      <c r="W371" s="1" t="s">
        <v>74</v>
      </c>
      <c r="X371" s="1" t="s">
        <v>74</v>
      </c>
      <c r="Y371" s="1" t="s">
        <v>74</v>
      </c>
      <c r="Z371" s="1" t="s">
        <v>74</v>
      </c>
      <c r="AA371" s="1" t="s">
        <v>3920</v>
      </c>
      <c r="AB371" s="1" t="s">
        <v>3921</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3922</v>
      </c>
      <c r="AP371" s="1" t="s">
        <v>3923</v>
      </c>
      <c r="AQ371" s="1" t="s">
        <v>74</v>
      </c>
      <c r="AR371" s="1" t="s">
        <v>74</v>
      </c>
      <c r="AS371" s="1" t="s">
        <v>74</v>
      </c>
      <c r="AT371" s="1" t="s">
        <v>294</v>
      </c>
      <c r="AU371" s="1">
        <v>2009.0</v>
      </c>
      <c r="AV371" s="1">
        <v>46.0</v>
      </c>
      <c r="AW371" s="1">
        <v>1.0</v>
      </c>
      <c r="AX371" s="1" t="s">
        <v>74</v>
      </c>
      <c r="AY371" s="1" t="s">
        <v>74</v>
      </c>
      <c r="AZ371" s="1" t="s">
        <v>74</v>
      </c>
      <c r="BA371" s="1" t="s">
        <v>74</v>
      </c>
      <c r="BB371" s="1">
        <v>19.0</v>
      </c>
      <c r="BC371" s="1">
        <v>25.0</v>
      </c>
      <c r="BD371" s="1" t="s">
        <v>74</v>
      </c>
      <c r="BE371" s="1" t="s">
        <v>3924</v>
      </c>
      <c r="BF371" s="2" t="str">
        <f>HYPERLINK("http://dx.doi.org/10.1088/0026-1394/46/1/003","http://dx.doi.org/10.1088/0026-1394/46/1/003")</f>
        <v>http://dx.doi.org/10.1088/0026-1394/46/1/003</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3925</v>
      </c>
      <c r="BT371" s="1" t="str">
        <f>HYPERLINK("https%3A%2F%2Fwww.webofscience.com%2Fwos%2Fwoscc%2Ffull-record%2FWOS:000262849900006","View Full Record in Web of Science")</f>
        <v>View Full Record in Web of Science</v>
      </c>
    </row>
    <row r="372" ht="12.75" customHeight="1">
      <c r="A372" s="1" t="s">
        <v>72</v>
      </c>
      <c r="B372" s="1" t="s">
        <v>3926</v>
      </c>
      <c r="C372" s="1" t="s">
        <v>74</v>
      </c>
      <c r="D372" s="1" t="s">
        <v>74</v>
      </c>
      <c r="E372" s="1" t="s">
        <v>74</v>
      </c>
      <c r="F372" s="1" t="s">
        <v>3927</v>
      </c>
      <c r="G372" s="1" t="s">
        <v>74</v>
      </c>
      <c r="H372" s="1" t="s">
        <v>74</v>
      </c>
      <c r="I372" s="1" t="s">
        <v>3928</v>
      </c>
      <c r="J372" s="1" t="s">
        <v>3929</v>
      </c>
      <c r="K372" s="1" t="s">
        <v>74</v>
      </c>
      <c r="L372" s="1" t="s">
        <v>74</v>
      </c>
      <c r="M372" s="1" t="s">
        <v>74</v>
      </c>
      <c r="N372" s="1" t="s">
        <v>74</v>
      </c>
      <c r="O372" s="1" t="s">
        <v>74</v>
      </c>
      <c r="P372" s="1" t="s">
        <v>74</v>
      </c>
      <c r="Q372" s="1" t="s">
        <v>74</v>
      </c>
      <c r="R372" s="1" t="s">
        <v>74</v>
      </c>
      <c r="S372" s="1" t="s">
        <v>74</v>
      </c>
      <c r="T372" s="1" t="s">
        <v>74</v>
      </c>
      <c r="U372" s="1" t="s">
        <v>74</v>
      </c>
      <c r="V372" s="1" t="s">
        <v>3930</v>
      </c>
      <c r="W372" s="1" t="s">
        <v>74</v>
      </c>
      <c r="X372" s="1" t="s">
        <v>74</v>
      </c>
      <c r="Y372" s="1" t="s">
        <v>74</v>
      </c>
      <c r="Z372" s="1" t="s">
        <v>74</v>
      </c>
      <c r="AA372" s="1" t="s">
        <v>3931</v>
      </c>
      <c r="AB372" s="1" t="s">
        <v>3932</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3933</v>
      </c>
      <c r="AP372" s="1" t="s">
        <v>74</v>
      </c>
      <c r="AQ372" s="1" t="s">
        <v>74</v>
      </c>
      <c r="AR372" s="1" t="s">
        <v>74</v>
      </c>
      <c r="AS372" s="1" t="s">
        <v>74</v>
      </c>
      <c r="AT372" s="1" t="s">
        <v>74</v>
      </c>
      <c r="AU372" s="1">
        <v>2009.0</v>
      </c>
      <c r="AV372" s="1" t="s">
        <v>74</v>
      </c>
      <c r="AW372" s="1">
        <v>29.0</v>
      </c>
      <c r="AX372" s="1" t="s">
        <v>74</v>
      </c>
      <c r="AY372" s="1" t="s">
        <v>74</v>
      </c>
      <c r="AZ372" s="1" t="s">
        <v>74</v>
      </c>
      <c r="BA372" s="1" t="s">
        <v>74</v>
      </c>
      <c r="BB372" s="1">
        <v>1.0</v>
      </c>
      <c r="BC372" s="1">
        <v>23.0</v>
      </c>
      <c r="BD372" s="1" t="s">
        <v>74</v>
      </c>
      <c r="BE372" s="1" t="s">
        <v>74</v>
      </c>
      <c r="BF372" s="1" t="s">
        <v>74</v>
      </c>
      <c r="BG372" s="1" t="s">
        <v>74</v>
      </c>
      <c r="BH372" s="1" t="s">
        <v>74</v>
      </c>
      <c r="BI372" s="1" t="s">
        <v>74</v>
      </c>
      <c r="BJ372" s="1" t="s">
        <v>74</v>
      </c>
      <c r="BK372" s="1" t="s">
        <v>74</v>
      </c>
      <c r="BL372" s="1" t="s">
        <v>74</v>
      </c>
      <c r="BM372" s="1" t="s">
        <v>74</v>
      </c>
      <c r="BN372" s="1" t="s">
        <v>74</v>
      </c>
      <c r="BO372" s="1" t="s">
        <v>74</v>
      </c>
      <c r="BP372" s="1" t="s">
        <v>74</v>
      </c>
      <c r="BQ372" s="1" t="s">
        <v>74</v>
      </c>
      <c r="BR372" s="1" t="s">
        <v>74</v>
      </c>
      <c r="BS372" s="1" t="s">
        <v>3934</v>
      </c>
      <c r="BT372" s="1" t="str">
        <f>HYPERLINK("https%3A%2F%2Fwww.webofscience.com%2Fwos%2Fwoscc%2Ffull-record%2FWOS:000265800500001","View Full Record in Web of Science")</f>
        <v>View Full Record in Web of Science</v>
      </c>
    </row>
    <row r="373" ht="12.75" customHeight="1">
      <c r="A373" s="1" t="s">
        <v>72</v>
      </c>
      <c r="B373" s="1" t="s">
        <v>3935</v>
      </c>
      <c r="C373" s="1" t="s">
        <v>74</v>
      </c>
      <c r="D373" s="1" t="s">
        <v>74</v>
      </c>
      <c r="E373" s="1" t="s">
        <v>74</v>
      </c>
      <c r="F373" s="1" t="s">
        <v>3936</v>
      </c>
      <c r="G373" s="1" t="s">
        <v>74</v>
      </c>
      <c r="H373" s="1" t="s">
        <v>74</v>
      </c>
      <c r="I373" s="1" t="s">
        <v>3937</v>
      </c>
      <c r="J373" s="1" t="s">
        <v>3938</v>
      </c>
      <c r="K373" s="1" t="s">
        <v>74</v>
      </c>
      <c r="L373" s="1" t="s">
        <v>74</v>
      </c>
      <c r="M373" s="1" t="s">
        <v>74</v>
      </c>
      <c r="N373" s="1" t="s">
        <v>74</v>
      </c>
      <c r="O373" s="1" t="s">
        <v>74</v>
      </c>
      <c r="P373" s="1" t="s">
        <v>74</v>
      </c>
      <c r="Q373" s="1" t="s">
        <v>74</v>
      </c>
      <c r="R373" s="1" t="s">
        <v>74</v>
      </c>
      <c r="S373" s="1" t="s">
        <v>74</v>
      </c>
      <c r="T373" s="1" t="s">
        <v>74</v>
      </c>
      <c r="U373" s="1" t="s">
        <v>74</v>
      </c>
      <c r="V373" s="1" t="s">
        <v>3939</v>
      </c>
      <c r="W373" s="1" t="s">
        <v>74</v>
      </c>
      <c r="X373" s="1" t="s">
        <v>74</v>
      </c>
      <c r="Y373" s="1" t="s">
        <v>74</v>
      </c>
      <c r="Z373" s="1" t="s">
        <v>74</v>
      </c>
      <c r="AA373" s="1" t="s">
        <v>3940</v>
      </c>
      <c r="AB373" s="1" t="s">
        <v>3941</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3942</v>
      </c>
      <c r="AP373" s="1" t="s">
        <v>74</v>
      </c>
      <c r="AQ373" s="1" t="s">
        <v>74</v>
      </c>
      <c r="AR373" s="1" t="s">
        <v>74</v>
      </c>
      <c r="AS373" s="1" t="s">
        <v>74</v>
      </c>
      <c r="AT373" s="1" t="s">
        <v>3943</v>
      </c>
      <c r="AU373" s="1">
        <v>2008.0</v>
      </c>
      <c r="AV373" s="1">
        <v>9.0</v>
      </c>
      <c r="AW373" s="1" t="s">
        <v>74</v>
      </c>
      <c r="AX373" s="1" t="s">
        <v>74</v>
      </c>
      <c r="AY373" s="1" t="s">
        <v>74</v>
      </c>
      <c r="AZ373" s="1" t="s">
        <v>74</v>
      </c>
      <c r="BA373" s="1" t="s">
        <v>74</v>
      </c>
      <c r="BB373" s="1" t="s">
        <v>74</v>
      </c>
      <c r="BC373" s="1" t="s">
        <v>74</v>
      </c>
      <c r="BD373" s="1">
        <v>424.0</v>
      </c>
      <c r="BE373" s="1" t="s">
        <v>3944</v>
      </c>
      <c r="BF373" s="2" t="str">
        <f>HYPERLINK("http://dx.doi.org/10.1186/1471-2105-9-424","http://dx.doi.org/10.1186/1471-2105-9-424")</f>
        <v>http://dx.doi.org/10.1186/1471-2105-9-424</v>
      </c>
      <c r="BG373" s="1" t="s">
        <v>74</v>
      </c>
      <c r="BH373" s="1" t="s">
        <v>74</v>
      </c>
      <c r="BI373" s="1" t="s">
        <v>74</v>
      </c>
      <c r="BJ373" s="1" t="s">
        <v>74</v>
      </c>
      <c r="BK373" s="1" t="s">
        <v>74</v>
      </c>
      <c r="BL373" s="1" t="s">
        <v>74</v>
      </c>
      <c r="BM373" s="1" t="s">
        <v>74</v>
      </c>
      <c r="BN373" s="1">
        <v>1.8842147E7</v>
      </c>
      <c r="BO373" s="1" t="s">
        <v>74</v>
      </c>
      <c r="BP373" s="1" t="s">
        <v>74</v>
      </c>
      <c r="BQ373" s="1" t="s">
        <v>74</v>
      </c>
      <c r="BR373" s="1" t="s">
        <v>74</v>
      </c>
      <c r="BS373" s="1" t="s">
        <v>3945</v>
      </c>
      <c r="BT373" s="1" t="str">
        <f>HYPERLINK("https%3A%2F%2Fwww.webofscience.com%2Fwos%2Fwoscc%2Ffull-record%2FWOS:000260890200002","View Full Record in Web of Science")</f>
        <v>View Full Record in Web of Science</v>
      </c>
    </row>
    <row r="374" ht="12.75" customHeight="1">
      <c r="A374" s="1" t="s">
        <v>72</v>
      </c>
      <c r="B374" s="1" t="s">
        <v>3071</v>
      </c>
      <c r="C374" s="1" t="s">
        <v>74</v>
      </c>
      <c r="D374" s="1" t="s">
        <v>74</v>
      </c>
      <c r="E374" s="1" t="s">
        <v>74</v>
      </c>
      <c r="F374" s="1" t="s">
        <v>3946</v>
      </c>
      <c r="G374" s="1" t="s">
        <v>74</v>
      </c>
      <c r="H374" s="1" t="s">
        <v>74</v>
      </c>
      <c r="I374" s="1" t="s">
        <v>3947</v>
      </c>
      <c r="J374" s="1" t="s">
        <v>3948</v>
      </c>
      <c r="K374" s="1" t="s">
        <v>74</v>
      </c>
      <c r="L374" s="1" t="s">
        <v>74</v>
      </c>
      <c r="M374" s="1" t="s">
        <v>74</v>
      </c>
      <c r="N374" s="1" t="s">
        <v>74</v>
      </c>
      <c r="O374" s="1" t="s">
        <v>74</v>
      </c>
      <c r="P374" s="1" t="s">
        <v>74</v>
      </c>
      <c r="Q374" s="1" t="s">
        <v>74</v>
      </c>
      <c r="R374" s="1" t="s">
        <v>74</v>
      </c>
      <c r="S374" s="1" t="s">
        <v>74</v>
      </c>
      <c r="T374" s="1" t="s">
        <v>74</v>
      </c>
      <c r="U374" s="1" t="s">
        <v>74</v>
      </c>
      <c r="V374" s="1" t="s">
        <v>3949</v>
      </c>
      <c r="W374" s="1" t="s">
        <v>74</v>
      </c>
      <c r="X374" s="1" t="s">
        <v>74</v>
      </c>
      <c r="Y374" s="1" t="s">
        <v>74</v>
      </c>
      <c r="Z374" s="1" t="s">
        <v>74</v>
      </c>
      <c r="AA374" s="1" t="s">
        <v>1467</v>
      </c>
      <c r="AB374" s="1" t="s">
        <v>3950</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3951</v>
      </c>
      <c r="AP374" s="1" t="s">
        <v>3952</v>
      </c>
      <c r="AQ374" s="1" t="s">
        <v>74</v>
      </c>
      <c r="AR374" s="1" t="s">
        <v>74</v>
      </c>
      <c r="AS374" s="1" t="s">
        <v>74</v>
      </c>
      <c r="AT374" s="1" t="s">
        <v>94</v>
      </c>
      <c r="AU374" s="1">
        <v>2008.0</v>
      </c>
      <c r="AV374" s="1">
        <v>102.0</v>
      </c>
      <c r="AW374" s="1">
        <v>3.0</v>
      </c>
      <c r="AX374" s="1" t="s">
        <v>74</v>
      </c>
      <c r="AY374" s="1" t="s">
        <v>74</v>
      </c>
      <c r="AZ374" s="1" t="s">
        <v>74</v>
      </c>
      <c r="BA374" s="1" t="s">
        <v>74</v>
      </c>
      <c r="BB374" s="1">
        <v>643.0</v>
      </c>
      <c r="BC374" s="1">
        <v>656.0</v>
      </c>
      <c r="BD374" s="1" t="s">
        <v>74</v>
      </c>
      <c r="BE374" s="1" t="s">
        <v>3953</v>
      </c>
      <c r="BF374" s="2" t="str">
        <f>HYPERLINK("http://dx.doi.org/10.2466/PR0.102.3.643-656","http://dx.doi.org/10.2466/PR0.102.3.643-656")</f>
        <v>http://dx.doi.org/10.2466/PR0.102.3.643-656</v>
      </c>
      <c r="BG374" s="1" t="s">
        <v>74</v>
      </c>
      <c r="BH374" s="1" t="s">
        <v>74</v>
      </c>
      <c r="BI374" s="1" t="s">
        <v>74</v>
      </c>
      <c r="BJ374" s="1" t="s">
        <v>74</v>
      </c>
      <c r="BK374" s="1" t="s">
        <v>74</v>
      </c>
      <c r="BL374" s="1" t="s">
        <v>74</v>
      </c>
      <c r="BM374" s="1" t="s">
        <v>74</v>
      </c>
      <c r="BN374" s="1">
        <v>1.8763432E7</v>
      </c>
      <c r="BO374" s="1" t="s">
        <v>74</v>
      </c>
      <c r="BP374" s="1" t="s">
        <v>74</v>
      </c>
      <c r="BQ374" s="1" t="s">
        <v>74</v>
      </c>
      <c r="BR374" s="1" t="s">
        <v>74</v>
      </c>
      <c r="BS374" s="1" t="s">
        <v>3954</v>
      </c>
      <c r="BT374" s="1" t="str">
        <f>HYPERLINK("https%3A%2F%2Fwww.webofscience.com%2Fwos%2Fwoscc%2Ffull-record%2FWOS:000258463000001","View Full Record in Web of Science")</f>
        <v>View Full Record in Web of Science</v>
      </c>
    </row>
    <row r="375" ht="12.75" customHeight="1">
      <c r="A375" s="1" t="s">
        <v>72</v>
      </c>
      <c r="B375" s="1" t="s">
        <v>3955</v>
      </c>
      <c r="C375" s="1" t="s">
        <v>74</v>
      </c>
      <c r="D375" s="1" t="s">
        <v>74</v>
      </c>
      <c r="E375" s="1" t="s">
        <v>74</v>
      </c>
      <c r="F375" s="1" t="s">
        <v>3955</v>
      </c>
      <c r="G375" s="1" t="s">
        <v>74</v>
      </c>
      <c r="H375" s="1" t="s">
        <v>74</v>
      </c>
      <c r="I375" s="1" t="s">
        <v>3956</v>
      </c>
      <c r="J375" s="1" t="s">
        <v>1577</v>
      </c>
      <c r="K375" s="1" t="s">
        <v>74</v>
      </c>
      <c r="L375" s="1" t="s">
        <v>74</v>
      </c>
      <c r="M375" s="1" t="s">
        <v>74</v>
      </c>
      <c r="N375" s="1" t="s">
        <v>74</v>
      </c>
      <c r="O375" s="1" t="s">
        <v>74</v>
      </c>
      <c r="P375" s="1" t="s">
        <v>74</v>
      </c>
      <c r="Q375" s="1" t="s">
        <v>74</v>
      </c>
      <c r="R375" s="1" t="s">
        <v>74</v>
      </c>
      <c r="S375" s="1" t="s">
        <v>74</v>
      </c>
      <c r="T375" s="1" t="s">
        <v>74</v>
      </c>
      <c r="U375" s="1" t="s">
        <v>74</v>
      </c>
      <c r="V375" s="1" t="s">
        <v>3957</v>
      </c>
      <c r="W375" s="1" t="s">
        <v>74</v>
      </c>
      <c r="X375" s="1" t="s">
        <v>74</v>
      </c>
      <c r="Y375" s="1" t="s">
        <v>74</v>
      </c>
      <c r="Z375" s="1" t="s">
        <v>74</v>
      </c>
      <c r="AA375" s="1" t="s">
        <v>74</v>
      </c>
      <c r="AB375" s="1" t="s">
        <v>74</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2765</v>
      </c>
      <c r="AP375" s="1" t="s">
        <v>74</v>
      </c>
      <c r="AQ375" s="1" t="s">
        <v>74</v>
      </c>
      <c r="AR375" s="1" t="s">
        <v>74</v>
      </c>
      <c r="AS375" s="1" t="s">
        <v>74</v>
      </c>
      <c r="AT375" s="1" t="s">
        <v>164</v>
      </c>
      <c r="AU375" s="1">
        <v>2005.0</v>
      </c>
      <c r="AV375" s="1">
        <v>50.0</v>
      </c>
      <c r="AW375" s="1">
        <v>4.0</v>
      </c>
      <c r="AX375" s="1" t="s">
        <v>74</v>
      </c>
      <c r="AY375" s="1" t="s">
        <v>74</v>
      </c>
      <c r="AZ375" s="1" t="s">
        <v>74</v>
      </c>
      <c r="BA375" s="1" t="s">
        <v>74</v>
      </c>
      <c r="BB375" s="1">
        <v>647.0</v>
      </c>
      <c r="BC375" s="1">
        <v>650.0</v>
      </c>
      <c r="BD375" s="1" t="s">
        <v>74</v>
      </c>
      <c r="BE375" s="1" t="s">
        <v>3958</v>
      </c>
      <c r="BF375" s="2" t="str">
        <f>HYPERLINK("http://dx.doi.org/10.4067/S0717-97072005000400003","http://dx.doi.org/10.4067/S0717-97072005000400003")</f>
        <v>http://dx.doi.org/10.4067/S0717-97072005000400003</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3959</v>
      </c>
      <c r="BT375" s="1" t="str">
        <f>HYPERLINK("https%3A%2F%2Fwww.webofscience.com%2Fwos%2Fwoscc%2Ffull-record%2FWOS:000234356200003","View Full Record in Web of Science")</f>
        <v>View Full Record in Web of Science</v>
      </c>
    </row>
    <row r="376" ht="12.75" customHeight="1">
      <c r="A376" s="1" t="s">
        <v>72</v>
      </c>
      <c r="B376" s="1" t="s">
        <v>3960</v>
      </c>
      <c r="C376" s="1" t="s">
        <v>74</v>
      </c>
      <c r="D376" s="1" t="s">
        <v>74</v>
      </c>
      <c r="E376" s="1" t="s">
        <v>74</v>
      </c>
      <c r="F376" s="1" t="s">
        <v>3960</v>
      </c>
      <c r="G376" s="1" t="s">
        <v>74</v>
      </c>
      <c r="H376" s="1" t="s">
        <v>74</v>
      </c>
      <c r="I376" s="1" t="s">
        <v>3961</v>
      </c>
      <c r="J376" s="1" t="s">
        <v>3962</v>
      </c>
      <c r="K376" s="1" t="s">
        <v>74</v>
      </c>
      <c r="L376" s="1" t="s">
        <v>74</v>
      </c>
      <c r="M376" s="1" t="s">
        <v>74</v>
      </c>
      <c r="N376" s="1" t="s">
        <v>74</v>
      </c>
      <c r="O376" s="1" t="s">
        <v>74</v>
      </c>
      <c r="P376" s="1" t="s">
        <v>74</v>
      </c>
      <c r="Q376" s="1" t="s">
        <v>74</v>
      </c>
      <c r="R376" s="1" t="s">
        <v>74</v>
      </c>
      <c r="S376" s="1" t="s">
        <v>74</v>
      </c>
      <c r="T376" s="1" t="s">
        <v>74</v>
      </c>
      <c r="U376" s="1" t="s">
        <v>74</v>
      </c>
      <c r="V376" s="1" t="s">
        <v>3963</v>
      </c>
      <c r="W376" s="1" t="s">
        <v>74</v>
      </c>
      <c r="X376" s="1" t="s">
        <v>74</v>
      </c>
      <c r="Y376" s="1" t="s">
        <v>74</v>
      </c>
      <c r="Z376" s="1" t="s">
        <v>74</v>
      </c>
      <c r="AA376" s="1" t="s">
        <v>74</v>
      </c>
      <c r="AB376" s="1" t="s">
        <v>74</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3964</v>
      </c>
      <c r="AP376" s="1" t="s">
        <v>3965</v>
      </c>
      <c r="AQ376" s="1" t="s">
        <v>74</v>
      </c>
      <c r="AR376" s="1" t="s">
        <v>74</v>
      </c>
      <c r="AS376" s="1" t="s">
        <v>74</v>
      </c>
      <c r="AT376" s="1" t="s">
        <v>82</v>
      </c>
      <c r="AU376" s="1">
        <v>2004.0</v>
      </c>
      <c r="AV376" s="1">
        <v>38.0</v>
      </c>
      <c r="AW376" s="1">
        <v>10.0</v>
      </c>
      <c r="AX376" s="1" t="s">
        <v>74</v>
      </c>
      <c r="AY376" s="1" t="s">
        <v>74</v>
      </c>
      <c r="AZ376" s="1" t="s">
        <v>74</v>
      </c>
      <c r="BA376" s="1" t="s">
        <v>74</v>
      </c>
      <c r="BB376" s="1">
        <v>1055.0</v>
      </c>
      <c r="BC376" s="1">
        <v>1059.0</v>
      </c>
      <c r="BD376" s="1" t="s">
        <v>74</v>
      </c>
      <c r="BE376" s="1" t="s">
        <v>3966</v>
      </c>
      <c r="BF376" s="2" t="str">
        <f>HYPERLINK("http://dx.doi.org/10.1080/10715760400000992","http://dx.doi.org/10.1080/10715760400000992")</f>
        <v>http://dx.doi.org/10.1080/10715760400000992</v>
      </c>
      <c r="BG376" s="1" t="s">
        <v>74</v>
      </c>
      <c r="BH376" s="1" t="s">
        <v>74</v>
      </c>
      <c r="BI376" s="1" t="s">
        <v>74</v>
      </c>
      <c r="BJ376" s="1" t="s">
        <v>74</v>
      </c>
      <c r="BK376" s="1" t="s">
        <v>74</v>
      </c>
      <c r="BL376" s="1" t="s">
        <v>74</v>
      </c>
      <c r="BM376" s="1" t="s">
        <v>74</v>
      </c>
      <c r="BN376" s="1">
        <v>1.5512793E7</v>
      </c>
      <c r="BO376" s="1" t="s">
        <v>74</v>
      </c>
      <c r="BP376" s="1" t="s">
        <v>74</v>
      </c>
      <c r="BQ376" s="1" t="s">
        <v>74</v>
      </c>
      <c r="BR376" s="1" t="s">
        <v>74</v>
      </c>
      <c r="BS376" s="1" t="s">
        <v>3967</v>
      </c>
      <c r="BT376" s="1" t="str">
        <f>HYPERLINK("https%3A%2F%2Fwww.webofscience.com%2Fwos%2Fwoscc%2Ffull-record%2FWOS:000224819900002","View Full Record in Web of Science")</f>
        <v>View Full Record in Web of Science</v>
      </c>
    </row>
    <row r="377" ht="12.75" customHeight="1">
      <c r="A377" s="1" t="s">
        <v>72</v>
      </c>
      <c r="B377" s="1" t="s">
        <v>3968</v>
      </c>
      <c r="C377" s="1" t="s">
        <v>74</v>
      </c>
      <c r="D377" s="1" t="s">
        <v>74</v>
      </c>
      <c r="E377" s="1" t="s">
        <v>74</v>
      </c>
      <c r="F377" s="1" t="s">
        <v>3968</v>
      </c>
      <c r="G377" s="1" t="s">
        <v>74</v>
      </c>
      <c r="H377" s="1" t="s">
        <v>74</v>
      </c>
      <c r="I377" s="1" t="s">
        <v>3969</v>
      </c>
      <c r="J377" s="1" t="s">
        <v>3970</v>
      </c>
      <c r="K377" s="1" t="s">
        <v>74</v>
      </c>
      <c r="L377" s="1" t="s">
        <v>74</v>
      </c>
      <c r="M377" s="1" t="s">
        <v>74</v>
      </c>
      <c r="N377" s="1" t="s">
        <v>74</v>
      </c>
      <c r="O377" s="1" t="s">
        <v>3971</v>
      </c>
      <c r="P377" s="1" t="s">
        <v>3972</v>
      </c>
      <c r="Q377" s="1" t="s">
        <v>3973</v>
      </c>
      <c r="R377" s="1" t="s">
        <v>3974</v>
      </c>
      <c r="S377" s="1" t="s">
        <v>74</v>
      </c>
      <c r="T377" s="1" t="s">
        <v>74</v>
      </c>
      <c r="U377" s="1" t="s">
        <v>74</v>
      </c>
      <c r="V377" s="1" t="s">
        <v>3975</v>
      </c>
      <c r="W377" s="1" t="s">
        <v>74</v>
      </c>
      <c r="X377" s="1" t="s">
        <v>74</v>
      </c>
      <c r="Y377" s="1" t="s">
        <v>74</v>
      </c>
      <c r="Z377" s="1" t="s">
        <v>74</v>
      </c>
      <c r="AA377" s="1" t="s">
        <v>3976</v>
      </c>
      <c r="AB377" s="1" t="s">
        <v>3977</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3978</v>
      </c>
      <c r="AP377" s="1" t="s">
        <v>3979</v>
      </c>
      <c r="AQ377" s="1" t="s">
        <v>74</v>
      </c>
      <c r="AR377" s="1" t="s">
        <v>74</v>
      </c>
      <c r="AS377" s="1" t="s">
        <v>74</v>
      </c>
      <c r="AT377" s="1" t="s">
        <v>408</v>
      </c>
      <c r="AU377" s="1">
        <v>2003.0</v>
      </c>
      <c r="AV377" s="1">
        <v>250.0</v>
      </c>
      <c r="AW377" s="1" t="s">
        <v>409</v>
      </c>
      <c r="AX377" s="1" t="s">
        <v>74</v>
      </c>
      <c r="AY377" s="1" t="s">
        <v>74</v>
      </c>
      <c r="AZ377" s="1" t="s">
        <v>74</v>
      </c>
      <c r="BA377" s="1" t="s">
        <v>74</v>
      </c>
      <c r="BB377" s="1">
        <v>67.0</v>
      </c>
      <c r="BC377" s="1">
        <v>71.0</v>
      </c>
      <c r="BD377" s="1" t="s">
        <v>74</v>
      </c>
      <c r="BE377" s="1" t="s">
        <v>3980</v>
      </c>
      <c r="BF377" s="2" t="str">
        <f>HYPERLINK("http://dx.doi.org/10.1016/S0022-0248(02)02228-5","http://dx.doi.org/10.1016/S0022-0248(02)02228-5")</f>
        <v>http://dx.doi.org/10.1016/S0022-0248(02)02228-5</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3981</v>
      </c>
      <c r="BT377" s="1" t="str">
        <f>HYPERLINK("https%3A%2F%2Fwww.webofscience.com%2Fwos%2Fwoscc%2Ffull-record%2FWOS:000181373100013","View Full Record in Web of Science")</f>
        <v>View Full Record in Web of Science</v>
      </c>
    </row>
    <row r="378" ht="12.75" customHeight="1">
      <c r="A378" s="1" t="s">
        <v>72</v>
      </c>
      <c r="B378" s="1" t="s">
        <v>3982</v>
      </c>
      <c r="C378" s="1" t="s">
        <v>74</v>
      </c>
      <c r="D378" s="1" t="s">
        <v>74</v>
      </c>
      <c r="E378" s="1" t="s">
        <v>74</v>
      </c>
      <c r="F378" s="1" t="s">
        <v>3982</v>
      </c>
      <c r="G378" s="1" t="s">
        <v>74</v>
      </c>
      <c r="H378" s="1" t="s">
        <v>74</v>
      </c>
      <c r="I378" s="1" t="s">
        <v>3983</v>
      </c>
      <c r="J378" s="1" t="s">
        <v>3984</v>
      </c>
      <c r="K378" s="1" t="s">
        <v>74</v>
      </c>
      <c r="L378" s="1" t="s">
        <v>74</v>
      </c>
      <c r="M378" s="1" t="s">
        <v>74</v>
      </c>
      <c r="N378" s="1" t="s">
        <v>74</v>
      </c>
      <c r="O378" s="1" t="s">
        <v>74</v>
      </c>
      <c r="P378" s="1" t="s">
        <v>74</v>
      </c>
      <c r="Q378" s="1" t="s">
        <v>74</v>
      </c>
      <c r="R378" s="1" t="s">
        <v>74</v>
      </c>
      <c r="S378" s="1" t="s">
        <v>74</v>
      </c>
      <c r="T378" s="1" t="s">
        <v>74</v>
      </c>
      <c r="U378" s="1" t="s">
        <v>74</v>
      </c>
      <c r="V378" s="1" t="s">
        <v>3985</v>
      </c>
      <c r="W378" s="1" t="s">
        <v>74</v>
      </c>
      <c r="X378" s="1" t="s">
        <v>74</v>
      </c>
      <c r="Y378" s="1" t="s">
        <v>74</v>
      </c>
      <c r="Z378" s="1" t="s">
        <v>74</v>
      </c>
      <c r="AA378" s="1" t="s">
        <v>74</v>
      </c>
      <c r="AB378" s="1" t="s">
        <v>74</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3986</v>
      </c>
      <c r="AP378" s="1" t="s">
        <v>74</v>
      </c>
      <c r="AQ378" s="1" t="s">
        <v>74</v>
      </c>
      <c r="AR378" s="1" t="s">
        <v>74</v>
      </c>
      <c r="AS378" s="1" t="s">
        <v>74</v>
      </c>
      <c r="AT378" s="1" t="s">
        <v>3987</v>
      </c>
      <c r="AU378" s="1">
        <v>2002.0</v>
      </c>
      <c r="AV378" s="1">
        <v>50.0</v>
      </c>
      <c r="AW378" s="1" t="s">
        <v>3388</v>
      </c>
      <c r="AX378" s="1" t="s">
        <v>74</v>
      </c>
      <c r="AY378" s="1" t="s">
        <v>74</v>
      </c>
      <c r="AZ378" s="1" t="s">
        <v>74</v>
      </c>
      <c r="BA378" s="1" t="s">
        <v>74</v>
      </c>
      <c r="BB378" s="1">
        <v>261.0</v>
      </c>
      <c r="BC378" s="1">
        <v>268.0</v>
      </c>
      <c r="BD378" s="1" t="s">
        <v>74</v>
      </c>
      <c r="BE378" s="1" t="s">
        <v>3988</v>
      </c>
      <c r="BF378" s="2" t="str">
        <f>HYPERLINK("http://dx.doi.org/10.1016/S0165-022X(01)00237-8","http://dx.doi.org/10.1016/S0165-022X(01)00237-8")</f>
        <v>http://dx.doi.org/10.1016/S0165-022X(01)00237-8</v>
      </c>
      <c r="BG378" s="1" t="s">
        <v>74</v>
      </c>
      <c r="BH378" s="1" t="s">
        <v>74</v>
      </c>
      <c r="BI378" s="1" t="s">
        <v>74</v>
      </c>
      <c r="BJ378" s="1" t="s">
        <v>74</v>
      </c>
      <c r="BK378" s="1" t="s">
        <v>74</v>
      </c>
      <c r="BL378" s="1" t="s">
        <v>74</v>
      </c>
      <c r="BM378" s="1" t="s">
        <v>74</v>
      </c>
      <c r="BN378" s="1">
        <v>1.1741713E7</v>
      </c>
      <c r="BO378" s="1" t="s">
        <v>74</v>
      </c>
      <c r="BP378" s="1" t="s">
        <v>74</v>
      </c>
      <c r="BQ378" s="1" t="s">
        <v>74</v>
      </c>
      <c r="BR378" s="1" t="s">
        <v>74</v>
      </c>
      <c r="BS378" s="1" t="s">
        <v>3989</v>
      </c>
      <c r="BT378" s="1" t="str">
        <f>HYPERLINK("https%3A%2F%2Fwww.webofscience.com%2Fwos%2Fwoscc%2Ffull-record%2FWOS:000173190500015","View Full Record in Web of Science")</f>
        <v>View Full Record in Web of Science</v>
      </c>
    </row>
    <row r="379" ht="12.75" customHeight="1">
      <c r="A379" s="1" t="s">
        <v>72</v>
      </c>
      <c r="B379" s="1" t="s">
        <v>3990</v>
      </c>
      <c r="C379" s="1" t="s">
        <v>74</v>
      </c>
      <c r="D379" s="1" t="s">
        <v>74</v>
      </c>
      <c r="E379" s="1" t="s">
        <v>74</v>
      </c>
      <c r="F379" s="1" t="s">
        <v>3990</v>
      </c>
      <c r="G379" s="1" t="s">
        <v>74</v>
      </c>
      <c r="H379" s="1" t="s">
        <v>74</v>
      </c>
      <c r="I379" s="1" t="s">
        <v>3991</v>
      </c>
      <c r="J379" s="1" t="s">
        <v>1065</v>
      </c>
      <c r="K379" s="1" t="s">
        <v>74</v>
      </c>
      <c r="L379" s="1" t="s">
        <v>74</v>
      </c>
      <c r="M379" s="1" t="s">
        <v>74</v>
      </c>
      <c r="N379" s="1" t="s">
        <v>74</v>
      </c>
      <c r="O379" s="1" t="s">
        <v>74</v>
      </c>
      <c r="P379" s="1" t="s">
        <v>74</v>
      </c>
      <c r="Q379" s="1" t="s">
        <v>74</v>
      </c>
      <c r="R379" s="1" t="s">
        <v>74</v>
      </c>
      <c r="S379" s="1" t="s">
        <v>74</v>
      </c>
      <c r="T379" s="1" t="s">
        <v>74</v>
      </c>
      <c r="U379" s="1" t="s">
        <v>74</v>
      </c>
      <c r="V379" s="1" t="s">
        <v>3992</v>
      </c>
      <c r="W379" s="1" t="s">
        <v>74</v>
      </c>
      <c r="X379" s="1" t="s">
        <v>74</v>
      </c>
      <c r="Y379" s="1" t="s">
        <v>74</v>
      </c>
      <c r="Z379" s="1" t="s">
        <v>74</v>
      </c>
      <c r="AA379" s="1" t="s">
        <v>3993</v>
      </c>
      <c r="AB379" s="1" t="s">
        <v>3994</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1068</v>
      </c>
      <c r="AP379" s="1" t="s">
        <v>2288</v>
      </c>
      <c r="AQ379" s="1" t="s">
        <v>74</v>
      </c>
      <c r="AR379" s="1" t="s">
        <v>74</v>
      </c>
      <c r="AS379" s="1" t="s">
        <v>74</v>
      </c>
      <c r="AT379" s="1" t="s">
        <v>3995</v>
      </c>
      <c r="AU379" s="1">
        <v>2001.0</v>
      </c>
      <c r="AV379" s="1">
        <v>46.0</v>
      </c>
      <c r="AW379" s="1">
        <v>22.0</v>
      </c>
      <c r="AX379" s="1" t="s">
        <v>74</v>
      </c>
      <c r="AY379" s="1" t="s">
        <v>74</v>
      </c>
      <c r="AZ379" s="1" t="s">
        <v>74</v>
      </c>
      <c r="BA379" s="1" t="s">
        <v>74</v>
      </c>
      <c r="BB379" s="1">
        <v>3397.0</v>
      </c>
      <c r="BC379" s="1">
        <v>3404.0</v>
      </c>
      <c r="BD379" s="1" t="s">
        <v>74</v>
      </c>
      <c r="BE379" s="1" t="s">
        <v>3996</v>
      </c>
      <c r="BF379" s="2" t="str">
        <f>HYPERLINK("http://dx.doi.org/10.1016/S0013-4686(01)00537-0","http://dx.doi.org/10.1016/S0013-4686(01)00537-0")</f>
        <v>http://dx.doi.org/10.1016/S0013-4686(01)00537-0</v>
      </c>
      <c r="BG379" s="1" t="s">
        <v>74</v>
      </c>
      <c r="BH379" s="1" t="s">
        <v>74</v>
      </c>
      <c r="BI379" s="1" t="s">
        <v>74</v>
      </c>
      <c r="BJ379" s="1" t="s">
        <v>74</v>
      </c>
      <c r="BK379" s="1" t="s">
        <v>74</v>
      </c>
      <c r="BL379" s="1" t="s">
        <v>74</v>
      </c>
      <c r="BM379" s="1" t="s">
        <v>74</v>
      </c>
      <c r="BN379" s="1" t="s">
        <v>74</v>
      </c>
      <c r="BO379" s="1" t="s">
        <v>74</v>
      </c>
      <c r="BP379" s="1" t="s">
        <v>74</v>
      </c>
      <c r="BQ379" s="1" t="s">
        <v>74</v>
      </c>
      <c r="BR379" s="1" t="s">
        <v>74</v>
      </c>
      <c r="BS379" s="1" t="s">
        <v>3997</v>
      </c>
      <c r="BT379" s="1" t="str">
        <f>HYPERLINK("https%3A%2F%2Fwww.webofscience.com%2Fwos%2Fwoscc%2Ffull-record%2FWOS:000170850900008","View Full Record in Web of Science")</f>
        <v>View Full Record in Web of Science</v>
      </c>
    </row>
    <row r="380" ht="12.75" customHeight="1">
      <c r="A380" s="1" t="s">
        <v>72</v>
      </c>
      <c r="B380" s="1" t="s">
        <v>3998</v>
      </c>
      <c r="C380" s="1" t="s">
        <v>74</v>
      </c>
      <c r="D380" s="1" t="s">
        <v>74</v>
      </c>
      <c r="E380" s="1" t="s">
        <v>74</v>
      </c>
      <c r="F380" s="1" t="s">
        <v>3998</v>
      </c>
      <c r="G380" s="1" t="s">
        <v>74</v>
      </c>
      <c r="H380" s="1" t="s">
        <v>74</v>
      </c>
      <c r="I380" s="1" t="s">
        <v>3999</v>
      </c>
      <c r="J380" s="1" t="s">
        <v>4000</v>
      </c>
      <c r="K380" s="1" t="s">
        <v>74</v>
      </c>
      <c r="L380" s="1" t="s">
        <v>74</v>
      </c>
      <c r="M380" s="1" t="s">
        <v>74</v>
      </c>
      <c r="N380" s="1" t="s">
        <v>74</v>
      </c>
      <c r="O380" s="1" t="s">
        <v>74</v>
      </c>
      <c r="P380" s="1" t="s">
        <v>74</v>
      </c>
      <c r="Q380" s="1" t="s">
        <v>74</v>
      </c>
      <c r="R380" s="1" t="s">
        <v>74</v>
      </c>
      <c r="S380" s="1" t="s">
        <v>74</v>
      </c>
      <c r="T380" s="1" t="s">
        <v>74</v>
      </c>
      <c r="U380" s="1" t="s">
        <v>74</v>
      </c>
      <c r="V380" s="1" t="s">
        <v>4001</v>
      </c>
      <c r="W380" s="1" t="s">
        <v>74</v>
      </c>
      <c r="X380" s="1" t="s">
        <v>74</v>
      </c>
      <c r="Y380" s="1" t="s">
        <v>74</v>
      </c>
      <c r="Z380" s="1" t="s">
        <v>74</v>
      </c>
      <c r="AA380" s="1" t="s">
        <v>2861</v>
      </c>
      <c r="AB380" s="1" t="s">
        <v>2862</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4002</v>
      </c>
      <c r="AP380" s="1" t="s">
        <v>4003</v>
      </c>
      <c r="AQ380" s="1" t="s">
        <v>74</v>
      </c>
      <c r="AR380" s="1" t="s">
        <v>74</v>
      </c>
      <c r="AS380" s="1" t="s">
        <v>74</v>
      </c>
      <c r="AT380" s="1" t="s">
        <v>2144</v>
      </c>
      <c r="AU380" s="1">
        <v>2001.0</v>
      </c>
      <c r="AV380" s="1">
        <v>115.0</v>
      </c>
      <c r="AW380" s="1">
        <v>2.0</v>
      </c>
      <c r="AX380" s="1" t="s">
        <v>74</v>
      </c>
      <c r="AY380" s="1" t="s">
        <v>74</v>
      </c>
      <c r="AZ380" s="1" t="s">
        <v>74</v>
      </c>
      <c r="BA380" s="1" t="s">
        <v>74</v>
      </c>
      <c r="BB380" s="1">
        <v>193.0</v>
      </c>
      <c r="BC380" s="1">
        <v>206.0</v>
      </c>
      <c r="BD380" s="1" t="s">
        <v>74</v>
      </c>
      <c r="BE380" s="1" t="s">
        <v>4004</v>
      </c>
      <c r="BF380" s="2" t="str">
        <f>HYPERLINK("http://dx.doi.org/10.1016/S0032-5910(00)00340-5","http://dx.doi.org/10.1016/S0032-5910(00)00340-5")</f>
        <v>http://dx.doi.org/10.1016/S0032-5910(00)00340-5</v>
      </c>
      <c r="BG380" s="1" t="s">
        <v>74</v>
      </c>
      <c r="BH380" s="1" t="s">
        <v>74</v>
      </c>
      <c r="BI380" s="1" t="s">
        <v>74</v>
      </c>
      <c r="BJ380" s="1" t="s">
        <v>74</v>
      </c>
      <c r="BK380" s="1" t="s">
        <v>74</v>
      </c>
      <c r="BL380" s="1" t="s">
        <v>74</v>
      </c>
      <c r="BM380" s="1" t="s">
        <v>74</v>
      </c>
      <c r="BN380" s="1" t="s">
        <v>74</v>
      </c>
      <c r="BO380" s="1" t="s">
        <v>74</v>
      </c>
      <c r="BP380" s="1" t="s">
        <v>74</v>
      </c>
      <c r="BQ380" s="1" t="s">
        <v>74</v>
      </c>
      <c r="BR380" s="1" t="s">
        <v>74</v>
      </c>
      <c r="BS380" s="1" t="s">
        <v>4005</v>
      </c>
      <c r="BT380" s="1" t="str">
        <f>HYPERLINK("https%3A%2F%2Fwww.webofscience.com%2Fwos%2Fwoscc%2Ffull-record%2FWOS:000168096900010","View Full Record in Web of Science")</f>
        <v>View Full Record in Web of Science</v>
      </c>
    </row>
    <row r="381" ht="12.75" customHeight="1">
      <c r="A381" s="1" t="s">
        <v>72</v>
      </c>
      <c r="B381" s="1" t="s">
        <v>4006</v>
      </c>
      <c r="C381" s="1" t="s">
        <v>74</v>
      </c>
      <c r="D381" s="1" t="s">
        <v>74</v>
      </c>
      <c r="E381" s="1" t="s">
        <v>74</v>
      </c>
      <c r="F381" s="1" t="s">
        <v>4006</v>
      </c>
      <c r="G381" s="1" t="s">
        <v>74</v>
      </c>
      <c r="H381" s="1" t="s">
        <v>74</v>
      </c>
      <c r="I381" s="1" t="s">
        <v>4007</v>
      </c>
      <c r="J381" s="1" t="s">
        <v>4008</v>
      </c>
      <c r="K381" s="1" t="s">
        <v>74</v>
      </c>
      <c r="L381" s="1" t="s">
        <v>74</v>
      </c>
      <c r="M381" s="1" t="s">
        <v>74</v>
      </c>
      <c r="N381" s="1" t="s">
        <v>74</v>
      </c>
      <c r="O381" s="1" t="s">
        <v>74</v>
      </c>
      <c r="P381" s="1" t="s">
        <v>74</v>
      </c>
      <c r="Q381" s="1" t="s">
        <v>74</v>
      </c>
      <c r="R381" s="1" t="s">
        <v>74</v>
      </c>
      <c r="S381" s="1" t="s">
        <v>74</v>
      </c>
      <c r="T381" s="1" t="s">
        <v>74</v>
      </c>
      <c r="U381" s="1" t="s">
        <v>74</v>
      </c>
      <c r="V381" s="1" t="s">
        <v>4009</v>
      </c>
      <c r="W381" s="1" t="s">
        <v>74</v>
      </c>
      <c r="X381" s="1" t="s">
        <v>74</v>
      </c>
      <c r="Y381" s="1" t="s">
        <v>74</v>
      </c>
      <c r="Z381" s="1" t="s">
        <v>74</v>
      </c>
      <c r="AA381" s="1" t="s">
        <v>2186</v>
      </c>
      <c r="AB381" s="1" t="s">
        <v>4010</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4011</v>
      </c>
      <c r="AP381" s="1" t="s">
        <v>4012</v>
      </c>
      <c r="AQ381" s="1" t="s">
        <v>74</v>
      </c>
      <c r="AR381" s="1" t="s">
        <v>74</v>
      </c>
      <c r="AS381" s="1" t="s">
        <v>74</v>
      </c>
      <c r="AT381" s="1" t="s">
        <v>408</v>
      </c>
      <c r="AU381" s="1">
        <v>2000.0</v>
      </c>
      <c r="AV381" s="1">
        <v>48.0</v>
      </c>
      <c r="AW381" s="1">
        <v>3.0</v>
      </c>
      <c r="AX381" s="1" t="s">
        <v>74</v>
      </c>
      <c r="AY381" s="1" t="s">
        <v>74</v>
      </c>
      <c r="AZ381" s="1" t="s">
        <v>74</v>
      </c>
      <c r="BA381" s="1" t="s">
        <v>74</v>
      </c>
      <c r="BB381" s="1">
        <v>565.0</v>
      </c>
      <c r="BC381" s="1">
        <v>579.0</v>
      </c>
      <c r="BD381" s="1" t="s">
        <v>74</v>
      </c>
      <c r="BE381" s="1" t="s">
        <v>4013</v>
      </c>
      <c r="BF381" s="2" t="str">
        <f>HYPERLINK("http://dx.doi.org/10.1016/S0022-5096(99)00047-2","http://dx.doi.org/10.1016/S0022-5096(99)00047-2")</f>
        <v>http://dx.doi.org/10.1016/S0022-5096(99)00047-2</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4014</v>
      </c>
      <c r="BT381" s="1" t="str">
        <f>HYPERLINK("https%3A%2F%2Fwww.webofscience.com%2Fwos%2Fwoscc%2Ffull-record%2FWOS:000085210400006","View Full Record in Web of Science")</f>
        <v>View Full Record in Web of Science</v>
      </c>
    </row>
    <row r="382" ht="12.75" customHeight="1">
      <c r="A382" s="1" t="s">
        <v>72</v>
      </c>
      <c r="B382" s="1" t="s">
        <v>4015</v>
      </c>
      <c r="C382" s="1" t="s">
        <v>74</v>
      </c>
      <c r="D382" s="1" t="s">
        <v>74</v>
      </c>
      <c r="E382" s="1" t="s">
        <v>74</v>
      </c>
      <c r="F382" s="1" t="s">
        <v>4015</v>
      </c>
      <c r="G382" s="1" t="s">
        <v>74</v>
      </c>
      <c r="H382" s="1" t="s">
        <v>74</v>
      </c>
      <c r="I382" s="1" t="s">
        <v>4016</v>
      </c>
      <c r="J382" s="1" t="s">
        <v>4017</v>
      </c>
      <c r="K382" s="1" t="s">
        <v>74</v>
      </c>
      <c r="L382" s="1" t="s">
        <v>74</v>
      </c>
      <c r="M382" s="1" t="s">
        <v>74</v>
      </c>
      <c r="N382" s="1" t="s">
        <v>74</v>
      </c>
      <c r="O382" s="1" t="s">
        <v>74</v>
      </c>
      <c r="P382" s="1" t="s">
        <v>74</v>
      </c>
      <c r="Q382" s="1" t="s">
        <v>74</v>
      </c>
      <c r="R382" s="1" t="s">
        <v>74</v>
      </c>
      <c r="S382" s="1" t="s">
        <v>74</v>
      </c>
      <c r="T382" s="1" t="s">
        <v>74</v>
      </c>
      <c r="U382" s="1" t="s">
        <v>74</v>
      </c>
      <c r="V382" s="1" t="s">
        <v>74</v>
      </c>
      <c r="W382" s="1" t="s">
        <v>74</v>
      </c>
      <c r="X382" s="1" t="s">
        <v>74</v>
      </c>
      <c r="Y382" s="1" t="s">
        <v>74</v>
      </c>
      <c r="Z382" s="1" t="s">
        <v>74</v>
      </c>
      <c r="AA382" s="1" t="s">
        <v>4018</v>
      </c>
      <c r="AB382" s="1" t="s">
        <v>4019</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4020</v>
      </c>
      <c r="AP382" s="1" t="s">
        <v>74</v>
      </c>
      <c r="AQ382" s="1" t="s">
        <v>74</v>
      </c>
      <c r="AR382" s="1" t="s">
        <v>74</v>
      </c>
      <c r="AS382" s="1" t="s">
        <v>74</v>
      </c>
      <c r="AT382" s="1" t="s">
        <v>4021</v>
      </c>
      <c r="AU382" s="1">
        <v>1987.0</v>
      </c>
      <c r="AV382" s="1">
        <v>124.0</v>
      </c>
      <c r="AW382" s="1" t="s">
        <v>2320</v>
      </c>
      <c r="AX382" s="1" t="s">
        <v>74</v>
      </c>
      <c r="AY382" s="1" t="s">
        <v>74</v>
      </c>
      <c r="AZ382" s="1" t="s">
        <v>74</v>
      </c>
      <c r="BA382" s="1" t="s">
        <v>74</v>
      </c>
      <c r="BB382" s="1">
        <v>267.0</v>
      </c>
      <c r="BC382" s="1">
        <v>270.0</v>
      </c>
      <c r="BD382" s="1" t="s">
        <v>74</v>
      </c>
      <c r="BE382" s="1" t="s">
        <v>4022</v>
      </c>
      <c r="BF382" s="2" t="str">
        <f>HYPERLINK("http://dx.doi.org/10.1016/0375-9601(87)90635-9","http://dx.doi.org/10.1016/0375-9601(87)90635-9")</f>
        <v>http://dx.doi.org/10.1016/0375-9601(87)90635-9</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4023</v>
      </c>
      <c r="BT382" s="1" t="str">
        <f>HYPERLINK("https%3A%2F%2Fwww.webofscience.com%2Fwos%2Fwoscc%2Ffull-record%2FWOS:A1987K323100017","View Full Record in Web of Science")</f>
        <v>View Full Record in Web of Science</v>
      </c>
    </row>
    <row r="383" ht="12.75" customHeight="1">
      <c r="A383" s="1" t="s">
        <v>72</v>
      </c>
      <c r="B383" s="1" t="s">
        <v>4024</v>
      </c>
      <c r="C383" s="1" t="s">
        <v>74</v>
      </c>
      <c r="D383" s="1" t="s">
        <v>74</v>
      </c>
      <c r="E383" s="1" t="s">
        <v>74</v>
      </c>
      <c r="F383" s="1" t="s">
        <v>4025</v>
      </c>
      <c r="G383" s="1" t="s">
        <v>74</v>
      </c>
      <c r="H383" s="1" t="s">
        <v>74</v>
      </c>
      <c r="I383" s="1" t="s">
        <v>4026</v>
      </c>
      <c r="J383" s="1" t="s">
        <v>2402</v>
      </c>
      <c r="K383" s="1" t="s">
        <v>74</v>
      </c>
      <c r="L383" s="1" t="s">
        <v>74</v>
      </c>
      <c r="M383" s="1" t="s">
        <v>74</v>
      </c>
      <c r="N383" s="1" t="s">
        <v>74</v>
      </c>
      <c r="O383" s="1" t="s">
        <v>74</v>
      </c>
      <c r="P383" s="1" t="s">
        <v>74</v>
      </c>
      <c r="Q383" s="1" t="s">
        <v>74</v>
      </c>
      <c r="R383" s="1" t="s">
        <v>74</v>
      </c>
      <c r="S383" s="1" t="s">
        <v>74</v>
      </c>
      <c r="T383" s="1" t="s">
        <v>74</v>
      </c>
      <c r="U383" s="1" t="s">
        <v>74</v>
      </c>
      <c r="V383" s="1" t="s">
        <v>4027</v>
      </c>
      <c r="W383" s="1" t="s">
        <v>74</v>
      </c>
      <c r="X383" s="1" t="s">
        <v>74</v>
      </c>
      <c r="Y383" s="1" t="s">
        <v>74</v>
      </c>
      <c r="Z383" s="1" t="s">
        <v>74</v>
      </c>
      <c r="AA383" s="1" t="s">
        <v>4028</v>
      </c>
      <c r="AB383" s="1" t="s">
        <v>4029</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2406</v>
      </c>
      <c r="AP383" s="1" t="s">
        <v>2407</v>
      </c>
      <c r="AQ383" s="1" t="s">
        <v>74</v>
      </c>
      <c r="AR383" s="1" t="s">
        <v>74</v>
      </c>
      <c r="AS383" s="1" t="s">
        <v>74</v>
      </c>
      <c r="AT383" s="1" t="s">
        <v>408</v>
      </c>
      <c r="AU383" s="1">
        <v>2025.0</v>
      </c>
      <c r="AV383" s="1">
        <v>26.0</v>
      </c>
      <c r="AW383" s="1">
        <v>5.0</v>
      </c>
      <c r="AX383" s="1" t="s">
        <v>74</v>
      </c>
      <c r="AY383" s="1" t="s">
        <v>74</v>
      </c>
      <c r="AZ383" s="1" t="s">
        <v>74</v>
      </c>
      <c r="BA383" s="1" t="s">
        <v>74</v>
      </c>
      <c r="BB383" s="1" t="s">
        <v>74</v>
      </c>
      <c r="BC383" s="1" t="s">
        <v>74</v>
      </c>
      <c r="BD383" s="1">
        <v>2366.0</v>
      </c>
      <c r="BE383" s="1" t="s">
        <v>4030</v>
      </c>
      <c r="BF383" s="2" t="str">
        <f>HYPERLINK("http://dx.doi.org/10.3390/ijms26052366","http://dx.doi.org/10.3390/ijms26052366")</f>
        <v>http://dx.doi.org/10.3390/ijms26052366</v>
      </c>
      <c r="BG383" s="1" t="s">
        <v>74</v>
      </c>
      <c r="BH383" s="1" t="s">
        <v>74</v>
      </c>
      <c r="BI383" s="1" t="s">
        <v>74</v>
      </c>
      <c r="BJ383" s="1" t="s">
        <v>74</v>
      </c>
      <c r="BK383" s="1" t="s">
        <v>74</v>
      </c>
      <c r="BL383" s="1" t="s">
        <v>74</v>
      </c>
      <c r="BM383" s="1" t="s">
        <v>74</v>
      </c>
      <c r="BN383" s="1">
        <v>4.0076987E7</v>
      </c>
      <c r="BO383" s="1" t="s">
        <v>74</v>
      </c>
      <c r="BP383" s="1" t="s">
        <v>74</v>
      </c>
      <c r="BQ383" s="1" t="s">
        <v>74</v>
      </c>
      <c r="BR383" s="1" t="s">
        <v>74</v>
      </c>
      <c r="BS383" s="1" t="s">
        <v>4031</v>
      </c>
      <c r="BT383" s="1" t="str">
        <f>HYPERLINK("https%3A%2F%2Fwww.webofscience.com%2Fwos%2Fwoscc%2Ffull-record%2FWOS:001442608300001","View Full Record in Web of Science")</f>
        <v>View Full Record in Web of Science</v>
      </c>
    </row>
    <row r="384" ht="12.75" customHeight="1">
      <c r="A384" s="1" t="s">
        <v>72</v>
      </c>
      <c r="B384" s="1" t="s">
        <v>4032</v>
      </c>
      <c r="C384" s="1" t="s">
        <v>74</v>
      </c>
      <c r="D384" s="1" t="s">
        <v>74</v>
      </c>
      <c r="E384" s="1" t="s">
        <v>74</v>
      </c>
      <c r="F384" s="1" t="s">
        <v>4033</v>
      </c>
      <c r="G384" s="1" t="s">
        <v>74</v>
      </c>
      <c r="H384" s="1" t="s">
        <v>74</v>
      </c>
      <c r="I384" s="1" t="s">
        <v>4034</v>
      </c>
      <c r="J384" s="1" t="s">
        <v>4035</v>
      </c>
      <c r="K384" s="1" t="s">
        <v>74</v>
      </c>
      <c r="L384" s="1" t="s">
        <v>74</v>
      </c>
      <c r="M384" s="1" t="s">
        <v>74</v>
      </c>
      <c r="N384" s="1" t="s">
        <v>74</v>
      </c>
      <c r="O384" s="1" t="s">
        <v>74</v>
      </c>
      <c r="P384" s="1" t="s">
        <v>74</v>
      </c>
      <c r="Q384" s="1" t="s">
        <v>74</v>
      </c>
      <c r="R384" s="1" t="s">
        <v>74</v>
      </c>
      <c r="S384" s="1" t="s">
        <v>74</v>
      </c>
      <c r="T384" s="1" t="s">
        <v>74</v>
      </c>
      <c r="U384" s="1" t="s">
        <v>74</v>
      </c>
      <c r="V384" s="1" t="s">
        <v>4036</v>
      </c>
      <c r="W384" s="1" t="s">
        <v>74</v>
      </c>
      <c r="X384" s="1" t="s">
        <v>74</v>
      </c>
      <c r="Y384" s="1" t="s">
        <v>74</v>
      </c>
      <c r="Z384" s="1" t="s">
        <v>74</v>
      </c>
      <c r="AA384" s="1" t="s">
        <v>4037</v>
      </c>
      <c r="AB384" s="1" t="s">
        <v>4038</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74</v>
      </c>
      <c r="AP384" s="1" t="s">
        <v>4039</v>
      </c>
      <c r="AQ384" s="1" t="s">
        <v>74</v>
      </c>
      <c r="AR384" s="1" t="s">
        <v>74</v>
      </c>
      <c r="AS384" s="1" t="s">
        <v>74</v>
      </c>
      <c r="AT384" s="1" t="s">
        <v>294</v>
      </c>
      <c r="AU384" s="1">
        <v>2025.0</v>
      </c>
      <c r="AV384" s="1">
        <v>9.0</v>
      </c>
      <c r="AW384" s="1">
        <v>1.0</v>
      </c>
      <c r="AX384" s="1" t="s">
        <v>74</v>
      </c>
      <c r="AY384" s="1" t="s">
        <v>74</v>
      </c>
      <c r="AZ384" s="1" t="s">
        <v>74</v>
      </c>
      <c r="BA384" s="1" t="s">
        <v>74</v>
      </c>
      <c r="BB384" s="1" t="s">
        <v>74</v>
      </c>
      <c r="BC384" s="1" t="s">
        <v>74</v>
      </c>
      <c r="BD384" s="1">
        <v>10.0</v>
      </c>
      <c r="BE384" s="1" t="s">
        <v>4040</v>
      </c>
      <c r="BF384" s="2" t="str">
        <f>HYPERLINK("http://dx.doi.org/10.3390/colloids9010010","http://dx.doi.org/10.3390/colloids9010010")</f>
        <v>http://dx.doi.org/10.3390/colloids9010010</v>
      </c>
      <c r="BG384" s="1" t="s">
        <v>74</v>
      </c>
      <c r="BH384" s="1" t="s">
        <v>74</v>
      </c>
      <c r="BI384" s="1" t="s">
        <v>74</v>
      </c>
      <c r="BJ384" s="1" t="s">
        <v>74</v>
      </c>
      <c r="BK384" s="1" t="s">
        <v>74</v>
      </c>
      <c r="BL384" s="1" t="s">
        <v>74</v>
      </c>
      <c r="BM384" s="1" t="s">
        <v>74</v>
      </c>
      <c r="BN384" s="1" t="s">
        <v>74</v>
      </c>
      <c r="BO384" s="1" t="s">
        <v>74</v>
      </c>
      <c r="BP384" s="1" t="s">
        <v>74</v>
      </c>
      <c r="BQ384" s="1" t="s">
        <v>74</v>
      </c>
      <c r="BR384" s="1" t="s">
        <v>74</v>
      </c>
      <c r="BS384" s="1" t="s">
        <v>4041</v>
      </c>
      <c r="BT384" s="1" t="str">
        <f>HYPERLINK("https%3A%2F%2Fwww.webofscience.com%2Fwos%2Fwoscc%2Ffull-record%2FWOS:001429668500001","View Full Record in Web of Science")</f>
        <v>View Full Record in Web of Science</v>
      </c>
    </row>
    <row r="385" ht="12.75" customHeight="1">
      <c r="A385" s="1" t="s">
        <v>72</v>
      </c>
      <c r="B385" s="1" t="s">
        <v>4042</v>
      </c>
      <c r="C385" s="1" t="s">
        <v>74</v>
      </c>
      <c r="D385" s="1" t="s">
        <v>74</v>
      </c>
      <c r="E385" s="1" t="s">
        <v>74</v>
      </c>
      <c r="F385" s="1" t="s">
        <v>4043</v>
      </c>
      <c r="G385" s="1" t="s">
        <v>74</v>
      </c>
      <c r="H385" s="1" t="s">
        <v>74</v>
      </c>
      <c r="I385" s="1" t="s">
        <v>4044</v>
      </c>
      <c r="J385" s="1" t="s">
        <v>4045</v>
      </c>
      <c r="K385" s="1" t="s">
        <v>74</v>
      </c>
      <c r="L385" s="1" t="s">
        <v>74</v>
      </c>
      <c r="M385" s="1" t="s">
        <v>74</v>
      </c>
      <c r="N385" s="1" t="s">
        <v>74</v>
      </c>
      <c r="O385" s="1" t="s">
        <v>74</v>
      </c>
      <c r="P385" s="1" t="s">
        <v>74</v>
      </c>
      <c r="Q385" s="1" t="s">
        <v>74</v>
      </c>
      <c r="R385" s="1" t="s">
        <v>74</v>
      </c>
      <c r="S385" s="1" t="s">
        <v>74</v>
      </c>
      <c r="T385" s="1" t="s">
        <v>74</v>
      </c>
      <c r="U385" s="1" t="s">
        <v>74</v>
      </c>
      <c r="V385" s="1" t="s">
        <v>4046</v>
      </c>
      <c r="W385" s="1" t="s">
        <v>74</v>
      </c>
      <c r="X385" s="1" t="s">
        <v>74</v>
      </c>
      <c r="Y385" s="1" t="s">
        <v>74</v>
      </c>
      <c r="Z385" s="1" t="s">
        <v>74</v>
      </c>
      <c r="AA385" s="1" t="s">
        <v>4047</v>
      </c>
      <c r="AB385" s="1" t="s">
        <v>4048</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4049</v>
      </c>
      <c r="AP385" s="1" t="s">
        <v>4050</v>
      </c>
      <c r="AQ385" s="1" t="s">
        <v>74</v>
      </c>
      <c r="AR385" s="1" t="s">
        <v>74</v>
      </c>
      <c r="AS385" s="1" t="s">
        <v>74</v>
      </c>
      <c r="AT385" s="1" t="s">
        <v>294</v>
      </c>
      <c r="AU385" s="1">
        <v>2025.0</v>
      </c>
      <c r="AV385" s="1">
        <v>50.0</v>
      </c>
      <c r="AW385" s="1">
        <v>1.0</v>
      </c>
      <c r="AX385" s="1" t="s">
        <v>74</v>
      </c>
      <c r="AY385" s="1" t="s">
        <v>74</v>
      </c>
      <c r="AZ385" s="1" t="s">
        <v>74</v>
      </c>
      <c r="BA385" s="1" t="s">
        <v>74</v>
      </c>
      <c r="BB385" s="1" t="s">
        <v>74</v>
      </c>
      <c r="BC385" s="1" t="s">
        <v>74</v>
      </c>
      <c r="BD385" s="1">
        <v>8.0</v>
      </c>
      <c r="BE385" s="1" t="s">
        <v>4051</v>
      </c>
      <c r="BF385" s="2" t="str">
        <f>HYPERLINK("http://dx.doi.org/10.1007/s11064-024-04254-1","http://dx.doi.org/10.1007/s11064-024-04254-1")</f>
        <v>http://dx.doi.org/10.1007/s11064-024-04254-1</v>
      </c>
      <c r="BG385" s="1" t="s">
        <v>74</v>
      </c>
      <c r="BH385" s="1" t="s">
        <v>74</v>
      </c>
      <c r="BI385" s="1" t="s">
        <v>74</v>
      </c>
      <c r="BJ385" s="1" t="s">
        <v>74</v>
      </c>
      <c r="BK385" s="1" t="s">
        <v>74</v>
      </c>
      <c r="BL385" s="1" t="s">
        <v>74</v>
      </c>
      <c r="BM385" s="1" t="s">
        <v>74</v>
      </c>
      <c r="BN385" s="1">
        <v>3.9546064E7</v>
      </c>
      <c r="BO385" s="1" t="s">
        <v>74</v>
      </c>
      <c r="BP385" s="1" t="s">
        <v>74</v>
      </c>
      <c r="BQ385" s="1" t="s">
        <v>74</v>
      </c>
      <c r="BR385" s="1" t="s">
        <v>74</v>
      </c>
      <c r="BS385" s="1" t="s">
        <v>4052</v>
      </c>
      <c r="BT385" s="1" t="str">
        <f>HYPERLINK("https%3A%2F%2Fwww.webofscience.com%2Fwos%2Fwoscc%2Ffull-record%2FWOS:001355442700001","View Full Record in Web of Science")</f>
        <v>View Full Record in Web of Science</v>
      </c>
    </row>
    <row r="386" ht="12.75" customHeight="1">
      <c r="A386" s="1" t="s">
        <v>72</v>
      </c>
      <c r="B386" s="1" t="s">
        <v>4053</v>
      </c>
      <c r="C386" s="1" t="s">
        <v>74</v>
      </c>
      <c r="D386" s="1" t="s">
        <v>74</v>
      </c>
      <c r="E386" s="1" t="s">
        <v>74</v>
      </c>
      <c r="F386" s="1" t="s">
        <v>4054</v>
      </c>
      <c r="G386" s="1" t="s">
        <v>74</v>
      </c>
      <c r="H386" s="1" t="s">
        <v>74</v>
      </c>
      <c r="I386" s="1" t="s">
        <v>4055</v>
      </c>
      <c r="J386" s="1" t="s">
        <v>665</v>
      </c>
      <c r="K386" s="1" t="s">
        <v>74</v>
      </c>
      <c r="L386" s="1" t="s">
        <v>74</v>
      </c>
      <c r="M386" s="1" t="s">
        <v>74</v>
      </c>
      <c r="N386" s="1" t="s">
        <v>74</v>
      </c>
      <c r="O386" s="1" t="s">
        <v>74</v>
      </c>
      <c r="P386" s="1" t="s">
        <v>74</v>
      </c>
      <c r="Q386" s="1" t="s">
        <v>74</v>
      </c>
      <c r="R386" s="1" t="s">
        <v>74</v>
      </c>
      <c r="S386" s="1" t="s">
        <v>74</v>
      </c>
      <c r="T386" s="1" t="s">
        <v>74</v>
      </c>
      <c r="U386" s="1" t="s">
        <v>74</v>
      </c>
      <c r="V386" s="1" t="s">
        <v>4056</v>
      </c>
      <c r="W386" s="1" t="s">
        <v>74</v>
      </c>
      <c r="X386" s="1" t="s">
        <v>74</v>
      </c>
      <c r="Y386" s="1" t="s">
        <v>74</v>
      </c>
      <c r="Z386" s="1" t="s">
        <v>74</v>
      </c>
      <c r="AA386" s="1" t="s">
        <v>4057</v>
      </c>
      <c r="AB386" s="1" t="s">
        <v>4058</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74</v>
      </c>
      <c r="AP386" s="1" t="s">
        <v>669</v>
      </c>
      <c r="AQ386" s="1" t="s">
        <v>74</v>
      </c>
      <c r="AR386" s="1" t="s">
        <v>74</v>
      </c>
      <c r="AS386" s="1" t="s">
        <v>74</v>
      </c>
      <c r="AT386" s="1" t="s">
        <v>1106</v>
      </c>
      <c r="AU386" s="1">
        <v>2025.0</v>
      </c>
      <c r="AV386" s="1">
        <v>30.0</v>
      </c>
      <c r="AW386" s="1">
        <v>2.0</v>
      </c>
      <c r="AX386" s="1" t="s">
        <v>74</v>
      </c>
      <c r="AY386" s="1" t="s">
        <v>74</v>
      </c>
      <c r="AZ386" s="1" t="s">
        <v>74</v>
      </c>
      <c r="BA386" s="1" t="s">
        <v>74</v>
      </c>
      <c r="BB386" s="1" t="s">
        <v>74</v>
      </c>
      <c r="BC386" s="1" t="s">
        <v>74</v>
      </c>
      <c r="BD386" s="1">
        <v>276.0</v>
      </c>
      <c r="BE386" s="1" t="s">
        <v>4059</v>
      </c>
      <c r="BF386" s="2" t="str">
        <f>HYPERLINK("http://dx.doi.org/10.3390/molecules30020276","http://dx.doi.org/10.3390/molecules30020276")</f>
        <v>http://dx.doi.org/10.3390/molecules30020276</v>
      </c>
      <c r="BG386" s="1" t="s">
        <v>74</v>
      </c>
      <c r="BH386" s="1" t="s">
        <v>74</v>
      </c>
      <c r="BI386" s="1" t="s">
        <v>74</v>
      </c>
      <c r="BJ386" s="1" t="s">
        <v>74</v>
      </c>
      <c r="BK386" s="1" t="s">
        <v>74</v>
      </c>
      <c r="BL386" s="1" t="s">
        <v>74</v>
      </c>
      <c r="BM386" s="1" t="s">
        <v>74</v>
      </c>
      <c r="BN386" s="1">
        <v>3.9860146E7</v>
      </c>
      <c r="BO386" s="1" t="s">
        <v>74</v>
      </c>
      <c r="BP386" s="1" t="s">
        <v>74</v>
      </c>
      <c r="BQ386" s="1" t="s">
        <v>74</v>
      </c>
      <c r="BR386" s="1" t="s">
        <v>74</v>
      </c>
      <c r="BS386" s="1" t="s">
        <v>4060</v>
      </c>
      <c r="BT386" s="1" t="str">
        <f>HYPERLINK("https%3A%2F%2Fwww.webofscience.com%2Fwos%2Fwoscc%2Ffull-record%2FWOS:001404441700001","View Full Record in Web of Science")</f>
        <v>View Full Record in Web of Science</v>
      </c>
    </row>
    <row r="387" ht="12.75" customHeight="1">
      <c r="A387" s="1" t="s">
        <v>72</v>
      </c>
      <c r="B387" s="1" t="s">
        <v>4061</v>
      </c>
      <c r="C387" s="1" t="s">
        <v>74</v>
      </c>
      <c r="D387" s="1" t="s">
        <v>74</v>
      </c>
      <c r="E387" s="1" t="s">
        <v>74</v>
      </c>
      <c r="F387" s="1" t="s">
        <v>4062</v>
      </c>
      <c r="G387" s="1" t="s">
        <v>74</v>
      </c>
      <c r="H387" s="1" t="s">
        <v>74</v>
      </c>
      <c r="I387" s="1" t="s">
        <v>4063</v>
      </c>
      <c r="J387" s="1" t="s">
        <v>4064</v>
      </c>
      <c r="K387" s="1" t="s">
        <v>74</v>
      </c>
      <c r="L387" s="1" t="s">
        <v>74</v>
      </c>
      <c r="M387" s="1" t="s">
        <v>74</v>
      </c>
      <c r="N387" s="1" t="s">
        <v>74</v>
      </c>
      <c r="O387" s="1" t="s">
        <v>74</v>
      </c>
      <c r="P387" s="1" t="s">
        <v>74</v>
      </c>
      <c r="Q387" s="1" t="s">
        <v>74</v>
      </c>
      <c r="R387" s="1" t="s">
        <v>74</v>
      </c>
      <c r="S387" s="1" t="s">
        <v>74</v>
      </c>
      <c r="T387" s="1" t="s">
        <v>74</v>
      </c>
      <c r="U387" s="1" t="s">
        <v>74</v>
      </c>
      <c r="V387" s="1" t="s">
        <v>4065</v>
      </c>
      <c r="W387" s="1" t="s">
        <v>74</v>
      </c>
      <c r="X387" s="1" t="s">
        <v>74</v>
      </c>
      <c r="Y387" s="1" t="s">
        <v>74</v>
      </c>
      <c r="Z387" s="1" t="s">
        <v>74</v>
      </c>
      <c r="AA387" s="1" t="s">
        <v>4066</v>
      </c>
      <c r="AB387" s="1" t="s">
        <v>4067</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4068</v>
      </c>
      <c r="AP387" s="1" t="s">
        <v>4069</v>
      </c>
      <c r="AQ387" s="1" t="s">
        <v>74</v>
      </c>
      <c r="AR387" s="1" t="s">
        <v>74</v>
      </c>
      <c r="AS387" s="1" t="s">
        <v>74</v>
      </c>
      <c r="AT387" s="1" t="s">
        <v>4070</v>
      </c>
      <c r="AU387" s="1">
        <v>2024.0</v>
      </c>
      <c r="AV387" s="1">
        <v>110.0</v>
      </c>
      <c r="AW387" s="1">
        <v>7.0</v>
      </c>
      <c r="AX387" s="1" t="s">
        <v>74</v>
      </c>
      <c r="AY387" s="1" t="s">
        <v>74</v>
      </c>
      <c r="AZ387" s="1" t="s">
        <v>74</v>
      </c>
      <c r="BA387" s="1" t="s">
        <v>74</v>
      </c>
      <c r="BB387" s="1" t="s">
        <v>74</v>
      </c>
      <c r="BC387" s="1" t="s">
        <v>74</v>
      </c>
      <c r="BD387" s="1">
        <v>75120.0</v>
      </c>
      <c r="BE387" s="1" t="s">
        <v>4071</v>
      </c>
      <c r="BF387" s="2" t="str">
        <f>HYPERLINK("http://dx.doi.org/10.1103/PhysRevB.110.075120","http://dx.doi.org/10.1103/PhysRevB.110.075120")</f>
        <v>http://dx.doi.org/10.1103/PhysRevB.110.075120</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4072</v>
      </c>
      <c r="BT387" s="1" t="str">
        <f>HYPERLINK("https%3A%2F%2Fwww.webofscience.com%2Fwos%2Fwoscc%2Ffull-record%2FWOS:001290945400008","View Full Record in Web of Science")</f>
        <v>View Full Record in Web of Science</v>
      </c>
    </row>
    <row r="388" ht="12.75" customHeight="1">
      <c r="A388" s="1" t="s">
        <v>72</v>
      </c>
      <c r="B388" s="1" t="s">
        <v>4073</v>
      </c>
      <c r="C388" s="1" t="s">
        <v>74</v>
      </c>
      <c r="D388" s="1" t="s">
        <v>74</v>
      </c>
      <c r="E388" s="1" t="s">
        <v>74</v>
      </c>
      <c r="F388" s="1" t="s">
        <v>4074</v>
      </c>
      <c r="G388" s="1" t="s">
        <v>74</v>
      </c>
      <c r="H388" s="1" t="s">
        <v>74</v>
      </c>
      <c r="I388" s="1" t="s">
        <v>4075</v>
      </c>
      <c r="J388" s="1" t="s">
        <v>1113</v>
      </c>
      <c r="K388" s="1" t="s">
        <v>74</v>
      </c>
      <c r="L388" s="1" t="s">
        <v>74</v>
      </c>
      <c r="M388" s="1" t="s">
        <v>74</v>
      </c>
      <c r="N388" s="1" t="s">
        <v>74</v>
      </c>
      <c r="O388" s="1" t="s">
        <v>74</v>
      </c>
      <c r="P388" s="1" t="s">
        <v>74</v>
      </c>
      <c r="Q388" s="1" t="s">
        <v>74</v>
      </c>
      <c r="R388" s="1" t="s">
        <v>74</v>
      </c>
      <c r="S388" s="1" t="s">
        <v>74</v>
      </c>
      <c r="T388" s="1" t="s">
        <v>74</v>
      </c>
      <c r="U388" s="1" t="s">
        <v>74</v>
      </c>
      <c r="V388" s="1" t="s">
        <v>4076</v>
      </c>
      <c r="W388" s="1" t="s">
        <v>74</v>
      </c>
      <c r="X388" s="1" t="s">
        <v>74</v>
      </c>
      <c r="Y388" s="1" t="s">
        <v>74</v>
      </c>
      <c r="Z388" s="1" t="s">
        <v>74</v>
      </c>
      <c r="AA388" s="1" t="s">
        <v>4077</v>
      </c>
      <c r="AB388" s="1" t="s">
        <v>4078</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1117</v>
      </c>
      <c r="AP388" s="1" t="s">
        <v>74</v>
      </c>
      <c r="AQ388" s="1" t="s">
        <v>74</v>
      </c>
      <c r="AR388" s="1" t="s">
        <v>74</v>
      </c>
      <c r="AS388" s="1" t="s">
        <v>74</v>
      </c>
      <c r="AT388" s="1" t="s">
        <v>1657</v>
      </c>
      <c r="AU388" s="1">
        <v>2024.0</v>
      </c>
      <c r="AV388" s="1">
        <v>15.0</v>
      </c>
      <c r="AW388" s="1">
        <v>29.0</v>
      </c>
      <c r="AX388" s="1" t="s">
        <v>74</v>
      </c>
      <c r="AY388" s="1" t="s">
        <v>74</v>
      </c>
      <c r="AZ388" s="1" t="s">
        <v>74</v>
      </c>
      <c r="BA388" s="1" t="s">
        <v>74</v>
      </c>
      <c r="BB388" s="1">
        <v>7449.0</v>
      </c>
      <c r="BC388" s="1">
        <v>7457.0</v>
      </c>
      <c r="BD388" s="1" t="s">
        <v>74</v>
      </c>
      <c r="BE388" s="1" t="s">
        <v>4079</v>
      </c>
      <c r="BF388" s="2" t="str">
        <f>HYPERLINK("http://dx.doi.org/10.1021/acs.jpclett.4c00782","http://dx.doi.org/10.1021/acs.jpclett.4c00782")</f>
        <v>http://dx.doi.org/10.1021/acs.jpclett.4c00782</v>
      </c>
      <c r="BG388" s="1" t="s">
        <v>74</v>
      </c>
      <c r="BH388" s="1" t="s">
        <v>557</v>
      </c>
      <c r="BI388" s="1" t="s">
        <v>74</v>
      </c>
      <c r="BJ388" s="1" t="s">
        <v>74</v>
      </c>
      <c r="BK388" s="1" t="s">
        <v>74</v>
      </c>
      <c r="BL388" s="1" t="s">
        <v>74</v>
      </c>
      <c r="BM388" s="1" t="s">
        <v>74</v>
      </c>
      <c r="BN388" s="1">
        <v>3.9008808E7</v>
      </c>
      <c r="BO388" s="1" t="s">
        <v>74</v>
      </c>
      <c r="BP388" s="1" t="s">
        <v>74</v>
      </c>
      <c r="BQ388" s="1" t="s">
        <v>74</v>
      </c>
      <c r="BR388" s="1" t="s">
        <v>74</v>
      </c>
      <c r="BS388" s="1" t="s">
        <v>4080</v>
      </c>
      <c r="BT388" s="1" t="str">
        <f>HYPERLINK("https%3A%2F%2Fwww.webofscience.com%2Fwos%2Fwoscc%2Ffull-record%2FWOS:001277605200001","View Full Record in Web of Science")</f>
        <v>View Full Record in Web of Science</v>
      </c>
    </row>
    <row r="389" ht="12.75" customHeight="1">
      <c r="A389" s="1" t="s">
        <v>72</v>
      </c>
      <c r="B389" s="1" t="s">
        <v>4081</v>
      </c>
      <c r="C389" s="1" t="s">
        <v>74</v>
      </c>
      <c r="D389" s="1" t="s">
        <v>74</v>
      </c>
      <c r="E389" s="1" t="s">
        <v>74</v>
      </c>
      <c r="F389" s="1" t="s">
        <v>4082</v>
      </c>
      <c r="G389" s="1" t="s">
        <v>74</v>
      </c>
      <c r="H389" s="1" t="s">
        <v>74</v>
      </c>
      <c r="I389" s="1" t="s">
        <v>4083</v>
      </c>
      <c r="J389" s="1" t="s">
        <v>4084</v>
      </c>
      <c r="K389" s="1" t="s">
        <v>74</v>
      </c>
      <c r="L389" s="1" t="s">
        <v>74</v>
      </c>
      <c r="M389" s="1" t="s">
        <v>74</v>
      </c>
      <c r="N389" s="1" t="s">
        <v>74</v>
      </c>
      <c r="O389" s="1" t="s">
        <v>74</v>
      </c>
      <c r="P389" s="1" t="s">
        <v>74</v>
      </c>
      <c r="Q389" s="1" t="s">
        <v>74</v>
      </c>
      <c r="R389" s="1" t="s">
        <v>74</v>
      </c>
      <c r="S389" s="1" t="s">
        <v>74</v>
      </c>
      <c r="T389" s="1" t="s">
        <v>74</v>
      </c>
      <c r="U389" s="1" t="s">
        <v>74</v>
      </c>
      <c r="V389" s="1" t="s">
        <v>4085</v>
      </c>
      <c r="W389" s="1" t="s">
        <v>74</v>
      </c>
      <c r="X389" s="1" t="s">
        <v>74</v>
      </c>
      <c r="Y389" s="1" t="s">
        <v>74</v>
      </c>
      <c r="Z389" s="1" t="s">
        <v>74</v>
      </c>
      <c r="AA389" s="1" t="s">
        <v>4086</v>
      </c>
      <c r="AB389" s="1" t="s">
        <v>4087</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4088</v>
      </c>
      <c r="AP389" s="1" t="s">
        <v>4089</v>
      </c>
      <c r="AQ389" s="1" t="s">
        <v>74</v>
      </c>
      <c r="AR389" s="1" t="s">
        <v>74</v>
      </c>
      <c r="AS389" s="1" t="s">
        <v>74</v>
      </c>
      <c r="AT389" s="1" t="s">
        <v>2385</v>
      </c>
      <c r="AU389" s="1">
        <v>2024.0</v>
      </c>
      <c r="AV389" s="1">
        <v>33.0</v>
      </c>
      <c r="AW389" s="1">
        <v>4.0</v>
      </c>
      <c r="AX389" s="1" t="s">
        <v>74</v>
      </c>
      <c r="AY389" s="1" t="s">
        <v>74</v>
      </c>
      <c r="AZ389" s="1" t="s">
        <v>74</v>
      </c>
      <c r="BA389" s="1" t="s">
        <v>74</v>
      </c>
      <c r="BB389" s="1">
        <v>429.0</v>
      </c>
      <c r="BC389" s="1">
        <v>444.0</v>
      </c>
      <c r="BD389" s="1" t="s">
        <v>74</v>
      </c>
      <c r="BE389" s="1" t="s">
        <v>4090</v>
      </c>
      <c r="BF389" s="2" t="str">
        <f>HYPERLINK("http://dx.doi.org/10.1108/EJMBE-08-2023-0246","http://dx.doi.org/10.1108/EJMBE-08-2023-0246")</f>
        <v>http://dx.doi.org/10.1108/EJMBE-08-2023-0246</v>
      </c>
      <c r="BG389" s="1" t="s">
        <v>74</v>
      </c>
      <c r="BH389" s="1" t="s">
        <v>3539</v>
      </c>
      <c r="BI389" s="1" t="s">
        <v>74</v>
      </c>
      <c r="BJ389" s="1" t="s">
        <v>74</v>
      </c>
      <c r="BK389" s="1" t="s">
        <v>74</v>
      </c>
      <c r="BL389" s="1" t="s">
        <v>74</v>
      </c>
      <c r="BM389" s="1" t="s">
        <v>74</v>
      </c>
      <c r="BN389" s="1" t="s">
        <v>74</v>
      </c>
      <c r="BO389" s="1" t="s">
        <v>74</v>
      </c>
      <c r="BP389" s="1" t="s">
        <v>74</v>
      </c>
      <c r="BQ389" s="1" t="s">
        <v>74</v>
      </c>
      <c r="BR389" s="1" t="s">
        <v>74</v>
      </c>
      <c r="BS389" s="1" t="s">
        <v>4091</v>
      </c>
      <c r="BT389" s="1" t="str">
        <f>HYPERLINK("https%3A%2F%2Fwww.webofscience.com%2Fwos%2Fwoscc%2Ffull-record%2FWOS:001209572100001","View Full Record in Web of Science")</f>
        <v>View Full Record in Web of Science</v>
      </c>
    </row>
    <row r="390" ht="12.75" customHeight="1">
      <c r="A390" s="1" t="s">
        <v>72</v>
      </c>
      <c r="B390" s="1" t="s">
        <v>4092</v>
      </c>
      <c r="C390" s="1" t="s">
        <v>74</v>
      </c>
      <c r="D390" s="1" t="s">
        <v>74</v>
      </c>
      <c r="E390" s="1" t="s">
        <v>74</v>
      </c>
      <c r="F390" s="1" t="s">
        <v>4093</v>
      </c>
      <c r="G390" s="1" t="s">
        <v>74</v>
      </c>
      <c r="H390" s="1" t="s">
        <v>74</v>
      </c>
      <c r="I390" s="1" t="s">
        <v>4094</v>
      </c>
      <c r="J390" s="1" t="s">
        <v>4095</v>
      </c>
      <c r="K390" s="1" t="s">
        <v>74</v>
      </c>
      <c r="L390" s="1" t="s">
        <v>74</v>
      </c>
      <c r="M390" s="1" t="s">
        <v>74</v>
      </c>
      <c r="N390" s="1" t="s">
        <v>74</v>
      </c>
      <c r="O390" s="1" t="s">
        <v>74</v>
      </c>
      <c r="P390" s="1" t="s">
        <v>74</v>
      </c>
      <c r="Q390" s="1" t="s">
        <v>74</v>
      </c>
      <c r="R390" s="1" t="s">
        <v>74</v>
      </c>
      <c r="S390" s="1" t="s">
        <v>74</v>
      </c>
      <c r="T390" s="1" t="s">
        <v>74</v>
      </c>
      <c r="U390" s="1" t="s">
        <v>74</v>
      </c>
      <c r="V390" s="1" t="s">
        <v>4096</v>
      </c>
      <c r="W390" s="1" t="s">
        <v>74</v>
      </c>
      <c r="X390" s="1" t="s">
        <v>74</v>
      </c>
      <c r="Y390" s="1" t="s">
        <v>74</v>
      </c>
      <c r="Z390" s="1" t="s">
        <v>74</v>
      </c>
      <c r="AA390" s="1" t="s">
        <v>4097</v>
      </c>
      <c r="AB390" s="1" t="s">
        <v>4098</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4099</v>
      </c>
      <c r="AP390" s="1" t="s">
        <v>74</v>
      </c>
      <c r="AQ390" s="1" t="s">
        <v>74</v>
      </c>
      <c r="AR390" s="1" t="s">
        <v>74</v>
      </c>
      <c r="AS390" s="1" t="s">
        <v>74</v>
      </c>
      <c r="AT390" s="1" t="s">
        <v>282</v>
      </c>
      <c r="AU390" s="1">
        <v>2022.0</v>
      </c>
      <c r="AV390" s="1">
        <v>39.0</v>
      </c>
      <c r="AW390" s="1" t="s">
        <v>74</v>
      </c>
      <c r="AX390" s="1" t="s">
        <v>74</v>
      </c>
      <c r="AY390" s="1" t="s">
        <v>74</v>
      </c>
      <c r="AZ390" s="1" t="s">
        <v>74</v>
      </c>
      <c r="BA390" s="1" t="s">
        <v>74</v>
      </c>
      <c r="BB390" s="1" t="s">
        <v>74</v>
      </c>
      <c r="BC390" s="1" t="s">
        <v>74</v>
      </c>
      <c r="BD390" s="1">
        <v>105768.0</v>
      </c>
      <c r="BE390" s="1" t="s">
        <v>4100</v>
      </c>
      <c r="BF390" s="2" t="str">
        <f>HYPERLINK("http://dx.doi.org/10.1016/j.rinp.2022.105768","http://dx.doi.org/10.1016/j.rinp.2022.105768")</f>
        <v>http://dx.doi.org/10.1016/j.rinp.2022.105768</v>
      </c>
      <c r="BG390" s="1" t="s">
        <v>74</v>
      </c>
      <c r="BH390" s="1" t="s">
        <v>4101</v>
      </c>
      <c r="BI390" s="1" t="s">
        <v>74</v>
      </c>
      <c r="BJ390" s="1" t="s">
        <v>74</v>
      </c>
      <c r="BK390" s="1" t="s">
        <v>74</v>
      </c>
      <c r="BL390" s="1" t="s">
        <v>74</v>
      </c>
      <c r="BM390" s="1" t="s">
        <v>74</v>
      </c>
      <c r="BN390" s="1" t="s">
        <v>74</v>
      </c>
      <c r="BO390" s="1" t="s">
        <v>74</v>
      </c>
      <c r="BP390" s="1" t="s">
        <v>74</v>
      </c>
      <c r="BQ390" s="1" t="s">
        <v>74</v>
      </c>
      <c r="BR390" s="1" t="s">
        <v>74</v>
      </c>
      <c r="BS390" s="1" t="s">
        <v>4102</v>
      </c>
      <c r="BT390" s="1" t="str">
        <f>HYPERLINK("https%3A%2F%2Fwww.webofscience.com%2Fwos%2Fwoscc%2Ffull-record%2FWOS:000879243600013","View Full Record in Web of Science")</f>
        <v>View Full Record in Web of Science</v>
      </c>
    </row>
    <row r="391" ht="12.75" customHeight="1">
      <c r="A391" s="1" t="s">
        <v>72</v>
      </c>
      <c r="B391" s="1" t="s">
        <v>4103</v>
      </c>
      <c r="C391" s="1" t="s">
        <v>74</v>
      </c>
      <c r="D391" s="1" t="s">
        <v>74</v>
      </c>
      <c r="E391" s="1" t="s">
        <v>74</v>
      </c>
      <c r="F391" s="1" t="s">
        <v>4104</v>
      </c>
      <c r="G391" s="1" t="s">
        <v>74</v>
      </c>
      <c r="H391" s="1" t="s">
        <v>74</v>
      </c>
      <c r="I391" s="1" t="s">
        <v>4105</v>
      </c>
      <c r="J391" s="1" t="s">
        <v>4106</v>
      </c>
      <c r="K391" s="1" t="s">
        <v>74</v>
      </c>
      <c r="L391" s="1" t="s">
        <v>74</v>
      </c>
      <c r="M391" s="1" t="s">
        <v>74</v>
      </c>
      <c r="N391" s="1" t="s">
        <v>74</v>
      </c>
      <c r="O391" s="1" t="s">
        <v>74</v>
      </c>
      <c r="P391" s="1" t="s">
        <v>74</v>
      </c>
      <c r="Q391" s="1" t="s">
        <v>74</v>
      </c>
      <c r="R391" s="1" t="s">
        <v>74</v>
      </c>
      <c r="S391" s="1" t="s">
        <v>74</v>
      </c>
      <c r="T391" s="1" t="s">
        <v>74</v>
      </c>
      <c r="U391" s="1" t="s">
        <v>74</v>
      </c>
      <c r="V391" s="1" t="s">
        <v>4107</v>
      </c>
      <c r="W391" s="1" t="s">
        <v>74</v>
      </c>
      <c r="X391" s="1" t="s">
        <v>74</v>
      </c>
      <c r="Y391" s="1" t="s">
        <v>74</v>
      </c>
      <c r="Z391" s="1" t="s">
        <v>74</v>
      </c>
      <c r="AA391" s="1" t="s">
        <v>74</v>
      </c>
      <c r="AB391" s="1" t="s">
        <v>74</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4108</v>
      </c>
      <c r="AP391" s="1" t="s">
        <v>4109</v>
      </c>
      <c r="AQ391" s="1" t="s">
        <v>74</v>
      </c>
      <c r="AR391" s="1" t="s">
        <v>74</v>
      </c>
      <c r="AS391" s="1" t="s">
        <v>74</v>
      </c>
      <c r="AT391" s="1" t="s">
        <v>74</v>
      </c>
      <c r="AU391" s="1">
        <v>2022.0</v>
      </c>
      <c r="AV391" s="1">
        <v>15.0</v>
      </c>
      <c r="AW391" s="1" t="s">
        <v>74</v>
      </c>
      <c r="AX391" s="1" t="s">
        <v>74</v>
      </c>
      <c r="AY391" s="1" t="s">
        <v>74</v>
      </c>
      <c r="AZ391" s="1" t="s">
        <v>74</v>
      </c>
      <c r="BA391" s="1" t="s">
        <v>74</v>
      </c>
      <c r="BB391" s="1">
        <v>26.0</v>
      </c>
      <c r="BC391" s="1">
        <v>31.0</v>
      </c>
      <c r="BD391" s="1" t="s">
        <v>74</v>
      </c>
      <c r="BE391" s="1" t="s">
        <v>4110</v>
      </c>
      <c r="BF391" s="2" t="str">
        <f>HYPERLINK("http://dx.doi.org/10.11144/Javeriana.m15.seem","http://dx.doi.org/10.11144/Javeriana.m15.seem")</f>
        <v>http://dx.doi.org/10.11144/Javeriana.m15.seem</v>
      </c>
      <c r="BG391" s="1" t="s">
        <v>74</v>
      </c>
      <c r="BH391" s="1" t="s">
        <v>74</v>
      </c>
      <c r="BI391" s="1" t="s">
        <v>74</v>
      </c>
      <c r="BJ391" s="1" t="s">
        <v>74</v>
      </c>
      <c r="BK391" s="1" t="s">
        <v>74</v>
      </c>
      <c r="BL391" s="1" t="s">
        <v>74</v>
      </c>
      <c r="BM391" s="1" t="s">
        <v>74</v>
      </c>
      <c r="BN391" s="1" t="s">
        <v>74</v>
      </c>
      <c r="BO391" s="1" t="s">
        <v>74</v>
      </c>
      <c r="BP391" s="1" t="s">
        <v>74</v>
      </c>
      <c r="BQ391" s="1" t="s">
        <v>74</v>
      </c>
      <c r="BR391" s="1" t="s">
        <v>74</v>
      </c>
      <c r="BS391" s="1" t="s">
        <v>4111</v>
      </c>
      <c r="BT391" s="1" t="str">
        <f>HYPERLINK("https%3A%2F%2Fwww.webofscience.com%2Fwos%2Fwoscc%2Ffull-record%2FWOS:000915234900002","View Full Record in Web of Science")</f>
        <v>View Full Record in Web of Science</v>
      </c>
    </row>
    <row r="392" ht="12.75" customHeight="1">
      <c r="A392" s="1" t="s">
        <v>72</v>
      </c>
      <c r="B392" s="1" t="s">
        <v>4112</v>
      </c>
      <c r="C392" s="1" t="s">
        <v>74</v>
      </c>
      <c r="D392" s="1" t="s">
        <v>74</v>
      </c>
      <c r="E392" s="1" t="s">
        <v>74</v>
      </c>
      <c r="F392" s="1" t="s">
        <v>4113</v>
      </c>
      <c r="G392" s="1" t="s">
        <v>74</v>
      </c>
      <c r="H392" s="1" t="s">
        <v>74</v>
      </c>
      <c r="I392" s="1" t="s">
        <v>4114</v>
      </c>
      <c r="J392" s="1" t="s">
        <v>4115</v>
      </c>
      <c r="K392" s="1" t="s">
        <v>74</v>
      </c>
      <c r="L392" s="1" t="s">
        <v>74</v>
      </c>
      <c r="M392" s="1" t="s">
        <v>74</v>
      </c>
      <c r="N392" s="1" t="s">
        <v>74</v>
      </c>
      <c r="O392" s="1" t="s">
        <v>74</v>
      </c>
      <c r="P392" s="1" t="s">
        <v>74</v>
      </c>
      <c r="Q392" s="1" t="s">
        <v>74</v>
      </c>
      <c r="R392" s="1" t="s">
        <v>74</v>
      </c>
      <c r="S392" s="1" t="s">
        <v>74</v>
      </c>
      <c r="T392" s="1" t="s">
        <v>74</v>
      </c>
      <c r="U392" s="1" t="s">
        <v>74</v>
      </c>
      <c r="V392" s="1" t="s">
        <v>4116</v>
      </c>
      <c r="W392" s="1" t="s">
        <v>74</v>
      </c>
      <c r="X392" s="1" t="s">
        <v>74</v>
      </c>
      <c r="Y392" s="1" t="s">
        <v>74</v>
      </c>
      <c r="Z392" s="1" t="s">
        <v>74</v>
      </c>
      <c r="AA392" s="1" t="s">
        <v>4117</v>
      </c>
      <c r="AB392" s="1" t="s">
        <v>4118</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4119</v>
      </c>
      <c r="AP392" s="1" t="s">
        <v>4120</v>
      </c>
      <c r="AQ392" s="1" t="s">
        <v>74</v>
      </c>
      <c r="AR392" s="1" t="s">
        <v>74</v>
      </c>
      <c r="AS392" s="1" t="s">
        <v>74</v>
      </c>
      <c r="AT392" s="1" t="s">
        <v>4121</v>
      </c>
      <c r="AU392" s="1">
        <v>2021.0</v>
      </c>
      <c r="AV392" s="1">
        <v>2021.0</v>
      </c>
      <c r="AW392" s="1">
        <v>45.0</v>
      </c>
      <c r="AX392" s="1" t="s">
        <v>74</v>
      </c>
      <c r="AY392" s="1" t="s">
        <v>74</v>
      </c>
      <c r="AZ392" s="1" t="s">
        <v>74</v>
      </c>
      <c r="BA392" s="1" t="s">
        <v>74</v>
      </c>
      <c r="BB392" s="1">
        <v>4596.0</v>
      </c>
      <c r="BC392" s="1">
        <v>4609.0</v>
      </c>
      <c r="BD392" s="1" t="s">
        <v>74</v>
      </c>
      <c r="BE392" s="1" t="s">
        <v>4122</v>
      </c>
      <c r="BF392" s="2" t="str">
        <f>HYPERLINK("http://dx.doi.org/10.1002/ejic.202100670","http://dx.doi.org/10.1002/ejic.202100670")</f>
        <v>http://dx.doi.org/10.1002/ejic.202100670</v>
      </c>
      <c r="BG392" s="1" t="s">
        <v>74</v>
      </c>
      <c r="BH392" s="1" t="s">
        <v>84</v>
      </c>
      <c r="BI392" s="1" t="s">
        <v>74</v>
      </c>
      <c r="BJ392" s="1" t="s">
        <v>74</v>
      </c>
      <c r="BK392" s="1" t="s">
        <v>74</v>
      </c>
      <c r="BL392" s="1" t="s">
        <v>74</v>
      </c>
      <c r="BM392" s="1" t="s">
        <v>74</v>
      </c>
      <c r="BN392" s="1" t="s">
        <v>74</v>
      </c>
      <c r="BO392" s="1" t="s">
        <v>74</v>
      </c>
      <c r="BP392" s="1" t="s">
        <v>74</v>
      </c>
      <c r="BQ392" s="1" t="s">
        <v>74</v>
      </c>
      <c r="BR392" s="1" t="s">
        <v>74</v>
      </c>
      <c r="BS392" s="1" t="s">
        <v>4123</v>
      </c>
      <c r="BT392" s="1" t="str">
        <f>HYPERLINK("https%3A%2F%2Fwww.webofscience.com%2Fwos%2Fwoscc%2Ffull-record%2FWOS:000700507200001","View Full Record in Web of Science")</f>
        <v>View Full Record in Web of Science</v>
      </c>
    </row>
    <row r="393" ht="12.75" customHeight="1">
      <c r="A393" s="1" t="s">
        <v>72</v>
      </c>
      <c r="B393" s="1" t="s">
        <v>4124</v>
      </c>
      <c r="C393" s="1" t="s">
        <v>74</v>
      </c>
      <c r="D393" s="1" t="s">
        <v>74</v>
      </c>
      <c r="E393" s="1" t="s">
        <v>74</v>
      </c>
      <c r="F393" s="1" t="s">
        <v>4125</v>
      </c>
      <c r="G393" s="1" t="s">
        <v>74</v>
      </c>
      <c r="H393" s="1" t="s">
        <v>74</v>
      </c>
      <c r="I393" s="1" t="s">
        <v>4126</v>
      </c>
      <c r="J393" s="1" t="s">
        <v>1274</v>
      </c>
      <c r="K393" s="1" t="s">
        <v>74</v>
      </c>
      <c r="L393" s="1" t="s">
        <v>74</v>
      </c>
      <c r="M393" s="1" t="s">
        <v>74</v>
      </c>
      <c r="N393" s="1" t="s">
        <v>74</v>
      </c>
      <c r="O393" s="1" t="s">
        <v>74</v>
      </c>
      <c r="P393" s="1" t="s">
        <v>74</v>
      </c>
      <c r="Q393" s="1" t="s">
        <v>74</v>
      </c>
      <c r="R393" s="1" t="s">
        <v>74</v>
      </c>
      <c r="S393" s="1" t="s">
        <v>74</v>
      </c>
      <c r="T393" s="1" t="s">
        <v>74</v>
      </c>
      <c r="U393" s="1" t="s">
        <v>74</v>
      </c>
      <c r="V393" s="1" t="s">
        <v>4127</v>
      </c>
      <c r="W393" s="1" t="s">
        <v>74</v>
      </c>
      <c r="X393" s="1" t="s">
        <v>74</v>
      </c>
      <c r="Y393" s="1" t="s">
        <v>74</v>
      </c>
      <c r="Z393" s="1" t="s">
        <v>74</v>
      </c>
      <c r="AA393" s="1" t="s">
        <v>4128</v>
      </c>
      <c r="AB393" s="1" t="s">
        <v>4129</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2256</v>
      </c>
      <c r="AP393" s="1" t="s">
        <v>1278</v>
      </c>
      <c r="AQ393" s="1" t="s">
        <v>74</v>
      </c>
      <c r="AR393" s="1" t="s">
        <v>74</v>
      </c>
      <c r="AS393" s="1" t="s">
        <v>74</v>
      </c>
      <c r="AT393" s="1" t="s">
        <v>82</v>
      </c>
      <c r="AU393" s="1">
        <v>2021.0</v>
      </c>
      <c r="AV393" s="1">
        <v>9.0</v>
      </c>
      <c r="AW393" s="1">
        <v>5.0</v>
      </c>
      <c r="AX393" s="1" t="s">
        <v>74</v>
      </c>
      <c r="AY393" s="1" t="s">
        <v>74</v>
      </c>
      <c r="AZ393" s="1" t="s">
        <v>74</v>
      </c>
      <c r="BA393" s="1" t="s">
        <v>74</v>
      </c>
      <c r="BB393" s="1" t="s">
        <v>74</v>
      </c>
      <c r="BC393" s="1" t="s">
        <v>74</v>
      </c>
      <c r="BD393" s="1">
        <v>105925.0</v>
      </c>
      <c r="BE393" s="1" t="s">
        <v>4130</v>
      </c>
      <c r="BF393" s="2" t="str">
        <f>HYPERLINK("http://dx.doi.org/10.1016/j.jece.2021.105925","http://dx.doi.org/10.1016/j.jece.2021.105925")</f>
        <v>http://dx.doi.org/10.1016/j.jece.2021.105925</v>
      </c>
      <c r="BG393" s="1" t="s">
        <v>74</v>
      </c>
      <c r="BH393" s="1" t="s">
        <v>2387</v>
      </c>
      <c r="BI393" s="1" t="s">
        <v>74</v>
      </c>
      <c r="BJ393" s="1" t="s">
        <v>74</v>
      </c>
      <c r="BK393" s="1" t="s">
        <v>74</v>
      </c>
      <c r="BL393" s="1" t="s">
        <v>74</v>
      </c>
      <c r="BM393" s="1" t="s">
        <v>74</v>
      </c>
      <c r="BN393" s="1" t="s">
        <v>74</v>
      </c>
      <c r="BO393" s="1" t="s">
        <v>74</v>
      </c>
      <c r="BP393" s="1" t="s">
        <v>74</v>
      </c>
      <c r="BQ393" s="1" t="s">
        <v>74</v>
      </c>
      <c r="BR393" s="1" t="s">
        <v>74</v>
      </c>
      <c r="BS393" s="1" t="s">
        <v>4131</v>
      </c>
      <c r="BT393" s="1" t="str">
        <f>HYPERLINK("https%3A%2F%2Fwww.webofscience.com%2Fwos%2Fwoscc%2Ffull-record%2FWOS:000703966400004","View Full Record in Web of Science")</f>
        <v>View Full Record in Web of Science</v>
      </c>
    </row>
    <row r="394" ht="12.75" customHeight="1">
      <c r="A394" s="1" t="s">
        <v>72</v>
      </c>
      <c r="B394" s="1" t="s">
        <v>4132</v>
      </c>
      <c r="C394" s="1" t="s">
        <v>74</v>
      </c>
      <c r="D394" s="1" t="s">
        <v>74</v>
      </c>
      <c r="E394" s="1" t="s">
        <v>74</v>
      </c>
      <c r="F394" s="1" t="s">
        <v>4133</v>
      </c>
      <c r="G394" s="1" t="s">
        <v>74</v>
      </c>
      <c r="H394" s="1" t="s">
        <v>74</v>
      </c>
      <c r="I394" s="1" t="s">
        <v>4134</v>
      </c>
      <c r="J394" s="1" t="s">
        <v>4135</v>
      </c>
      <c r="K394" s="1" t="s">
        <v>74</v>
      </c>
      <c r="L394" s="1" t="s">
        <v>74</v>
      </c>
      <c r="M394" s="1" t="s">
        <v>74</v>
      </c>
      <c r="N394" s="1" t="s">
        <v>74</v>
      </c>
      <c r="O394" s="1" t="s">
        <v>74</v>
      </c>
      <c r="P394" s="1" t="s">
        <v>74</v>
      </c>
      <c r="Q394" s="1" t="s">
        <v>74</v>
      </c>
      <c r="R394" s="1" t="s">
        <v>74</v>
      </c>
      <c r="S394" s="1" t="s">
        <v>74</v>
      </c>
      <c r="T394" s="1" t="s">
        <v>74</v>
      </c>
      <c r="U394" s="1" t="s">
        <v>74</v>
      </c>
      <c r="V394" s="1" t="s">
        <v>4136</v>
      </c>
      <c r="W394" s="1" t="s">
        <v>74</v>
      </c>
      <c r="X394" s="1" t="s">
        <v>74</v>
      </c>
      <c r="Y394" s="1" t="s">
        <v>74</v>
      </c>
      <c r="Z394" s="1" t="s">
        <v>74</v>
      </c>
      <c r="AA394" s="1" t="s">
        <v>74</v>
      </c>
      <c r="AB394" s="1" t="s">
        <v>74</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4137</v>
      </c>
      <c r="AP394" s="1" t="s">
        <v>74</v>
      </c>
      <c r="AQ394" s="1" t="s">
        <v>74</v>
      </c>
      <c r="AR394" s="1" t="s">
        <v>74</v>
      </c>
      <c r="AS394" s="1" t="s">
        <v>74</v>
      </c>
      <c r="AT394" s="1" t="s">
        <v>74</v>
      </c>
      <c r="AU394" s="1">
        <v>2021.0</v>
      </c>
      <c r="AV394" s="1">
        <v>13.0</v>
      </c>
      <c r="AW394" s="1" t="s">
        <v>74</v>
      </c>
      <c r="AX394" s="1" t="s">
        <v>74</v>
      </c>
      <c r="AY394" s="1" t="s">
        <v>178</v>
      </c>
      <c r="AZ394" s="1" t="s">
        <v>74</v>
      </c>
      <c r="BA394" s="1" t="s">
        <v>74</v>
      </c>
      <c r="BB394" s="1">
        <v>15.0</v>
      </c>
      <c r="BC394" s="1">
        <v>32.0</v>
      </c>
      <c r="BD394" s="1" t="s">
        <v>74</v>
      </c>
      <c r="BE394" s="1" t="s">
        <v>74</v>
      </c>
      <c r="BF394" s="1" t="s">
        <v>74</v>
      </c>
      <c r="BG394" s="1" t="s">
        <v>74</v>
      </c>
      <c r="BH394" s="1" t="s">
        <v>74</v>
      </c>
      <c r="BI394" s="1" t="s">
        <v>74</v>
      </c>
      <c r="BJ394" s="1" t="s">
        <v>74</v>
      </c>
      <c r="BK394" s="1" t="s">
        <v>74</v>
      </c>
      <c r="BL394" s="1" t="s">
        <v>74</v>
      </c>
      <c r="BM394" s="1" t="s">
        <v>74</v>
      </c>
      <c r="BN394" s="1" t="s">
        <v>74</v>
      </c>
      <c r="BO394" s="1" t="s">
        <v>74</v>
      </c>
      <c r="BP394" s="1" t="s">
        <v>74</v>
      </c>
      <c r="BQ394" s="1" t="s">
        <v>74</v>
      </c>
      <c r="BR394" s="1" t="s">
        <v>74</v>
      </c>
      <c r="BS394" s="1" t="s">
        <v>4138</v>
      </c>
      <c r="BT394" s="1" t="str">
        <f>HYPERLINK("https%3A%2F%2Fwww.webofscience.com%2Fwos%2Fwoscc%2Ffull-record%2FWOS:000709411800002","View Full Record in Web of Science")</f>
        <v>View Full Record in Web of Science</v>
      </c>
    </row>
    <row r="395" ht="12.75" customHeight="1">
      <c r="A395" s="1" t="s">
        <v>72</v>
      </c>
      <c r="B395" s="1" t="s">
        <v>4139</v>
      </c>
      <c r="C395" s="1" t="s">
        <v>74</v>
      </c>
      <c r="D395" s="1" t="s">
        <v>74</v>
      </c>
      <c r="E395" s="1" t="s">
        <v>74</v>
      </c>
      <c r="F395" s="1" t="s">
        <v>4140</v>
      </c>
      <c r="G395" s="1" t="s">
        <v>74</v>
      </c>
      <c r="H395" s="1" t="s">
        <v>74</v>
      </c>
      <c r="I395" s="1" t="s">
        <v>4141</v>
      </c>
      <c r="J395" s="1" t="s">
        <v>2402</v>
      </c>
      <c r="K395" s="1" t="s">
        <v>74</v>
      </c>
      <c r="L395" s="1" t="s">
        <v>74</v>
      </c>
      <c r="M395" s="1" t="s">
        <v>74</v>
      </c>
      <c r="N395" s="1" t="s">
        <v>74</v>
      </c>
      <c r="O395" s="1" t="s">
        <v>74</v>
      </c>
      <c r="P395" s="1" t="s">
        <v>74</v>
      </c>
      <c r="Q395" s="1" t="s">
        <v>74</v>
      </c>
      <c r="R395" s="1" t="s">
        <v>74</v>
      </c>
      <c r="S395" s="1" t="s">
        <v>74</v>
      </c>
      <c r="T395" s="1" t="s">
        <v>74</v>
      </c>
      <c r="U395" s="1" t="s">
        <v>74</v>
      </c>
      <c r="V395" s="1" t="s">
        <v>4142</v>
      </c>
      <c r="W395" s="1" t="s">
        <v>74</v>
      </c>
      <c r="X395" s="1" t="s">
        <v>74</v>
      </c>
      <c r="Y395" s="1" t="s">
        <v>74</v>
      </c>
      <c r="Z395" s="1" t="s">
        <v>74</v>
      </c>
      <c r="AA395" s="1" t="s">
        <v>4143</v>
      </c>
      <c r="AB395" s="1" t="s">
        <v>4144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74</v>
      </c>
      <c r="AP395" s="1" t="s">
        <v>2407</v>
      </c>
      <c r="AQ395" s="1" t="s">
        <v>74</v>
      </c>
      <c r="AR395" s="1" t="s">
        <v>74</v>
      </c>
      <c r="AS395" s="1" t="s">
        <v>74</v>
      </c>
      <c r="AT395" s="1" t="s">
        <v>94</v>
      </c>
      <c r="AU395" s="1">
        <v>2020.0</v>
      </c>
      <c r="AV395" s="1">
        <v>21.0</v>
      </c>
      <c r="AW395" s="1">
        <v>11.0</v>
      </c>
      <c r="AX395" s="1" t="s">
        <v>74</v>
      </c>
      <c r="AY395" s="1" t="s">
        <v>74</v>
      </c>
      <c r="AZ395" s="1" t="s">
        <v>74</v>
      </c>
      <c r="BA395" s="1" t="s">
        <v>74</v>
      </c>
      <c r="BB395" s="1" t="s">
        <v>74</v>
      </c>
      <c r="BC395" s="1" t="s">
        <v>74</v>
      </c>
      <c r="BD395" s="1">
        <v>3891.0</v>
      </c>
      <c r="BE395" s="1" t="s">
        <v>4145</v>
      </c>
      <c r="BF395" s="2" t="str">
        <f>HYPERLINK("http://dx.doi.org/10.3390/ijms21113891","http://dx.doi.org/10.3390/ijms21113891")</f>
        <v>http://dx.doi.org/10.3390/ijms21113891</v>
      </c>
      <c r="BG395" s="1" t="s">
        <v>74</v>
      </c>
      <c r="BH395" s="1" t="s">
        <v>74</v>
      </c>
      <c r="BI395" s="1" t="s">
        <v>74</v>
      </c>
      <c r="BJ395" s="1" t="s">
        <v>74</v>
      </c>
      <c r="BK395" s="1" t="s">
        <v>74</v>
      </c>
      <c r="BL395" s="1" t="s">
        <v>74</v>
      </c>
      <c r="BM395" s="1" t="s">
        <v>74</v>
      </c>
      <c r="BN395" s="1">
        <v>3.2485991E7</v>
      </c>
      <c r="BO395" s="1" t="s">
        <v>74</v>
      </c>
      <c r="BP395" s="1" t="s">
        <v>74</v>
      </c>
      <c r="BQ395" s="1" t="s">
        <v>74</v>
      </c>
      <c r="BR395" s="1" t="s">
        <v>74</v>
      </c>
      <c r="BS395" s="1" t="s">
        <v>4146</v>
      </c>
      <c r="BT395" s="1" t="str">
        <f>HYPERLINK("https%3A%2F%2Fwww.webofscience.com%2Fwos%2Fwoscc%2Ffull-record%2FWOS:000543400300153","View Full Record in Web of Science")</f>
        <v>View Full Record in Web of Science</v>
      </c>
    </row>
    <row r="396" ht="12.75" customHeight="1">
      <c r="A396" s="1" t="s">
        <v>72</v>
      </c>
      <c r="B396" s="1" t="s">
        <v>4147</v>
      </c>
      <c r="C396" s="1" t="s">
        <v>74</v>
      </c>
      <c r="D396" s="1" t="s">
        <v>74</v>
      </c>
      <c r="E396" s="1" t="s">
        <v>74</v>
      </c>
      <c r="F396" s="1" t="s">
        <v>4148</v>
      </c>
      <c r="G396" s="1" t="s">
        <v>74</v>
      </c>
      <c r="H396" s="1" t="s">
        <v>74</v>
      </c>
      <c r="I396" s="1" t="s">
        <v>4149</v>
      </c>
      <c r="J396" s="1" t="s">
        <v>4150</v>
      </c>
      <c r="K396" s="1" t="s">
        <v>74</v>
      </c>
      <c r="L396" s="1" t="s">
        <v>74</v>
      </c>
      <c r="M396" s="1" t="s">
        <v>74</v>
      </c>
      <c r="N396" s="1" t="s">
        <v>74</v>
      </c>
      <c r="O396" s="1" t="s">
        <v>74</v>
      </c>
      <c r="P396" s="1" t="s">
        <v>74</v>
      </c>
      <c r="Q396" s="1" t="s">
        <v>74</v>
      </c>
      <c r="R396" s="1" t="s">
        <v>74</v>
      </c>
      <c r="S396" s="1" t="s">
        <v>74</v>
      </c>
      <c r="T396" s="1" t="s">
        <v>74</v>
      </c>
      <c r="U396" s="1" t="s">
        <v>74</v>
      </c>
      <c r="V396" s="1" t="s">
        <v>4151</v>
      </c>
      <c r="W396" s="1" t="s">
        <v>74</v>
      </c>
      <c r="X396" s="1" t="s">
        <v>74</v>
      </c>
      <c r="Y396" s="1" t="s">
        <v>74</v>
      </c>
      <c r="Z396" s="1" t="s">
        <v>74</v>
      </c>
      <c r="AA396" s="1" t="s">
        <v>4152</v>
      </c>
      <c r="AB396" s="1" t="s">
        <v>4153</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4154</v>
      </c>
      <c r="AP396" s="1" t="s">
        <v>4155</v>
      </c>
      <c r="AQ396" s="1" t="s">
        <v>74</v>
      </c>
      <c r="AR396" s="1" t="s">
        <v>74</v>
      </c>
      <c r="AS396" s="1" t="s">
        <v>74</v>
      </c>
      <c r="AT396" s="1" t="s">
        <v>3327</v>
      </c>
      <c r="AU396" s="1">
        <v>2020.0</v>
      </c>
      <c r="AV396" s="1">
        <v>41.0</v>
      </c>
      <c r="AW396" s="1">
        <v>6.0</v>
      </c>
      <c r="AX396" s="1" t="s">
        <v>74</v>
      </c>
      <c r="AY396" s="1" t="s">
        <v>74</v>
      </c>
      <c r="AZ396" s="1" t="s">
        <v>74</v>
      </c>
      <c r="BA396" s="1" t="s">
        <v>74</v>
      </c>
      <c r="BB396" s="1">
        <v>1031.0</v>
      </c>
      <c r="BC396" s="1">
        <v>1036.0</v>
      </c>
      <c r="BD396" s="1" t="s">
        <v>74</v>
      </c>
      <c r="BE396" s="1" t="s">
        <v>4156</v>
      </c>
      <c r="BF396" s="2" t="str">
        <f>HYPERLINK("http://dx.doi.org/10.3174/ajnr.A6548","http://dx.doi.org/10.3174/ajnr.A6548")</f>
        <v>http://dx.doi.org/10.3174/ajnr.A6548</v>
      </c>
      <c r="BG396" s="1" t="s">
        <v>74</v>
      </c>
      <c r="BH396" s="1" t="s">
        <v>74</v>
      </c>
      <c r="BI396" s="1" t="s">
        <v>74</v>
      </c>
      <c r="BJ396" s="1" t="s">
        <v>74</v>
      </c>
      <c r="BK396" s="1" t="s">
        <v>74</v>
      </c>
      <c r="BL396" s="1" t="s">
        <v>74</v>
      </c>
      <c r="BM396" s="1" t="s">
        <v>74</v>
      </c>
      <c r="BN396" s="1">
        <v>3.246718E7</v>
      </c>
      <c r="BO396" s="1" t="s">
        <v>74</v>
      </c>
      <c r="BP396" s="1" t="s">
        <v>74</v>
      </c>
      <c r="BQ396" s="1" t="s">
        <v>74</v>
      </c>
      <c r="BR396" s="1" t="s">
        <v>74</v>
      </c>
      <c r="BS396" s="1" t="s">
        <v>4157</v>
      </c>
      <c r="BT396" s="1" t="str">
        <f>HYPERLINK("https%3A%2F%2Fwww.webofscience.com%2Fwos%2Fwoscc%2Ffull-record%2FWOS:000548058500024","View Full Record in Web of Science")</f>
        <v>View Full Record in Web of Science</v>
      </c>
    </row>
    <row r="397" ht="12.75" customHeight="1">
      <c r="A397" s="1" t="s">
        <v>72</v>
      </c>
      <c r="B397" s="1" t="s">
        <v>4158</v>
      </c>
      <c r="C397" s="1" t="s">
        <v>74</v>
      </c>
      <c r="D397" s="1" t="s">
        <v>74</v>
      </c>
      <c r="E397" s="1" t="s">
        <v>74</v>
      </c>
      <c r="F397" s="1" t="s">
        <v>4159</v>
      </c>
      <c r="G397" s="1" t="s">
        <v>74</v>
      </c>
      <c r="H397" s="1" t="s">
        <v>74</v>
      </c>
      <c r="I397" s="1" t="s">
        <v>4160</v>
      </c>
      <c r="J397" s="1" t="s">
        <v>4161</v>
      </c>
      <c r="K397" s="1" t="s">
        <v>74</v>
      </c>
      <c r="L397" s="1" t="s">
        <v>74</v>
      </c>
      <c r="M397" s="1" t="s">
        <v>74</v>
      </c>
      <c r="N397" s="1" t="s">
        <v>74</v>
      </c>
      <c r="O397" s="1" t="s">
        <v>74</v>
      </c>
      <c r="P397" s="1" t="s">
        <v>74</v>
      </c>
      <c r="Q397" s="1" t="s">
        <v>74</v>
      </c>
      <c r="R397" s="1" t="s">
        <v>74</v>
      </c>
      <c r="S397" s="1" t="s">
        <v>74</v>
      </c>
      <c r="T397" s="1" t="s">
        <v>74</v>
      </c>
      <c r="U397" s="1" t="s">
        <v>74</v>
      </c>
      <c r="V397" s="1" t="s">
        <v>4162</v>
      </c>
      <c r="W397" s="1" t="s">
        <v>74</v>
      </c>
      <c r="X397" s="1" t="s">
        <v>74</v>
      </c>
      <c r="Y397" s="1" t="s">
        <v>74</v>
      </c>
      <c r="Z397" s="1" t="s">
        <v>74</v>
      </c>
      <c r="AA397" s="1" t="s">
        <v>74</v>
      </c>
      <c r="AB397" s="1" t="s">
        <v>74</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4163</v>
      </c>
      <c r="AP397" s="1" t="s">
        <v>74</v>
      </c>
      <c r="AQ397" s="1" t="s">
        <v>74</v>
      </c>
      <c r="AR397" s="1" t="s">
        <v>74</v>
      </c>
      <c r="AS397" s="1" t="s">
        <v>74</v>
      </c>
      <c r="AT397" s="1" t="s">
        <v>1279</v>
      </c>
      <c r="AU397" s="1">
        <v>2020.0</v>
      </c>
      <c r="AV397" s="1" t="s">
        <v>74</v>
      </c>
      <c r="AW397" s="1">
        <v>104.0</v>
      </c>
      <c r="AX397" s="1" t="s">
        <v>74</v>
      </c>
      <c r="AY397" s="1" t="s">
        <v>74</v>
      </c>
      <c r="AZ397" s="1" t="s">
        <v>74</v>
      </c>
      <c r="BA397" s="1" t="s">
        <v>74</v>
      </c>
      <c r="BB397" s="1">
        <v>92.0</v>
      </c>
      <c r="BC397" s="1">
        <v>97.0</v>
      </c>
      <c r="BD397" s="1" t="s">
        <v>74</v>
      </c>
      <c r="BE397" s="1" t="s">
        <v>74</v>
      </c>
      <c r="BF397" s="1" t="s">
        <v>74</v>
      </c>
      <c r="BG397" s="1" t="s">
        <v>74</v>
      </c>
      <c r="BH397" s="1" t="s">
        <v>74</v>
      </c>
      <c r="BI397" s="1" t="s">
        <v>74</v>
      </c>
      <c r="BJ397" s="1" t="s">
        <v>74</v>
      </c>
      <c r="BK397" s="1" t="s">
        <v>74</v>
      </c>
      <c r="BL397" s="1" t="s">
        <v>74</v>
      </c>
      <c r="BM397" s="1" t="s">
        <v>74</v>
      </c>
      <c r="BN397" s="1" t="s">
        <v>74</v>
      </c>
      <c r="BO397" s="1" t="s">
        <v>74</v>
      </c>
      <c r="BP397" s="1" t="s">
        <v>74</v>
      </c>
      <c r="BQ397" s="1" t="s">
        <v>74</v>
      </c>
      <c r="BR397" s="1" t="s">
        <v>74</v>
      </c>
      <c r="BS397" s="1" t="s">
        <v>4164</v>
      </c>
      <c r="BT397" s="1" t="str">
        <f>HYPERLINK("https%3A%2F%2Fwww.webofscience.com%2Fwos%2Fwoscc%2Ffull-record%2FWOS:000531030500009","View Full Record in Web of Science")</f>
        <v>View Full Record in Web of Science</v>
      </c>
    </row>
    <row r="398" ht="12.75" customHeight="1">
      <c r="A398" s="1" t="s">
        <v>72</v>
      </c>
      <c r="B398" s="1" t="s">
        <v>4165</v>
      </c>
      <c r="C398" s="1" t="s">
        <v>74</v>
      </c>
      <c r="D398" s="1" t="s">
        <v>74</v>
      </c>
      <c r="E398" s="1" t="s">
        <v>74</v>
      </c>
      <c r="F398" s="1" t="s">
        <v>4166</v>
      </c>
      <c r="G398" s="1" t="s">
        <v>74</v>
      </c>
      <c r="H398" s="1" t="s">
        <v>74</v>
      </c>
      <c r="I398" s="1" t="s">
        <v>4167</v>
      </c>
      <c r="J398" s="1" t="s">
        <v>4168</v>
      </c>
      <c r="K398" s="1" t="s">
        <v>74</v>
      </c>
      <c r="L398" s="1" t="s">
        <v>74</v>
      </c>
      <c r="M398" s="1" t="s">
        <v>74</v>
      </c>
      <c r="N398" s="1" t="s">
        <v>74</v>
      </c>
      <c r="O398" s="1" t="s">
        <v>74</v>
      </c>
      <c r="P398" s="1" t="s">
        <v>74</v>
      </c>
      <c r="Q398" s="1" t="s">
        <v>74</v>
      </c>
      <c r="R398" s="1" t="s">
        <v>74</v>
      </c>
      <c r="S398" s="1" t="s">
        <v>74</v>
      </c>
      <c r="T398" s="1" t="s">
        <v>74</v>
      </c>
      <c r="U398" s="1" t="s">
        <v>74</v>
      </c>
      <c r="V398" s="1" t="s">
        <v>4169</v>
      </c>
      <c r="W398" s="1" t="s">
        <v>74</v>
      </c>
      <c r="X398" s="1" t="s">
        <v>74</v>
      </c>
      <c r="Y398" s="1" t="s">
        <v>74</v>
      </c>
      <c r="Z398" s="1" t="s">
        <v>74</v>
      </c>
      <c r="AA398" s="1" t="s">
        <v>4170</v>
      </c>
      <c r="AB398" s="1" t="s">
        <v>4171</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74</v>
      </c>
      <c r="AP398" s="1" t="s">
        <v>4172</v>
      </c>
      <c r="AQ398" s="1" t="s">
        <v>74</v>
      </c>
      <c r="AR398" s="1" t="s">
        <v>74</v>
      </c>
      <c r="AS398" s="1" t="s">
        <v>74</v>
      </c>
      <c r="AT398" s="1" t="s">
        <v>164</v>
      </c>
      <c r="AU398" s="1">
        <v>2019.0</v>
      </c>
      <c r="AV398" s="1">
        <v>9.0</v>
      </c>
      <c r="AW398" s="1">
        <v>12.0</v>
      </c>
      <c r="AX398" s="1" t="s">
        <v>74</v>
      </c>
      <c r="AY398" s="1" t="s">
        <v>74</v>
      </c>
      <c r="AZ398" s="1" t="s">
        <v>74</v>
      </c>
      <c r="BA398" s="1" t="s">
        <v>74</v>
      </c>
      <c r="BB398" s="1" t="s">
        <v>74</v>
      </c>
      <c r="BC398" s="1" t="s">
        <v>74</v>
      </c>
      <c r="BD398" s="1">
        <v>1056.0</v>
      </c>
      <c r="BE398" s="1" t="s">
        <v>4173</v>
      </c>
      <c r="BF398" s="2" t="str">
        <f>HYPERLINK("http://dx.doi.org/10.3390/catal9121056","http://dx.doi.org/10.3390/catal9121056")</f>
        <v>http://dx.doi.org/10.3390/catal9121056</v>
      </c>
      <c r="BG398" s="1" t="s">
        <v>74</v>
      </c>
      <c r="BH398" s="1" t="s">
        <v>74</v>
      </c>
      <c r="BI398" s="1" t="s">
        <v>74</v>
      </c>
      <c r="BJ398" s="1" t="s">
        <v>74</v>
      </c>
      <c r="BK398" s="1" t="s">
        <v>74</v>
      </c>
      <c r="BL398" s="1" t="s">
        <v>74</v>
      </c>
      <c r="BM398" s="1" t="s">
        <v>74</v>
      </c>
      <c r="BN398" s="1" t="s">
        <v>74</v>
      </c>
      <c r="BO398" s="1" t="s">
        <v>74</v>
      </c>
      <c r="BP398" s="1" t="s">
        <v>74</v>
      </c>
      <c r="BQ398" s="1" t="s">
        <v>74</v>
      </c>
      <c r="BR398" s="1" t="s">
        <v>74</v>
      </c>
      <c r="BS398" s="1" t="s">
        <v>4174</v>
      </c>
      <c r="BT398" s="1" t="str">
        <f>HYPERLINK("https%3A%2F%2Fwww.webofscience.com%2Fwos%2Fwoscc%2Ffull-record%2FWOS:000507336600085","View Full Record in Web of Science")</f>
        <v>View Full Record in Web of Science</v>
      </c>
    </row>
    <row r="399" ht="12.75" customHeight="1">
      <c r="A399" s="1" t="s">
        <v>72</v>
      </c>
      <c r="B399" s="1" t="s">
        <v>4175</v>
      </c>
      <c r="C399" s="1" t="s">
        <v>74</v>
      </c>
      <c r="D399" s="1" t="s">
        <v>74</v>
      </c>
      <c r="E399" s="1" t="s">
        <v>74</v>
      </c>
      <c r="F399" s="1" t="s">
        <v>4176</v>
      </c>
      <c r="G399" s="1" t="s">
        <v>74</v>
      </c>
      <c r="H399" s="1" t="s">
        <v>74</v>
      </c>
      <c r="I399" s="1" t="s">
        <v>4177</v>
      </c>
      <c r="J399" s="1" t="s">
        <v>4178</v>
      </c>
      <c r="K399" s="1" t="s">
        <v>74</v>
      </c>
      <c r="L399" s="1" t="s">
        <v>74</v>
      </c>
      <c r="M399" s="1" t="s">
        <v>74</v>
      </c>
      <c r="N399" s="1" t="s">
        <v>74</v>
      </c>
      <c r="O399" s="1" t="s">
        <v>74</v>
      </c>
      <c r="P399" s="1" t="s">
        <v>74</v>
      </c>
      <c r="Q399" s="1" t="s">
        <v>74</v>
      </c>
      <c r="R399" s="1" t="s">
        <v>74</v>
      </c>
      <c r="S399" s="1" t="s">
        <v>74</v>
      </c>
      <c r="T399" s="1" t="s">
        <v>74</v>
      </c>
      <c r="U399" s="1" t="s">
        <v>74</v>
      </c>
      <c r="V399" s="1" t="s">
        <v>4179</v>
      </c>
      <c r="W399" s="1" t="s">
        <v>74</v>
      </c>
      <c r="X399" s="1" t="s">
        <v>74</v>
      </c>
      <c r="Y399" s="1" t="s">
        <v>74</v>
      </c>
      <c r="Z399" s="1" t="s">
        <v>74</v>
      </c>
      <c r="AA399" s="1" t="s">
        <v>4180</v>
      </c>
      <c r="AB399" s="1" t="s">
        <v>4181</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4182</v>
      </c>
      <c r="AP399" s="1" t="s">
        <v>4183</v>
      </c>
      <c r="AQ399" s="1" t="s">
        <v>74</v>
      </c>
      <c r="AR399" s="1" t="s">
        <v>74</v>
      </c>
      <c r="AS399" s="1" t="s">
        <v>74</v>
      </c>
      <c r="AT399" s="1" t="s">
        <v>397</v>
      </c>
      <c r="AU399" s="1">
        <v>2018.0</v>
      </c>
      <c r="AV399" s="1">
        <v>222.0</v>
      </c>
      <c r="AW399" s="1" t="s">
        <v>74</v>
      </c>
      <c r="AX399" s="1" t="s">
        <v>74</v>
      </c>
      <c r="AY399" s="1" t="s">
        <v>74</v>
      </c>
      <c r="AZ399" s="1" t="s">
        <v>74</v>
      </c>
      <c r="BA399" s="1" t="s">
        <v>74</v>
      </c>
      <c r="BB399" s="1">
        <v>168.0</v>
      </c>
      <c r="BC399" s="1">
        <v>171.0</v>
      </c>
      <c r="BD399" s="1" t="s">
        <v>74</v>
      </c>
      <c r="BE399" s="1" t="s">
        <v>4184</v>
      </c>
      <c r="BF399" s="2" t="str">
        <f>HYPERLINK("http://dx.doi.org/10.1016/j.matlet.2018.03.163","http://dx.doi.org/10.1016/j.matlet.2018.03.163")</f>
        <v>http://dx.doi.org/10.1016/j.matlet.2018.03.163</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4185</v>
      </c>
      <c r="BT399" s="1" t="str">
        <f>HYPERLINK("https%3A%2F%2Fwww.webofscience.com%2Fwos%2Fwoscc%2Ffull-record%2FWOS:000429899800042","View Full Record in Web of Science")</f>
        <v>View Full Record in Web of Science</v>
      </c>
    </row>
    <row r="400" ht="12.75" customHeight="1">
      <c r="A400" s="1" t="s">
        <v>72</v>
      </c>
      <c r="B400" s="1" t="s">
        <v>4186</v>
      </c>
      <c r="C400" s="1" t="s">
        <v>74</v>
      </c>
      <c r="D400" s="1" t="s">
        <v>74</v>
      </c>
      <c r="E400" s="1" t="s">
        <v>74</v>
      </c>
      <c r="F400" s="1" t="s">
        <v>4187</v>
      </c>
      <c r="G400" s="1" t="s">
        <v>74</v>
      </c>
      <c r="H400" s="1" t="s">
        <v>74</v>
      </c>
      <c r="I400" s="1" t="s">
        <v>4188</v>
      </c>
      <c r="J400" s="1" t="s">
        <v>2083</v>
      </c>
      <c r="K400" s="1" t="s">
        <v>74</v>
      </c>
      <c r="L400" s="1" t="s">
        <v>74</v>
      </c>
      <c r="M400" s="1" t="s">
        <v>74</v>
      </c>
      <c r="N400" s="1" t="s">
        <v>74</v>
      </c>
      <c r="O400" s="1" t="s">
        <v>74</v>
      </c>
      <c r="P400" s="1" t="s">
        <v>74</v>
      </c>
      <c r="Q400" s="1" t="s">
        <v>74</v>
      </c>
      <c r="R400" s="1" t="s">
        <v>74</v>
      </c>
      <c r="S400" s="1" t="s">
        <v>74</v>
      </c>
      <c r="T400" s="1" t="s">
        <v>74</v>
      </c>
      <c r="U400" s="1" t="s">
        <v>74</v>
      </c>
      <c r="V400" s="1" t="s">
        <v>4189</v>
      </c>
      <c r="W400" s="1" t="s">
        <v>74</v>
      </c>
      <c r="X400" s="1" t="s">
        <v>74</v>
      </c>
      <c r="Y400" s="1" t="s">
        <v>74</v>
      </c>
      <c r="Z400" s="1" t="s">
        <v>74</v>
      </c>
      <c r="AA400" s="1" t="s">
        <v>4190</v>
      </c>
      <c r="AB400" s="1" t="s">
        <v>74</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2087</v>
      </c>
      <c r="AP400" s="1" t="s">
        <v>2088</v>
      </c>
      <c r="AQ400" s="1" t="s">
        <v>74</v>
      </c>
      <c r="AR400" s="1" t="s">
        <v>74</v>
      </c>
      <c r="AS400" s="1" t="s">
        <v>74</v>
      </c>
      <c r="AT400" s="1" t="s">
        <v>408</v>
      </c>
      <c r="AU400" s="1">
        <v>2018.0</v>
      </c>
      <c r="AV400" s="1">
        <v>36.0</v>
      </c>
      <c r="AW400" s="1">
        <v>1.0</v>
      </c>
      <c r="AX400" s="1" t="s">
        <v>74</v>
      </c>
      <c r="AY400" s="1" t="s">
        <v>74</v>
      </c>
      <c r="AZ400" s="1" t="s">
        <v>74</v>
      </c>
      <c r="BA400" s="1" t="s">
        <v>74</v>
      </c>
      <c r="BB400" s="1">
        <v>201.0</v>
      </c>
      <c r="BC400" s="1">
        <v>205.0</v>
      </c>
      <c r="BD400" s="1" t="s">
        <v>74</v>
      </c>
      <c r="BE400" s="1" t="s">
        <v>74</v>
      </c>
      <c r="BF400" s="1" t="s">
        <v>74</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4191</v>
      </c>
      <c r="BT400" s="1" t="str">
        <f>HYPERLINK("https%3A%2F%2Fwww.webofscience.com%2Fwos%2Fwoscc%2Ffull-record%2FWOS:000438813400034","View Full Record in Web of Science")</f>
        <v>View Full Record in Web of Science</v>
      </c>
    </row>
    <row r="401" ht="12.75" customHeight="1">
      <c r="A401" s="1" t="s">
        <v>72</v>
      </c>
      <c r="B401" s="1" t="s">
        <v>4192</v>
      </c>
      <c r="C401" s="1" t="s">
        <v>74</v>
      </c>
      <c r="D401" s="1" t="s">
        <v>74</v>
      </c>
      <c r="E401" s="1" t="s">
        <v>74</v>
      </c>
      <c r="F401" s="1" t="s">
        <v>4193</v>
      </c>
      <c r="G401" s="1" t="s">
        <v>74</v>
      </c>
      <c r="H401" s="1" t="s">
        <v>74</v>
      </c>
      <c r="I401" s="1" t="s">
        <v>4194</v>
      </c>
      <c r="J401" s="1" t="s">
        <v>4195</v>
      </c>
      <c r="K401" s="1" t="s">
        <v>74</v>
      </c>
      <c r="L401" s="1" t="s">
        <v>74</v>
      </c>
      <c r="M401" s="1" t="s">
        <v>74</v>
      </c>
      <c r="N401" s="1" t="s">
        <v>74</v>
      </c>
      <c r="O401" s="1" t="s">
        <v>74</v>
      </c>
      <c r="P401" s="1" t="s">
        <v>74</v>
      </c>
      <c r="Q401" s="1" t="s">
        <v>74</v>
      </c>
      <c r="R401" s="1" t="s">
        <v>74</v>
      </c>
      <c r="S401" s="1" t="s">
        <v>74</v>
      </c>
      <c r="T401" s="1" t="s">
        <v>74</v>
      </c>
      <c r="U401" s="1" t="s">
        <v>74</v>
      </c>
      <c r="V401" s="1" t="s">
        <v>4196</v>
      </c>
      <c r="W401" s="1" t="s">
        <v>74</v>
      </c>
      <c r="X401" s="1" t="s">
        <v>74</v>
      </c>
      <c r="Y401" s="1" t="s">
        <v>74</v>
      </c>
      <c r="Z401" s="1" t="s">
        <v>74</v>
      </c>
      <c r="AA401" s="1" t="s">
        <v>4197</v>
      </c>
      <c r="AB401" s="1" t="s">
        <v>4198</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4199</v>
      </c>
      <c r="AP401" s="1" t="s">
        <v>74</v>
      </c>
      <c r="AQ401" s="1" t="s">
        <v>74</v>
      </c>
      <c r="AR401" s="1" t="s">
        <v>74</v>
      </c>
      <c r="AS401" s="1" t="s">
        <v>74</v>
      </c>
      <c r="AT401" s="1" t="s">
        <v>1106</v>
      </c>
      <c r="AU401" s="1">
        <v>2018.0</v>
      </c>
      <c r="AV401" s="1">
        <v>8.0</v>
      </c>
      <c r="AW401" s="1">
        <v>1.0</v>
      </c>
      <c r="AX401" s="1" t="s">
        <v>74</v>
      </c>
      <c r="AY401" s="1" t="s">
        <v>74</v>
      </c>
      <c r="AZ401" s="1" t="s">
        <v>74</v>
      </c>
      <c r="BA401" s="1" t="s">
        <v>74</v>
      </c>
      <c r="BB401" s="1" t="s">
        <v>74</v>
      </c>
      <c r="BC401" s="1" t="s">
        <v>74</v>
      </c>
      <c r="BD401" s="1">
        <v>16.0</v>
      </c>
      <c r="BE401" s="1" t="s">
        <v>4200</v>
      </c>
      <c r="BF401" s="2" t="str">
        <f>HYPERLINK("http://dx.doi.org/10.3390/coatings8010016","http://dx.doi.org/10.3390/coatings8010016")</f>
        <v>http://dx.doi.org/10.3390/coatings8010016</v>
      </c>
      <c r="BG401" s="1" t="s">
        <v>74</v>
      </c>
      <c r="BH401" s="1" t="s">
        <v>74</v>
      </c>
      <c r="BI401" s="1" t="s">
        <v>74</v>
      </c>
      <c r="BJ401" s="1" t="s">
        <v>74</v>
      </c>
      <c r="BK401" s="1" t="s">
        <v>74</v>
      </c>
      <c r="BL401" s="1" t="s">
        <v>74</v>
      </c>
      <c r="BM401" s="1" t="s">
        <v>74</v>
      </c>
      <c r="BN401" s="1" t="s">
        <v>74</v>
      </c>
      <c r="BO401" s="1" t="s">
        <v>74</v>
      </c>
      <c r="BP401" s="1" t="s">
        <v>74</v>
      </c>
      <c r="BQ401" s="1" t="s">
        <v>74</v>
      </c>
      <c r="BR401" s="1" t="s">
        <v>74</v>
      </c>
      <c r="BS401" s="1" t="s">
        <v>4201</v>
      </c>
      <c r="BT401" s="1" t="str">
        <f>HYPERLINK("https%3A%2F%2Fwww.webofscience.com%2Fwos%2Fwoscc%2Ffull-record%2FWOS:000424107200016","View Full Record in Web of Science")</f>
        <v>View Full Record in Web of Science</v>
      </c>
    </row>
    <row r="402" ht="12.75" customHeight="1">
      <c r="A402" s="1" t="s">
        <v>207</v>
      </c>
      <c r="B402" s="1" t="s">
        <v>4202</v>
      </c>
      <c r="C402" s="1" t="s">
        <v>74</v>
      </c>
      <c r="D402" s="1" t="s">
        <v>4203</v>
      </c>
      <c r="E402" s="1" t="s">
        <v>74</v>
      </c>
      <c r="F402" s="1" t="s">
        <v>4204</v>
      </c>
      <c r="G402" s="1" t="s">
        <v>74</v>
      </c>
      <c r="H402" s="1" t="s">
        <v>74</v>
      </c>
      <c r="I402" s="1" t="s">
        <v>4205</v>
      </c>
      <c r="J402" s="1" t="s">
        <v>4206</v>
      </c>
      <c r="K402" s="1" t="s">
        <v>213</v>
      </c>
      <c r="L402" s="1" t="s">
        <v>74</v>
      </c>
      <c r="M402" s="1" t="s">
        <v>74</v>
      </c>
      <c r="N402" s="1" t="s">
        <v>74</v>
      </c>
      <c r="O402" s="1" t="s">
        <v>4207</v>
      </c>
      <c r="P402" s="1" t="s">
        <v>4208</v>
      </c>
      <c r="Q402" s="1" t="s">
        <v>4209</v>
      </c>
      <c r="R402" s="1" t="s">
        <v>4210</v>
      </c>
      <c r="S402" s="1" t="s">
        <v>74</v>
      </c>
      <c r="T402" s="1" t="s">
        <v>74</v>
      </c>
      <c r="U402" s="1" t="s">
        <v>74</v>
      </c>
      <c r="V402" s="1" t="s">
        <v>4211</v>
      </c>
      <c r="W402" s="1" t="s">
        <v>74</v>
      </c>
      <c r="X402" s="1" t="s">
        <v>74</v>
      </c>
      <c r="Y402" s="1" t="s">
        <v>74</v>
      </c>
      <c r="Z402" s="1" t="s">
        <v>74</v>
      </c>
      <c r="AA402" s="1" t="s">
        <v>4212</v>
      </c>
      <c r="AB402" s="1" t="s">
        <v>4213</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220</v>
      </c>
      <c r="AP402" s="1" t="s">
        <v>74</v>
      </c>
      <c r="AQ402" s="1" t="s">
        <v>74</v>
      </c>
      <c r="AR402" s="1" t="s">
        <v>74</v>
      </c>
      <c r="AS402" s="1" t="s">
        <v>74</v>
      </c>
      <c r="AT402" s="1" t="s">
        <v>74</v>
      </c>
      <c r="AU402" s="1">
        <v>2018.0</v>
      </c>
      <c r="AV402" s="1">
        <v>139.0</v>
      </c>
      <c r="AW402" s="1" t="s">
        <v>74</v>
      </c>
      <c r="AX402" s="1" t="s">
        <v>74</v>
      </c>
      <c r="AY402" s="1" t="s">
        <v>74</v>
      </c>
      <c r="AZ402" s="1" t="s">
        <v>74</v>
      </c>
      <c r="BA402" s="1" t="s">
        <v>74</v>
      </c>
      <c r="BB402" s="1">
        <v>424.0</v>
      </c>
      <c r="BC402" s="1">
        <v>431.0</v>
      </c>
      <c r="BD402" s="1" t="s">
        <v>74</v>
      </c>
      <c r="BE402" s="1" t="s">
        <v>4214</v>
      </c>
      <c r="BF402" s="2" t="str">
        <f>HYPERLINK("http://dx.doi.org/10.1016/j.procs.2018.10.260","http://dx.doi.org/10.1016/j.procs.2018.10.260")</f>
        <v>http://dx.doi.org/10.1016/j.procs.2018.10.260</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4215</v>
      </c>
      <c r="BT402" s="1" t="str">
        <f>HYPERLINK("https%3A%2F%2Fwww.webofscience.com%2Fwos%2Fwoscc%2Ffull-record%2FWOS:000471259200057","View Full Record in Web of Science")</f>
        <v>View Full Record in Web of Science</v>
      </c>
    </row>
    <row r="403" ht="12.75" customHeight="1">
      <c r="A403" s="1" t="s">
        <v>72</v>
      </c>
      <c r="B403" s="1" t="s">
        <v>4216</v>
      </c>
      <c r="C403" s="1" t="s">
        <v>74</v>
      </c>
      <c r="D403" s="1" t="s">
        <v>74</v>
      </c>
      <c r="E403" s="1" t="s">
        <v>74</v>
      </c>
      <c r="F403" s="1" t="s">
        <v>4217</v>
      </c>
      <c r="G403" s="1" t="s">
        <v>74</v>
      </c>
      <c r="H403" s="1" t="s">
        <v>74</v>
      </c>
      <c r="I403" s="1" t="s">
        <v>4218</v>
      </c>
      <c r="J403" s="1" t="s">
        <v>1073</v>
      </c>
      <c r="K403" s="1" t="s">
        <v>74</v>
      </c>
      <c r="L403" s="1" t="s">
        <v>74</v>
      </c>
      <c r="M403" s="1" t="s">
        <v>74</v>
      </c>
      <c r="N403" s="1" t="s">
        <v>74</v>
      </c>
      <c r="O403" s="1" t="s">
        <v>74</v>
      </c>
      <c r="P403" s="1" t="s">
        <v>74</v>
      </c>
      <c r="Q403" s="1" t="s">
        <v>74</v>
      </c>
      <c r="R403" s="1" t="s">
        <v>74</v>
      </c>
      <c r="S403" s="1" t="s">
        <v>74</v>
      </c>
      <c r="T403" s="1" t="s">
        <v>74</v>
      </c>
      <c r="U403" s="1" t="s">
        <v>74</v>
      </c>
      <c r="V403" s="1" t="s">
        <v>4219</v>
      </c>
      <c r="W403" s="1" t="s">
        <v>74</v>
      </c>
      <c r="X403" s="1" t="s">
        <v>74</v>
      </c>
      <c r="Y403" s="1" t="s">
        <v>74</v>
      </c>
      <c r="Z403" s="1" t="s">
        <v>74</v>
      </c>
      <c r="AA403" s="1" t="s">
        <v>4220</v>
      </c>
      <c r="AB403" s="1" t="s">
        <v>4221</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1076</v>
      </c>
      <c r="AP403" s="1" t="s">
        <v>4222</v>
      </c>
      <c r="AQ403" s="1" t="s">
        <v>74</v>
      </c>
      <c r="AR403" s="1" t="s">
        <v>74</v>
      </c>
      <c r="AS403" s="1" t="s">
        <v>74</v>
      </c>
      <c r="AT403" s="1" t="s">
        <v>4223</v>
      </c>
      <c r="AU403" s="1">
        <v>2017.0</v>
      </c>
      <c r="AV403" s="1">
        <v>137.0</v>
      </c>
      <c r="AW403" s="1" t="s">
        <v>74</v>
      </c>
      <c r="AX403" s="1" t="s">
        <v>74</v>
      </c>
      <c r="AY403" s="1" t="s">
        <v>74</v>
      </c>
      <c r="AZ403" s="1" t="s">
        <v>74</v>
      </c>
      <c r="BA403" s="1" t="s">
        <v>74</v>
      </c>
      <c r="BB403" s="1">
        <v>222.0</v>
      </c>
      <c r="BC403" s="1">
        <v>230.0</v>
      </c>
      <c r="BD403" s="1" t="s">
        <v>74</v>
      </c>
      <c r="BE403" s="1" t="s">
        <v>4224</v>
      </c>
      <c r="BF403" s="2" t="str">
        <f>HYPERLINK("http://dx.doi.org/10.1016/j.poly.2017.08.018","http://dx.doi.org/10.1016/j.poly.2017.08.018")</f>
        <v>http://dx.doi.org/10.1016/j.poly.2017.08.018</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4225</v>
      </c>
      <c r="BT403" s="1" t="str">
        <f>HYPERLINK("https%3A%2F%2Fwww.webofscience.com%2Fwos%2Fwoscc%2Ffull-record%2FWOS:000414881700027","View Full Record in Web of Science")</f>
        <v>View Full Record in Web of Science</v>
      </c>
    </row>
    <row r="404" ht="12.75" customHeight="1">
      <c r="A404" s="1" t="s">
        <v>72</v>
      </c>
      <c r="B404" s="1" t="s">
        <v>4226</v>
      </c>
      <c r="C404" s="1" t="s">
        <v>74</v>
      </c>
      <c r="D404" s="1" t="s">
        <v>74</v>
      </c>
      <c r="E404" s="1" t="s">
        <v>74</v>
      </c>
      <c r="F404" s="1" t="s">
        <v>4227</v>
      </c>
      <c r="G404" s="1" t="s">
        <v>74</v>
      </c>
      <c r="H404" s="1" t="s">
        <v>74</v>
      </c>
      <c r="I404" s="1" t="s">
        <v>4228</v>
      </c>
      <c r="J404" s="1" t="s">
        <v>4229</v>
      </c>
      <c r="K404" s="1" t="s">
        <v>74</v>
      </c>
      <c r="L404" s="1" t="s">
        <v>74</v>
      </c>
      <c r="M404" s="1" t="s">
        <v>74</v>
      </c>
      <c r="N404" s="1" t="s">
        <v>74</v>
      </c>
      <c r="O404" s="1" t="s">
        <v>74</v>
      </c>
      <c r="P404" s="1" t="s">
        <v>74</v>
      </c>
      <c r="Q404" s="1" t="s">
        <v>74</v>
      </c>
      <c r="R404" s="1" t="s">
        <v>74</v>
      </c>
      <c r="S404" s="1" t="s">
        <v>74</v>
      </c>
      <c r="T404" s="1" t="s">
        <v>74</v>
      </c>
      <c r="U404" s="1" t="s">
        <v>74</v>
      </c>
      <c r="V404" s="1" t="s">
        <v>4230</v>
      </c>
      <c r="W404" s="1" t="s">
        <v>74</v>
      </c>
      <c r="X404" s="1" t="s">
        <v>74</v>
      </c>
      <c r="Y404" s="1" t="s">
        <v>74</v>
      </c>
      <c r="Z404" s="1" t="s">
        <v>74</v>
      </c>
      <c r="AA404" s="1" t="s">
        <v>4231</v>
      </c>
      <c r="AB404" s="1" t="s">
        <v>74</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4232</v>
      </c>
      <c r="AP404" s="1" t="s">
        <v>4233</v>
      </c>
      <c r="AQ404" s="1" t="s">
        <v>74</v>
      </c>
      <c r="AR404" s="1" t="s">
        <v>74</v>
      </c>
      <c r="AS404" s="1" t="s">
        <v>74</v>
      </c>
      <c r="AT404" s="1" t="s">
        <v>259</v>
      </c>
      <c r="AU404" s="1">
        <v>2017.0</v>
      </c>
      <c r="AV404" s="1">
        <v>302.0</v>
      </c>
      <c r="AW404" s="1" t="s">
        <v>74</v>
      </c>
      <c r="AX404" s="1" t="s">
        <v>74</v>
      </c>
      <c r="AY404" s="1" t="s">
        <v>74</v>
      </c>
      <c r="AZ404" s="1" t="s">
        <v>74</v>
      </c>
      <c r="BA404" s="1" t="s">
        <v>74</v>
      </c>
      <c r="BB404" s="1">
        <v>76.0</v>
      </c>
      <c r="BC404" s="1">
        <v>88.0</v>
      </c>
      <c r="BD404" s="1" t="s">
        <v>74</v>
      </c>
      <c r="BE404" s="1" t="s">
        <v>4234</v>
      </c>
      <c r="BF404" s="2" t="str">
        <f>HYPERLINK("http://dx.doi.org/10.1016/j.geoderma.2017.04.023","http://dx.doi.org/10.1016/j.geoderma.2017.04.023")</f>
        <v>http://dx.doi.org/10.1016/j.geoderma.2017.04.023</v>
      </c>
      <c r="BG404" s="1" t="s">
        <v>74</v>
      </c>
      <c r="BH404" s="1" t="s">
        <v>74</v>
      </c>
      <c r="BI404" s="1" t="s">
        <v>74</v>
      </c>
      <c r="BJ404" s="1" t="s">
        <v>74</v>
      </c>
      <c r="BK404" s="1" t="s">
        <v>74</v>
      </c>
      <c r="BL404" s="1" t="s">
        <v>74</v>
      </c>
      <c r="BM404" s="1" t="s">
        <v>74</v>
      </c>
      <c r="BN404" s="1" t="s">
        <v>74</v>
      </c>
      <c r="BO404" s="1" t="s">
        <v>74</v>
      </c>
      <c r="BP404" s="1" t="s">
        <v>74</v>
      </c>
      <c r="BQ404" s="1" t="s">
        <v>74</v>
      </c>
      <c r="BR404" s="1" t="s">
        <v>74</v>
      </c>
      <c r="BS404" s="1" t="s">
        <v>4235</v>
      </c>
      <c r="BT404" s="1" t="str">
        <f>HYPERLINK("https%3A%2F%2Fwww.webofscience.com%2Fwos%2Fwoscc%2Ffull-record%2FWOS:000403522800008","View Full Record in Web of Science")</f>
        <v>View Full Record in Web of Science</v>
      </c>
    </row>
    <row r="405" ht="12.75" customHeight="1">
      <c r="A405" s="1" t="s">
        <v>72</v>
      </c>
      <c r="B405" s="1" t="s">
        <v>4236</v>
      </c>
      <c r="C405" s="1" t="s">
        <v>74</v>
      </c>
      <c r="D405" s="1" t="s">
        <v>74</v>
      </c>
      <c r="E405" s="1" t="s">
        <v>74</v>
      </c>
      <c r="F405" s="1" t="s">
        <v>4237</v>
      </c>
      <c r="G405" s="1" t="s">
        <v>74</v>
      </c>
      <c r="H405" s="1" t="s">
        <v>74</v>
      </c>
      <c r="I405" s="1" t="s">
        <v>4238</v>
      </c>
      <c r="J405" s="1" t="s">
        <v>4239</v>
      </c>
      <c r="K405" s="1" t="s">
        <v>74</v>
      </c>
      <c r="L405" s="1" t="s">
        <v>74</v>
      </c>
      <c r="M405" s="1" t="s">
        <v>74</v>
      </c>
      <c r="N405" s="1" t="s">
        <v>74</v>
      </c>
      <c r="O405" s="1" t="s">
        <v>74</v>
      </c>
      <c r="P405" s="1" t="s">
        <v>74</v>
      </c>
      <c r="Q405" s="1" t="s">
        <v>74</v>
      </c>
      <c r="R405" s="1" t="s">
        <v>74</v>
      </c>
      <c r="S405" s="1" t="s">
        <v>74</v>
      </c>
      <c r="T405" s="1" t="s">
        <v>74</v>
      </c>
      <c r="U405" s="1" t="s">
        <v>74</v>
      </c>
      <c r="V405" s="1" t="s">
        <v>4240</v>
      </c>
      <c r="W405" s="1" t="s">
        <v>74</v>
      </c>
      <c r="X405" s="1" t="s">
        <v>74</v>
      </c>
      <c r="Y405" s="1" t="s">
        <v>74</v>
      </c>
      <c r="Z405" s="1" t="s">
        <v>74</v>
      </c>
      <c r="AA405" s="1" t="s">
        <v>4241</v>
      </c>
      <c r="AB405" s="1" t="s">
        <v>4242</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4243</v>
      </c>
      <c r="AP405" s="1" t="s">
        <v>4244</v>
      </c>
      <c r="AQ405" s="1" t="s">
        <v>74</v>
      </c>
      <c r="AR405" s="1" t="s">
        <v>74</v>
      </c>
      <c r="AS405" s="1" t="s">
        <v>74</v>
      </c>
      <c r="AT405" s="1" t="s">
        <v>408</v>
      </c>
      <c r="AU405" s="1">
        <v>2017.0</v>
      </c>
      <c r="AV405" s="1">
        <v>96.0</v>
      </c>
      <c r="AW405" s="1">
        <v>12.0</v>
      </c>
      <c r="AX405" s="1" t="s">
        <v>74</v>
      </c>
      <c r="AY405" s="1" t="s">
        <v>74</v>
      </c>
      <c r="AZ405" s="1" t="s">
        <v>74</v>
      </c>
      <c r="BA405" s="1" t="s">
        <v>74</v>
      </c>
      <c r="BB405" s="1" t="s">
        <v>74</v>
      </c>
      <c r="BC405" s="1" t="s">
        <v>74</v>
      </c>
      <c r="BD405" s="1" t="s">
        <v>4245</v>
      </c>
      <c r="BE405" s="1" t="s">
        <v>4246</v>
      </c>
      <c r="BF405" s="2" t="str">
        <f>HYPERLINK("http://dx.doi.org/10.1097/MD.0000000000006407","http://dx.doi.org/10.1097/MD.0000000000006407")</f>
        <v>http://dx.doi.org/10.1097/MD.0000000000006407</v>
      </c>
      <c r="BG405" s="1" t="s">
        <v>74</v>
      </c>
      <c r="BH405" s="1" t="s">
        <v>74</v>
      </c>
      <c r="BI405" s="1" t="s">
        <v>74</v>
      </c>
      <c r="BJ405" s="1" t="s">
        <v>74</v>
      </c>
      <c r="BK405" s="1" t="s">
        <v>74</v>
      </c>
      <c r="BL405" s="1" t="s">
        <v>74</v>
      </c>
      <c r="BM405" s="1" t="s">
        <v>74</v>
      </c>
      <c r="BN405" s="1">
        <v>2.8328839E7</v>
      </c>
      <c r="BO405" s="1" t="s">
        <v>74</v>
      </c>
      <c r="BP405" s="1" t="s">
        <v>74</v>
      </c>
      <c r="BQ405" s="1" t="s">
        <v>74</v>
      </c>
      <c r="BR405" s="1" t="s">
        <v>74</v>
      </c>
      <c r="BS405" s="1" t="s">
        <v>4247</v>
      </c>
      <c r="BT405" s="1" t="str">
        <f>HYPERLINK("https%3A%2F%2Fwww.webofscience.com%2Fwos%2Fwoscc%2Ffull-record%2FWOS:000397619800042","View Full Record in Web of Science")</f>
        <v>View Full Record in Web of Science</v>
      </c>
    </row>
    <row r="406" ht="12.75" customHeight="1">
      <c r="A406" s="1" t="s">
        <v>207</v>
      </c>
      <c r="B406" s="1" t="s">
        <v>4248</v>
      </c>
      <c r="C406" s="1" t="s">
        <v>74</v>
      </c>
      <c r="D406" s="1" t="s">
        <v>74</v>
      </c>
      <c r="E406" s="1" t="s">
        <v>224</v>
      </c>
      <c r="F406" s="1" t="s">
        <v>4249</v>
      </c>
      <c r="G406" s="1" t="s">
        <v>74</v>
      </c>
      <c r="H406" s="1" t="s">
        <v>74</v>
      </c>
      <c r="I406" s="1" t="s">
        <v>4250</v>
      </c>
      <c r="J406" s="1" t="s">
        <v>4251</v>
      </c>
      <c r="K406" s="1" t="s">
        <v>4252</v>
      </c>
      <c r="L406" s="1" t="s">
        <v>74</v>
      </c>
      <c r="M406" s="1" t="s">
        <v>74</v>
      </c>
      <c r="N406" s="1" t="s">
        <v>74</v>
      </c>
      <c r="O406" s="1" t="s">
        <v>4253</v>
      </c>
      <c r="P406" s="1" t="s">
        <v>4254</v>
      </c>
      <c r="Q406" s="1" t="s">
        <v>4255</v>
      </c>
      <c r="R406" s="1" t="s">
        <v>74</v>
      </c>
      <c r="S406" s="1" t="s">
        <v>74</v>
      </c>
      <c r="T406" s="1" t="s">
        <v>74</v>
      </c>
      <c r="U406" s="1" t="s">
        <v>74</v>
      </c>
      <c r="V406" s="1" t="s">
        <v>4256</v>
      </c>
      <c r="W406" s="1" t="s">
        <v>74</v>
      </c>
      <c r="X406" s="1" t="s">
        <v>74</v>
      </c>
      <c r="Y406" s="1" t="s">
        <v>74</v>
      </c>
      <c r="Z406" s="1" t="s">
        <v>74</v>
      </c>
      <c r="AA406" s="1" t="s">
        <v>4257</v>
      </c>
      <c r="AB406" s="1" t="s">
        <v>3251</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4258</v>
      </c>
      <c r="AP406" s="1" t="s">
        <v>74</v>
      </c>
      <c r="AQ406" s="1" t="s">
        <v>4259</v>
      </c>
      <c r="AR406" s="1" t="s">
        <v>74</v>
      </c>
      <c r="AS406" s="1" t="s">
        <v>74</v>
      </c>
      <c r="AT406" s="1" t="s">
        <v>74</v>
      </c>
      <c r="AU406" s="1">
        <v>2017.0</v>
      </c>
      <c r="AV406" s="1" t="s">
        <v>74</v>
      </c>
      <c r="AW406" s="1" t="s">
        <v>74</v>
      </c>
      <c r="AX406" s="1" t="s">
        <v>74</v>
      </c>
      <c r="AY406" s="1" t="s">
        <v>74</v>
      </c>
      <c r="AZ406" s="1" t="s">
        <v>74</v>
      </c>
      <c r="BA406" s="1" t="s">
        <v>74</v>
      </c>
      <c r="BB406" s="1">
        <v>1835.0</v>
      </c>
      <c r="BC406" s="1">
        <v>1840.0</v>
      </c>
      <c r="BD406" s="1" t="s">
        <v>74</v>
      </c>
      <c r="BE406" s="1" t="s">
        <v>74</v>
      </c>
      <c r="BF406" s="1" t="s">
        <v>74</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4260</v>
      </c>
      <c r="BT406" s="1" t="str">
        <f>HYPERLINK("https%3A%2F%2Fwww.webofscience.com%2Fwos%2Fwoscc%2Ffull-record%2FWOS:000426957300321","View Full Record in Web of Science")</f>
        <v>View Full Record in Web of Science</v>
      </c>
    </row>
    <row r="407" ht="12.75" customHeight="1">
      <c r="A407" s="1" t="s">
        <v>72</v>
      </c>
      <c r="B407" s="1" t="s">
        <v>4261</v>
      </c>
      <c r="C407" s="1" t="s">
        <v>74</v>
      </c>
      <c r="D407" s="1" t="s">
        <v>74</v>
      </c>
      <c r="E407" s="1" t="s">
        <v>74</v>
      </c>
      <c r="F407" s="1" t="s">
        <v>4262</v>
      </c>
      <c r="G407" s="1" t="s">
        <v>74</v>
      </c>
      <c r="H407" s="1" t="s">
        <v>74</v>
      </c>
      <c r="I407" s="1" t="s">
        <v>4263</v>
      </c>
      <c r="J407" s="1" t="s">
        <v>4264</v>
      </c>
      <c r="K407" s="1" t="s">
        <v>74</v>
      </c>
      <c r="L407" s="1" t="s">
        <v>74</v>
      </c>
      <c r="M407" s="1" t="s">
        <v>74</v>
      </c>
      <c r="N407" s="1" t="s">
        <v>74</v>
      </c>
      <c r="O407" s="1" t="s">
        <v>74</v>
      </c>
      <c r="P407" s="1" t="s">
        <v>74</v>
      </c>
      <c r="Q407" s="1" t="s">
        <v>74</v>
      </c>
      <c r="R407" s="1" t="s">
        <v>74</v>
      </c>
      <c r="S407" s="1" t="s">
        <v>74</v>
      </c>
      <c r="T407" s="1" t="s">
        <v>74</v>
      </c>
      <c r="U407" s="1" t="s">
        <v>74</v>
      </c>
      <c r="V407" s="1" t="s">
        <v>4265</v>
      </c>
      <c r="W407" s="1" t="s">
        <v>74</v>
      </c>
      <c r="X407" s="1" t="s">
        <v>74</v>
      </c>
      <c r="Y407" s="1" t="s">
        <v>74</v>
      </c>
      <c r="Z407" s="1" t="s">
        <v>74</v>
      </c>
      <c r="AA407" s="1" t="s">
        <v>4266</v>
      </c>
      <c r="AB407" s="1" t="s">
        <v>4267</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4268</v>
      </c>
      <c r="AP407" s="1" t="s">
        <v>4269</v>
      </c>
      <c r="AQ407" s="1" t="s">
        <v>74</v>
      </c>
      <c r="AR407" s="1" t="s">
        <v>74</v>
      </c>
      <c r="AS407" s="1" t="s">
        <v>74</v>
      </c>
      <c r="AT407" s="1" t="s">
        <v>74</v>
      </c>
      <c r="AU407" s="1">
        <v>2016.0</v>
      </c>
      <c r="AV407" s="1">
        <v>21.0</v>
      </c>
      <c r="AW407" s="1">
        <v>1.0</v>
      </c>
      <c r="AX407" s="1" t="s">
        <v>74</v>
      </c>
      <c r="AY407" s="1" t="s">
        <v>74</v>
      </c>
      <c r="AZ407" s="1" t="s">
        <v>74</v>
      </c>
      <c r="BA407" s="1" t="s">
        <v>74</v>
      </c>
      <c r="BB407" s="1">
        <v>121.0</v>
      </c>
      <c r="BC407" s="1">
        <v>138.0</v>
      </c>
      <c r="BD407" s="1" t="s">
        <v>74</v>
      </c>
      <c r="BE407" s="1" t="s">
        <v>4270</v>
      </c>
      <c r="BF407" s="2" t="str">
        <f>HYPERLINK("http://dx.doi.org/10.1387/RevPsicodidact.13866","http://dx.doi.org/10.1387/RevPsicodidact.13866")</f>
        <v>http://dx.doi.org/10.1387/RevPsicodidact.13866</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4271</v>
      </c>
      <c r="BT407" s="1" t="str">
        <f>HYPERLINK("https%3A%2F%2Fwww.webofscience.com%2Fwos%2Fwoscc%2Ffull-record%2FWOS:000369211400007","View Full Record in Web of Science")</f>
        <v>View Full Record in Web of Science</v>
      </c>
    </row>
    <row r="408" ht="12.75" customHeight="1">
      <c r="A408" s="1" t="s">
        <v>72</v>
      </c>
      <c r="B408" s="1" t="s">
        <v>4272</v>
      </c>
      <c r="C408" s="1" t="s">
        <v>74</v>
      </c>
      <c r="D408" s="1" t="s">
        <v>74</v>
      </c>
      <c r="E408" s="1" t="s">
        <v>74</v>
      </c>
      <c r="F408" s="1" t="s">
        <v>4273</v>
      </c>
      <c r="G408" s="1" t="s">
        <v>74</v>
      </c>
      <c r="H408" s="1" t="s">
        <v>74</v>
      </c>
      <c r="I408" s="1" t="s">
        <v>4274</v>
      </c>
      <c r="J408" s="1" t="s">
        <v>4275</v>
      </c>
      <c r="K408" s="1" t="s">
        <v>74</v>
      </c>
      <c r="L408" s="1" t="s">
        <v>74</v>
      </c>
      <c r="M408" s="1" t="s">
        <v>74</v>
      </c>
      <c r="N408" s="1" t="s">
        <v>74</v>
      </c>
      <c r="O408" s="1" t="s">
        <v>4276</v>
      </c>
      <c r="P408" s="1" t="s">
        <v>4277</v>
      </c>
      <c r="Q408" s="1" t="s">
        <v>4278</v>
      </c>
      <c r="R408" s="1" t="s">
        <v>224</v>
      </c>
      <c r="S408" s="1" t="s">
        <v>74</v>
      </c>
      <c r="T408" s="1" t="s">
        <v>74</v>
      </c>
      <c r="U408" s="1" t="s">
        <v>74</v>
      </c>
      <c r="V408" s="1" t="s">
        <v>4279</v>
      </c>
      <c r="W408" s="1" t="s">
        <v>74</v>
      </c>
      <c r="X408" s="1" t="s">
        <v>74</v>
      </c>
      <c r="Y408" s="1" t="s">
        <v>74</v>
      </c>
      <c r="Z408" s="1" t="s">
        <v>74</v>
      </c>
      <c r="AA408" s="1" t="s">
        <v>4280</v>
      </c>
      <c r="AB408" s="1" t="s">
        <v>4281</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4282</v>
      </c>
      <c r="AP408" s="1" t="s">
        <v>4283</v>
      </c>
      <c r="AQ408" s="1" t="s">
        <v>74</v>
      </c>
      <c r="AR408" s="1" t="s">
        <v>74</v>
      </c>
      <c r="AS408" s="1" t="s">
        <v>74</v>
      </c>
      <c r="AT408" s="1" t="s">
        <v>374</v>
      </c>
      <c r="AU408" s="1">
        <v>2014.0</v>
      </c>
      <c r="AV408" s="1">
        <v>50.0</v>
      </c>
      <c r="AW408" s="1">
        <v>11.0</v>
      </c>
      <c r="AX408" s="1" t="s">
        <v>74</v>
      </c>
      <c r="AY408" s="1" t="s">
        <v>74</v>
      </c>
      <c r="AZ408" s="1" t="s">
        <v>74</v>
      </c>
      <c r="BA408" s="1" t="s">
        <v>74</v>
      </c>
      <c r="BB408" s="1" t="s">
        <v>74</v>
      </c>
      <c r="BC408" s="1" t="s">
        <v>74</v>
      </c>
      <c r="BD408" s="1">
        <v>2302804.0</v>
      </c>
      <c r="BE408" s="1" t="s">
        <v>4284</v>
      </c>
      <c r="BF408" s="2" t="str">
        <f>HYPERLINK("http://dx.doi.org/10.1109/TMAG.2014.2331973","http://dx.doi.org/10.1109/TMAG.2014.2331973")</f>
        <v>http://dx.doi.org/10.1109/TMAG.2014.2331973</v>
      </c>
      <c r="BG408" s="1" t="s">
        <v>74</v>
      </c>
      <c r="BH408" s="1" t="s">
        <v>74</v>
      </c>
      <c r="BI408" s="1" t="s">
        <v>74</v>
      </c>
      <c r="BJ408" s="1" t="s">
        <v>74</v>
      </c>
      <c r="BK408" s="1" t="s">
        <v>74</v>
      </c>
      <c r="BL408" s="1" t="s">
        <v>74</v>
      </c>
      <c r="BM408" s="1" t="s">
        <v>74</v>
      </c>
      <c r="BN408" s="1" t="s">
        <v>74</v>
      </c>
      <c r="BO408" s="1" t="s">
        <v>74</v>
      </c>
      <c r="BP408" s="1" t="s">
        <v>74</v>
      </c>
      <c r="BQ408" s="1" t="s">
        <v>74</v>
      </c>
      <c r="BR408" s="1" t="s">
        <v>74</v>
      </c>
      <c r="BS408" s="1" t="s">
        <v>4285</v>
      </c>
      <c r="BT408" s="1" t="str">
        <f>HYPERLINK("https%3A%2F%2Fwww.webofscience.com%2Fwos%2Fwoscc%2Ffull-record%2FWOS:000349465900100","View Full Record in Web of Science")</f>
        <v>View Full Record in Web of Science</v>
      </c>
    </row>
    <row r="409" ht="12.75" customHeight="1">
      <c r="A409" s="1" t="s">
        <v>72</v>
      </c>
      <c r="B409" s="1" t="s">
        <v>4286</v>
      </c>
      <c r="C409" s="1" t="s">
        <v>74</v>
      </c>
      <c r="D409" s="1" t="s">
        <v>74</v>
      </c>
      <c r="E409" s="1" t="s">
        <v>74</v>
      </c>
      <c r="F409" s="1" t="s">
        <v>4287</v>
      </c>
      <c r="G409" s="1" t="s">
        <v>74</v>
      </c>
      <c r="H409" s="1" t="s">
        <v>74</v>
      </c>
      <c r="I409" s="1" t="s">
        <v>4288</v>
      </c>
      <c r="J409" s="1" t="s">
        <v>4289</v>
      </c>
      <c r="K409" s="1" t="s">
        <v>74</v>
      </c>
      <c r="L409" s="1" t="s">
        <v>74</v>
      </c>
      <c r="M409" s="1" t="s">
        <v>74</v>
      </c>
      <c r="N409" s="1" t="s">
        <v>74</v>
      </c>
      <c r="O409" s="1" t="s">
        <v>74</v>
      </c>
      <c r="P409" s="1" t="s">
        <v>74</v>
      </c>
      <c r="Q409" s="1" t="s">
        <v>74</v>
      </c>
      <c r="R409" s="1" t="s">
        <v>74</v>
      </c>
      <c r="S409" s="1" t="s">
        <v>74</v>
      </c>
      <c r="T409" s="1" t="s">
        <v>74</v>
      </c>
      <c r="U409" s="1" t="s">
        <v>74</v>
      </c>
      <c r="V409" s="1" t="s">
        <v>4290</v>
      </c>
      <c r="W409" s="1" t="s">
        <v>74</v>
      </c>
      <c r="X409" s="1" t="s">
        <v>74</v>
      </c>
      <c r="Y409" s="1" t="s">
        <v>74</v>
      </c>
      <c r="Z409" s="1" t="s">
        <v>74</v>
      </c>
      <c r="AA409" s="1" t="s">
        <v>4291</v>
      </c>
      <c r="AB409" s="1" t="s">
        <v>4292</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4293</v>
      </c>
      <c r="AP409" s="1" t="s">
        <v>74</v>
      </c>
      <c r="AQ409" s="1" t="s">
        <v>74</v>
      </c>
      <c r="AR409" s="1" t="s">
        <v>74</v>
      </c>
      <c r="AS409" s="1" t="s">
        <v>74</v>
      </c>
      <c r="AT409" s="1" t="s">
        <v>4294</v>
      </c>
      <c r="AU409" s="1">
        <v>2014.0</v>
      </c>
      <c r="AV409" s="1" t="s">
        <v>74</v>
      </c>
      <c r="AW409" s="1">
        <v>4.0</v>
      </c>
      <c r="AX409" s="1" t="s">
        <v>74</v>
      </c>
      <c r="AY409" s="1" t="s">
        <v>74</v>
      </c>
      <c r="AZ409" s="1" t="s">
        <v>74</v>
      </c>
      <c r="BA409" s="1" t="s">
        <v>74</v>
      </c>
      <c r="BB409" s="1" t="s">
        <v>74</v>
      </c>
      <c r="BC409" s="1" t="s">
        <v>74</v>
      </c>
      <c r="BD409" s="1">
        <v>151.0</v>
      </c>
      <c r="BE409" s="1" t="s">
        <v>4295</v>
      </c>
      <c r="BF409" s="2" t="str">
        <f>HYPERLINK("http://dx.doi.org/10.1007/JHEP04(2014)151","http://dx.doi.org/10.1007/JHEP04(2014)151")</f>
        <v>http://dx.doi.org/10.1007/JHEP04(2014)151</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4296</v>
      </c>
      <c r="BT409" s="1" t="str">
        <f>HYPERLINK("https%3A%2F%2Fwww.webofscience.com%2Fwos%2Fwoscc%2Ffull-record%2FWOS:000336492300002","View Full Record in Web of Science")</f>
        <v>View Full Record in Web of Science</v>
      </c>
    </row>
    <row r="410" ht="12.75" customHeight="1">
      <c r="A410" s="1" t="s">
        <v>72</v>
      </c>
      <c r="B410" s="1" t="s">
        <v>4297</v>
      </c>
      <c r="C410" s="1" t="s">
        <v>74</v>
      </c>
      <c r="D410" s="1" t="s">
        <v>74</v>
      </c>
      <c r="E410" s="1" t="s">
        <v>74</v>
      </c>
      <c r="F410" s="1" t="s">
        <v>4298</v>
      </c>
      <c r="G410" s="1" t="s">
        <v>74</v>
      </c>
      <c r="H410" s="1" t="s">
        <v>74</v>
      </c>
      <c r="I410" s="1" t="s">
        <v>4299</v>
      </c>
      <c r="J410" s="1" t="s">
        <v>136</v>
      </c>
      <c r="K410" s="1" t="s">
        <v>74</v>
      </c>
      <c r="L410" s="1" t="s">
        <v>74</v>
      </c>
      <c r="M410" s="1" t="s">
        <v>74</v>
      </c>
      <c r="N410" s="1" t="s">
        <v>74</v>
      </c>
      <c r="O410" s="1" t="s">
        <v>74</v>
      </c>
      <c r="P410" s="1" t="s">
        <v>74</v>
      </c>
      <c r="Q410" s="1" t="s">
        <v>74</v>
      </c>
      <c r="R410" s="1" t="s">
        <v>74</v>
      </c>
      <c r="S410" s="1" t="s">
        <v>74</v>
      </c>
      <c r="T410" s="1" t="s">
        <v>74</v>
      </c>
      <c r="U410" s="1" t="s">
        <v>74</v>
      </c>
      <c r="V410" s="1" t="s">
        <v>4300</v>
      </c>
      <c r="W410" s="1" t="s">
        <v>74</v>
      </c>
      <c r="X410" s="1" t="s">
        <v>74</v>
      </c>
      <c r="Y410" s="1" t="s">
        <v>74</v>
      </c>
      <c r="Z410" s="1" t="s">
        <v>74</v>
      </c>
      <c r="AA410" s="1" t="s">
        <v>4301</v>
      </c>
      <c r="AB410" s="1" t="s">
        <v>4302</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140</v>
      </c>
      <c r="AP410" s="1" t="s">
        <v>141</v>
      </c>
      <c r="AQ410" s="1" t="s">
        <v>74</v>
      </c>
      <c r="AR410" s="1" t="s">
        <v>74</v>
      </c>
      <c r="AS410" s="1" t="s">
        <v>74</v>
      </c>
      <c r="AT410" s="1" t="s">
        <v>4303</v>
      </c>
      <c r="AU410" s="1">
        <v>2013.0</v>
      </c>
      <c r="AV410" s="1">
        <v>38.0</v>
      </c>
      <c r="AW410" s="1">
        <v>35.0</v>
      </c>
      <c r="AX410" s="1" t="s">
        <v>74</v>
      </c>
      <c r="AY410" s="1" t="s">
        <v>74</v>
      </c>
      <c r="AZ410" s="1" t="s">
        <v>74</v>
      </c>
      <c r="BA410" s="1" t="s">
        <v>74</v>
      </c>
      <c r="BB410" s="1">
        <v>15264.0</v>
      </c>
      <c r="BC410" s="1">
        <v>15268.0</v>
      </c>
      <c r="BD410" s="1" t="s">
        <v>74</v>
      </c>
      <c r="BE410" s="1" t="s">
        <v>4304</v>
      </c>
      <c r="BF410" s="2" t="str">
        <f>HYPERLINK("http://dx.doi.org/10.1016/j.ijhydene.2013.09.026","http://dx.doi.org/10.1016/j.ijhydene.2013.09.026")</f>
        <v>http://dx.doi.org/10.1016/j.ijhydene.2013.09.026</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4305</v>
      </c>
      <c r="BT410" s="1" t="str">
        <f>HYPERLINK("https%3A%2F%2Fwww.webofscience.com%2Fwos%2Fwoscc%2Ffull-record%2FWOS:000328006500033","View Full Record in Web of Science")</f>
        <v>View Full Record in Web of Science</v>
      </c>
    </row>
    <row r="411" ht="12.75" customHeight="1">
      <c r="A411" s="1" t="s">
        <v>72</v>
      </c>
      <c r="B411" s="1" t="s">
        <v>4306</v>
      </c>
      <c r="C411" s="1" t="s">
        <v>74</v>
      </c>
      <c r="D411" s="1" t="s">
        <v>74</v>
      </c>
      <c r="E411" s="1" t="s">
        <v>74</v>
      </c>
      <c r="F411" s="1" t="s">
        <v>4307</v>
      </c>
      <c r="G411" s="1" t="s">
        <v>74</v>
      </c>
      <c r="H411" s="1" t="s">
        <v>74</v>
      </c>
      <c r="I411" s="1" t="s">
        <v>4308</v>
      </c>
      <c r="J411" s="1" t="s">
        <v>403</v>
      </c>
      <c r="K411" s="1" t="s">
        <v>74</v>
      </c>
      <c r="L411" s="1" t="s">
        <v>74</v>
      </c>
      <c r="M411" s="1" t="s">
        <v>74</v>
      </c>
      <c r="N411" s="1" t="s">
        <v>74</v>
      </c>
      <c r="O411" s="1" t="s">
        <v>74</v>
      </c>
      <c r="P411" s="1" t="s">
        <v>74</v>
      </c>
      <c r="Q411" s="1" t="s">
        <v>74</v>
      </c>
      <c r="R411" s="1" t="s">
        <v>74</v>
      </c>
      <c r="S411" s="1" t="s">
        <v>74</v>
      </c>
      <c r="T411" s="1" t="s">
        <v>74</v>
      </c>
      <c r="U411" s="1" t="s">
        <v>74</v>
      </c>
      <c r="V411" s="1" t="s">
        <v>4309</v>
      </c>
      <c r="W411" s="1" t="s">
        <v>74</v>
      </c>
      <c r="X411" s="1" t="s">
        <v>74</v>
      </c>
      <c r="Y411" s="1" t="s">
        <v>74</v>
      </c>
      <c r="Z411" s="1" t="s">
        <v>74</v>
      </c>
      <c r="AA411" s="1" t="s">
        <v>74</v>
      </c>
      <c r="AB411" s="1" t="s">
        <v>74</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406</v>
      </c>
      <c r="AP411" s="1" t="s">
        <v>407</v>
      </c>
      <c r="AQ411" s="1" t="s">
        <v>74</v>
      </c>
      <c r="AR411" s="1" t="s">
        <v>74</v>
      </c>
      <c r="AS411" s="1" t="s">
        <v>74</v>
      </c>
      <c r="AT411" s="1" t="s">
        <v>177</v>
      </c>
      <c r="AU411" s="1">
        <v>2013.0</v>
      </c>
      <c r="AV411" s="1">
        <v>73.0</v>
      </c>
      <c r="AW411" s="1">
        <v>7.0</v>
      </c>
      <c r="AX411" s="1" t="s">
        <v>74</v>
      </c>
      <c r="AY411" s="1" t="s">
        <v>74</v>
      </c>
      <c r="AZ411" s="1" t="s">
        <v>74</v>
      </c>
      <c r="BA411" s="1" t="s">
        <v>74</v>
      </c>
      <c r="BB411" s="1" t="s">
        <v>74</v>
      </c>
      <c r="BC411" s="1" t="s">
        <v>74</v>
      </c>
      <c r="BD411" s="1">
        <v>2485.0</v>
      </c>
      <c r="BE411" s="1" t="s">
        <v>4310</v>
      </c>
      <c r="BF411" s="2" t="str">
        <f>HYPERLINK("http://dx.doi.org/10.1140/epjc/s10052-013-2485-8","http://dx.doi.org/10.1140/epjc/s10052-013-2485-8")</f>
        <v>http://dx.doi.org/10.1140/epjc/s10052-013-2485-8</v>
      </c>
      <c r="BG411" s="1" t="s">
        <v>74</v>
      </c>
      <c r="BH411" s="1" t="s">
        <v>74</v>
      </c>
      <c r="BI411" s="1" t="s">
        <v>74</v>
      </c>
      <c r="BJ411" s="1" t="s">
        <v>74</v>
      </c>
      <c r="BK411" s="1" t="s">
        <v>74</v>
      </c>
      <c r="BL411" s="1" t="s">
        <v>74</v>
      </c>
      <c r="BM411" s="1" t="s">
        <v>74</v>
      </c>
      <c r="BN411" s="1" t="s">
        <v>74</v>
      </c>
      <c r="BO411" s="1" t="s">
        <v>74</v>
      </c>
      <c r="BP411" s="1" t="s">
        <v>74</v>
      </c>
      <c r="BQ411" s="1" t="s">
        <v>74</v>
      </c>
      <c r="BR411" s="1" t="s">
        <v>74</v>
      </c>
      <c r="BS411" s="1" t="s">
        <v>4311</v>
      </c>
      <c r="BT411" s="1" t="str">
        <f>HYPERLINK("https%3A%2F%2Fwww.webofscience.com%2Fwos%2Fwoscc%2Ffull-record%2FWOS:000322575300010","View Full Record in Web of Science")</f>
        <v>View Full Record in Web of Science</v>
      </c>
    </row>
    <row r="412" ht="12.75" customHeight="1">
      <c r="A412" s="1" t="s">
        <v>72</v>
      </c>
      <c r="B412" s="1" t="s">
        <v>4312</v>
      </c>
      <c r="C412" s="1" t="s">
        <v>74</v>
      </c>
      <c r="D412" s="1" t="s">
        <v>74</v>
      </c>
      <c r="E412" s="1" t="s">
        <v>74</v>
      </c>
      <c r="F412" s="1" t="s">
        <v>4313</v>
      </c>
      <c r="G412" s="1" t="s">
        <v>74</v>
      </c>
      <c r="H412" s="1" t="s">
        <v>74</v>
      </c>
      <c r="I412" s="1" t="s">
        <v>4314</v>
      </c>
      <c r="J412" s="1" t="s">
        <v>391</v>
      </c>
      <c r="K412" s="1" t="s">
        <v>74</v>
      </c>
      <c r="L412" s="1" t="s">
        <v>74</v>
      </c>
      <c r="M412" s="1" t="s">
        <v>74</v>
      </c>
      <c r="N412" s="1" t="s">
        <v>74</v>
      </c>
      <c r="O412" s="1" t="s">
        <v>74</v>
      </c>
      <c r="P412" s="1" t="s">
        <v>74</v>
      </c>
      <c r="Q412" s="1" t="s">
        <v>74</v>
      </c>
      <c r="R412" s="1" t="s">
        <v>74</v>
      </c>
      <c r="S412" s="1" t="s">
        <v>74</v>
      </c>
      <c r="T412" s="1" t="s">
        <v>74</v>
      </c>
      <c r="U412" s="1" t="s">
        <v>74</v>
      </c>
      <c r="V412" s="1" t="s">
        <v>4315</v>
      </c>
      <c r="W412" s="1" t="s">
        <v>74</v>
      </c>
      <c r="X412" s="1" t="s">
        <v>74</v>
      </c>
      <c r="Y412" s="1" t="s">
        <v>74</v>
      </c>
      <c r="Z412" s="1" t="s">
        <v>74</v>
      </c>
      <c r="AA412" s="1" t="s">
        <v>4316</v>
      </c>
      <c r="AB412" s="1" t="s">
        <v>4317</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395</v>
      </c>
      <c r="AP412" s="1" t="s">
        <v>396</v>
      </c>
      <c r="AQ412" s="1" t="s">
        <v>74</v>
      </c>
      <c r="AR412" s="1" t="s">
        <v>74</v>
      </c>
      <c r="AS412" s="1" t="s">
        <v>74</v>
      </c>
      <c r="AT412" s="1" t="s">
        <v>2691</v>
      </c>
      <c r="AU412" s="1">
        <v>2013.0</v>
      </c>
      <c r="AV412" s="1">
        <v>219.0</v>
      </c>
      <c r="AW412" s="1">
        <v>14.0</v>
      </c>
      <c r="AX412" s="1" t="s">
        <v>74</v>
      </c>
      <c r="AY412" s="1" t="s">
        <v>74</v>
      </c>
      <c r="AZ412" s="1" t="s">
        <v>74</v>
      </c>
      <c r="BA412" s="1" t="s">
        <v>74</v>
      </c>
      <c r="BB412" s="1">
        <v>7429.0</v>
      </c>
      <c r="BC412" s="1">
        <v>7444.0</v>
      </c>
      <c r="BD412" s="1" t="s">
        <v>74</v>
      </c>
      <c r="BE412" s="1" t="s">
        <v>4318</v>
      </c>
      <c r="BF412" s="2" t="str">
        <f>HYPERLINK("http://dx.doi.org/10.1016/j.amc.2013.01.030","http://dx.doi.org/10.1016/j.amc.2013.01.030")</f>
        <v>http://dx.doi.org/10.1016/j.amc.2013.01.030</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4319</v>
      </c>
      <c r="BT412" s="1" t="str">
        <f>HYPERLINK("https%3A%2F%2Fwww.webofscience.com%2Fwos%2Fwoscc%2Ffull-record%2FWOS:000316668800016","View Full Record in Web of Science")</f>
        <v>View Full Record in Web of Science</v>
      </c>
    </row>
    <row r="413" ht="12.75" customHeight="1">
      <c r="A413" s="1" t="s">
        <v>72</v>
      </c>
      <c r="B413" s="1" t="s">
        <v>4320</v>
      </c>
      <c r="C413" s="1" t="s">
        <v>74</v>
      </c>
      <c r="D413" s="1" t="s">
        <v>74</v>
      </c>
      <c r="E413" s="1" t="s">
        <v>74</v>
      </c>
      <c r="F413" s="1" t="s">
        <v>4321</v>
      </c>
      <c r="G413" s="1" t="s">
        <v>74</v>
      </c>
      <c r="H413" s="1" t="s">
        <v>74</v>
      </c>
      <c r="I413" s="1" t="s">
        <v>4322</v>
      </c>
      <c r="J413" s="1" t="s">
        <v>4323</v>
      </c>
      <c r="K413" s="1" t="s">
        <v>74</v>
      </c>
      <c r="L413" s="1" t="s">
        <v>74</v>
      </c>
      <c r="M413" s="1" t="s">
        <v>74</v>
      </c>
      <c r="N413" s="1" t="s">
        <v>74</v>
      </c>
      <c r="O413" s="1" t="s">
        <v>74</v>
      </c>
      <c r="P413" s="1" t="s">
        <v>74</v>
      </c>
      <c r="Q413" s="1" t="s">
        <v>74</v>
      </c>
      <c r="R413" s="1" t="s">
        <v>74</v>
      </c>
      <c r="S413" s="1" t="s">
        <v>74</v>
      </c>
      <c r="T413" s="1" t="s">
        <v>74</v>
      </c>
      <c r="U413" s="1" t="s">
        <v>74</v>
      </c>
      <c r="V413" s="1" t="s">
        <v>4324</v>
      </c>
      <c r="W413" s="1" t="s">
        <v>74</v>
      </c>
      <c r="X413" s="1" t="s">
        <v>74</v>
      </c>
      <c r="Y413" s="1" t="s">
        <v>74</v>
      </c>
      <c r="Z413" s="1" t="s">
        <v>74</v>
      </c>
      <c r="AA413" s="1" t="s">
        <v>4325</v>
      </c>
      <c r="AB413" s="1" t="s">
        <v>4326</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4327</v>
      </c>
      <c r="AP413" s="1" t="s">
        <v>4328</v>
      </c>
      <c r="AQ413" s="1" t="s">
        <v>74</v>
      </c>
      <c r="AR413" s="1" t="s">
        <v>74</v>
      </c>
      <c r="AS413" s="1" t="s">
        <v>74</v>
      </c>
      <c r="AT413" s="1" t="s">
        <v>1106</v>
      </c>
      <c r="AU413" s="1">
        <v>2013.0</v>
      </c>
      <c r="AV413" s="1">
        <v>29.0</v>
      </c>
      <c r="AW413" s="1">
        <v>1.0</v>
      </c>
      <c r="AX413" s="1" t="s">
        <v>74</v>
      </c>
      <c r="AY413" s="1" t="s">
        <v>74</v>
      </c>
      <c r="AZ413" s="1" t="s">
        <v>74</v>
      </c>
      <c r="BA413" s="1" t="s">
        <v>74</v>
      </c>
      <c r="BB413" s="1">
        <v>183.0</v>
      </c>
      <c r="BC413" s="1">
        <v>189.0</v>
      </c>
      <c r="BD413" s="1" t="s">
        <v>74</v>
      </c>
      <c r="BE413" s="1" t="s">
        <v>4329</v>
      </c>
      <c r="BF413" s="2" t="str">
        <f>HYPERLINK("http://dx.doi.org/10.1007/s11274-012-1159-2","http://dx.doi.org/10.1007/s11274-012-1159-2")</f>
        <v>http://dx.doi.org/10.1007/s11274-012-1159-2</v>
      </c>
      <c r="BG413" s="1" t="s">
        <v>74</v>
      </c>
      <c r="BH413" s="1" t="s">
        <v>74</v>
      </c>
      <c r="BI413" s="1" t="s">
        <v>74</v>
      </c>
      <c r="BJ413" s="1" t="s">
        <v>74</v>
      </c>
      <c r="BK413" s="1" t="s">
        <v>74</v>
      </c>
      <c r="BL413" s="1" t="s">
        <v>74</v>
      </c>
      <c r="BM413" s="1" t="s">
        <v>74</v>
      </c>
      <c r="BN413" s="1">
        <v>2.2927015E7</v>
      </c>
      <c r="BO413" s="1" t="s">
        <v>74</v>
      </c>
      <c r="BP413" s="1" t="s">
        <v>74</v>
      </c>
      <c r="BQ413" s="1" t="s">
        <v>74</v>
      </c>
      <c r="BR413" s="1" t="s">
        <v>74</v>
      </c>
      <c r="BS413" s="1" t="s">
        <v>4330</v>
      </c>
      <c r="BT413" s="1" t="str">
        <f>HYPERLINK("https%3A%2F%2Fwww.webofscience.com%2Fwos%2Fwoscc%2Ffull-record%2FWOS:000312075300020","View Full Record in Web of Science")</f>
        <v>View Full Record in Web of Science</v>
      </c>
    </row>
    <row r="414" ht="12.75" customHeight="1">
      <c r="A414" s="1" t="s">
        <v>72</v>
      </c>
      <c r="B414" s="1" t="s">
        <v>4331</v>
      </c>
      <c r="C414" s="1" t="s">
        <v>74</v>
      </c>
      <c r="D414" s="1" t="s">
        <v>74</v>
      </c>
      <c r="E414" s="1" t="s">
        <v>74</v>
      </c>
      <c r="F414" s="1" t="s">
        <v>4332</v>
      </c>
      <c r="G414" s="1" t="s">
        <v>74</v>
      </c>
      <c r="H414" s="1" t="s">
        <v>74</v>
      </c>
      <c r="I414" s="1" t="s">
        <v>4333</v>
      </c>
      <c r="J414" s="1" t="s">
        <v>4334</v>
      </c>
      <c r="K414" s="1" t="s">
        <v>74</v>
      </c>
      <c r="L414" s="1" t="s">
        <v>74</v>
      </c>
      <c r="M414" s="1" t="s">
        <v>74</v>
      </c>
      <c r="N414" s="1" t="s">
        <v>74</v>
      </c>
      <c r="O414" s="1" t="s">
        <v>74</v>
      </c>
      <c r="P414" s="1" t="s">
        <v>74</v>
      </c>
      <c r="Q414" s="1" t="s">
        <v>74</v>
      </c>
      <c r="R414" s="1" t="s">
        <v>74</v>
      </c>
      <c r="S414" s="1" t="s">
        <v>74</v>
      </c>
      <c r="T414" s="1" t="s">
        <v>74</v>
      </c>
      <c r="U414" s="1" t="s">
        <v>74</v>
      </c>
      <c r="V414" s="1" t="s">
        <v>4335</v>
      </c>
      <c r="W414" s="1" t="s">
        <v>74</v>
      </c>
      <c r="X414" s="1" t="s">
        <v>74</v>
      </c>
      <c r="Y414" s="1" t="s">
        <v>74</v>
      </c>
      <c r="Z414" s="1" t="s">
        <v>74</v>
      </c>
      <c r="AA414" s="1" t="s">
        <v>74</v>
      </c>
      <c r="AB414" s="1" t="s">
        <v>74</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4336</v>
      </c>
      <c r="AP414" s="1" t="s">
        <v>4337</v>
      </c>
      <c r="AQ414" s="1" t="s">
        <v>74</v>
      </c>
      <c r="AR414" s="1" t="s">
        <v>74</v>
      </c>
      <c r="AS414" s="1" t="s">
        <v>74</v>
      </c>
      <c r="AT414" s="1" t="s">
        <v>4338</v>
      </c>
      <c r="AU414" s="1">
        <v>2012.0</v>
      </c>
      <c r="AV414" s="1">
        <v>85.0</v>
      </c>
      <c r="AW414" s="1">
        <v>6.0</v>
      </c>
      <c r="AX414" s="1">
        <v>2.0</v>
      </c>
      <c r="AY414" s="1" t="s">
        <v>74</v>
      </c>
      <c r="AZ414" s="1" t="s">
        <v>74</v>
      </c>
      <c r="BA414" s="1" t="s">
        <v>74</v>
      </c>
      <c r="BB414" s="1" t="s">
        <v>74</v>
      </c>
      <c r="BC414" s="1" t="s">
        <v>74</v>
      </c>
      <c r="BD414" s="1">
        <v>66115.0</v>
      </c>
      <c r="BE414" s="1" t="s">
        <v>4339</v>
      </c>
      <c r="BF414" s="2" t="str">
        <f>HYPERLINK("http://dx.doi.org/10.1103/PhysRevE.85.066115","http://dx.doi.org/10.1103/PhysRevE.85.066115")</f>
        <v>http://dx.doi.org/10.1103/PhysRevE.85.066115</v>
      </c>
      <c r="BG414" s="1" t="s">
        <v>74</v>
      </c>
      <c r="BH414" s="1" t="s">
        <v>74</v>
      </c>
      <c r="BI414" s="1" t="s">
        <v>74</v>
      </c>
      <c r="BJ414" s="1" t="s">
        <v>74</v>
      </c>
      <c r="BK414" s="1" t="s">
        <v>74</v>
      </c>
      <c r="BL414" s="1" t="s">
        <v>74</v>
      </c>
      <c r="BM414" s="1" t="s">
        <v>74</v>
      </c>
      <c r="BN414" s="1">
        <v>2.300517E7</v>
      </c>
      <c r="BO414" s="1" t="s">
        <v>74</v>
      </c>
      <c r="BP414" s="1" t="s">
        <v>74</v>
      </c>
      <c r="BQ414" s="1" t="s">
        <v>74</v>
      </c>
      <c r="BR414" s="1" t="s">
        <v>74</v>
      </c>
      <c r="BS414" s="1" t="s">
        <v>4340</v>
      </c>
      <c r="BT414" s="1" t="str">
        <f>HYPERLINK("https%3A%2F%2Fwww.webofscience.com%2Fwos%2Fwoscc%2Ffull-record%2FWOS:000305256400002","View Full Record in Web of Science")</f>
        <v>View Full Record in Web of Science</v>
      </c>
    </row>
    <row r="415" ht="12.75" customHeight="1">
      <c r="A415" s="1" t="s">
        <v>72</v>
      </c>
      <c r="B415" s="1" t="s">
        <v>4341</v>
      </c>
      <c r="C415" s="1" t="s">
        <v>74</v>
      </c>
      <c r="D415" s="1" t="s">
        <v>74</v>
      </c>
      <c r="E415" s="1" t="s">
        <v>74</v>
      </c>
      <c r="F415" s="1" t="s">
        <v>4342</v>
      </c>
      <c r="G415" s="1" t="s">
        <v>74</v>
      </c>
      <c r="H415" s="1" t="s">
        <v>74</v>
      </c>
      <c r="I415" s="1" t="s">
        <v>4343</v>
      </c>
      <c r="J415" s="1" t="s">
        <v>4334</v>
      </c>
      <c r="K415" s="1" t="s">
        <v>74</v>
      </c>
      <c r="L415" s="1" t="s">
        <v>74</v>
      </c>
      <c r="M415" s="1" t="s">
        <v>74</v>
      </c>
      <c r="N415" s="1" t="s">
        <v>74</v>
      </c>
      <c r="O415" s="1" t="s">
        <v>74</v>
      </c>
      <c r="P415" s="1" t="s">
        <v>74</v>
      </c>
      <c r="Q415" s="1" t="s">
        <v>74</v>
      </c>
      <c r="R415" s="1" t="s">
        <v>74</v>
      </c>
      <c r="S415" s="1" t="s">
        <v>74</v>
      </c>
      <c r="T415" s="1" t="s">
        <v>74</v>
      </c>
      <c r="U415" s="1" t="s">
        <v>74</v>
      </c>
      <c r="V415" s="1" t="s">
        <v>4344</v>
      </c>
      <c r="W415" s="1" t="s">
        <v>74</v>
      </c>
      <c r="X415" s="1" t="s">
        <v>74</v>
      </c>
      <c r="Y415" s="1" t="s">
        <v>74</v>
      </c>
      <c r="Z415" s="1" t="s">
        <v>74</v>
      </c>
      <c r="AA415" s="1" t="s">
        <v>4345</v>
      </c>
      <c r="AB415" s="1" t="s">
        <v>4346</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4336</v>
      </c>
      <c r="AP415" s="1" t="s">
        <v>4337</v>
      </c>
      <c r="AQ415" s="1" t="s">
        <v>74</v>
      </c>
      <c r="AR415" s="1" t="s">
        <v>74</v>
      </c>
      <c r="AS415" s="1" t="s">
        <v>74</v>
      </c>
      <c r="AT415" s="1" t="s">
        <v>4347</v>
      </c>
      <c r="AU415" s="1">
        <v>2012.0</v>
      </c>
      <c r="AV415" s="1">
        <v>85.0</v>
      </c>
      <c r="AW415" s="1">
        <v>1.0</v>
      </c>
      <c r="AX415" s="1">
        <v>1.0</v>
      </c>
      <c r="AY415" s="1" t="s">
        <v>74</v>
      </c>
      <c r="AZ415" s="1" t="s">
        <v>74</v>
      </c>
      <c r="BA415" s="1" t="s">
        <v>74</v>
      </c>
      <c r="BB415" s="1" t="s">
        <v>74</v>
      </c>
      <c r="BC415" s="1" t="s">
        <v>74</v>
      </c>
      <c r="BD415" s="1">
        <v>12301.0</v>
      </c>
      <c r="BE415" s="1" t="s">
        <v>4348</v>
      </c>
      <c r="BF415" s="2" t="str">
        <f>HYPERLINK("http://dx.doi.org/10.1103/PhysRevE.85.012301","http://dx.doi.org/10.1103/PhysRevE.85.012301")</f>
        <v>http://dx.doi.org/10.1103/PhysRevE.85.012301</v>
      </c>
      <c r="BG415" s="1" t="s">
        <v>74</v>
      </c>
      <c r="BH415" s="1" t="s">
        <v>74</v>
      </c>
      <c r="BI415" s="1" t="s">
        <v>74</v>
      </c>
      <c r="BJ415" s="1" t="s">
        <v>74</v>
      </c>
      <c r="BK415" s="1" t="s">
        <v>74</v>
      </c>
      <c r="BL415" s="1" t="s">
        <v>74</v>
      </c>
      <c r="BM415" s="1" t="s">
        <v>74</v>
      </c>
      <c r="BN415" s="1">
        <v>2.2400603E7</v>
      </c>
      <c r="BO415" s="1" t="s">
        <v>74</v>
      </c>
      <c r="BP415" s="1" t="s">
        <v>74</v>
      </c>
      <c r="BQ415" s="1" t="s">
        <v>74</v>
      </c>
      <c r="BR415" s="1" t="s">
        <v>74</v>
      </c>
      <c r="BS415" s="1" t="s">
        <v>4349</v>
      </c>
      <c r="BT415" s="1" t="str">
        <f>HYPERLINK("https%3A%2F%2Fwww.webofscience.com%2Fwos%2Fwoscc%2Ffull-record%2FWOS:000299949300008","View Full Record in Web of Science")</f>
        <v>View Full Record in Web of Science</v>
      </c>
    </row>
    <row r="416" ht="12.75" customHeight="1">
      <c r="A416" s="1" t="s">
        <v>72</v>
      </c>
      <c r="B416" s="1" t="s">
        <v>4350</v>
      </c>
      <c r="C416" s="1" t="s">
        <v>74</v>
      </c>
      <c r="D416" s="1" t="s">
        <v>74</v>
      </c>
      <c r="E416" s="1" t="s">
        <v>74</v>
      </c>
      <c r="F416" s="1" t="s">
        <v>4351</v>
      </c>
      <c r="G416" s="1" t="s">
        <v>74</v>
      </c>
      <c r="H416" s="1" t="s">
        <v>74</v>
      </c>
      <c r="I416" s="1" t="s">
        <v>4352</v>
      </c>
      <c r="J416" s="1" t="s">
        <v>4353</v>
      </c>
      <c r="K416" s="1" t="s">
        <v>74</v>
      </c>
      <c r="L416" s="1" t="s">
        <v>74</v>
      </c>
      <c r="M416" s="1" t="s">
        <v>74</v>
      </c>
      <c r="N416" s="1" t="s">
        <v>74</v>
      </c>
      <c r="O416" s="1" t="s">
        <v>74</v>
      </c>
      <c r="P416" s="1" t="s">
        <v>74</v>
      </c>
      <c r="Q416" s="1" t="s">
        <v>74</v>
      </c>
      <c r="R416" s="1" t="s">
        <v>74</v>
      </c>
      <c r="S416" s="1" t="s">
        <v>74</v>
      </c>
      <c r="T416" s="1" t="s">
        <v>74</v>
      </c>
      <c r="U416" s="1" t="s">
        <v>74</v>
      </c>
      <c r="V416" s="1" t="s">
        <v>4354</v>
      </c>
      <c r="W416" s="1" t="s">
        <v>74</v>
      </c>
      <c r="X416" s="1" t="s">
        <v>74</v>
      </c>
      <c r="Y416" s="1" t="s">
        <v>74</v>
      </c>
      <c r="Z416" s="1" t="s">
        <v>74</v>
      </c>
      <c r="AA416" s="1" t="s">
        <v>4355</v>
      </c>
      <c r="AB416" s="1" t="s">
        <v>4356</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4357</v>
      </c>
      <c r="AP416" s="1" t="s">
        <v>74</v>
      </c>
      <c r="AQ416" s="1" t="s">
        <v>74</v>
      </c>
      <c r="AR416" s="1" t="s">
        <v>74</v>
      </c>
      <c r="AS416" s="1" t="s">
        <v>74</v>
      </c>
      <c r="AT416" s="1" t="s">
        <v>74</v>
      </c>
      <c r="AU416" s="1">
        <v>2012.0</v>
      </c>
      <c r="AV416" s="1" t="s">
        <v>74</v>
      </c>
      <c r="AW416" s="1" t="s">
        <v>74</v>
      </c>
      <c r="AX416" s="1" t="s">
        <v>74</v>
      </c>
      <c r="AY416" s="1" t="s">
        <v>74</v>
      </c>
      <c r="AZ416" s="1" t="s">
        <v>74</v>
      </c>
      <c r="BA416" s="1" t="s">
        <v>74</v>
      </c>
      <c r="BB416" s="1" t="s">
        <v>74</v>
      </c>
      <c r="BC416" s="1" t="s">
        <v>74</v>
      </c>
      <c r="BD416" s="1">
        <v>491298.0</v>
      </c>
      <c r="BE416" s="1" t="s">
        <v>4358</v>
      </c>
      <c r="BF416" s="2" t="str">
        <f>HYPERLINK("http://dx.doi.org/10.1155/2012/491298","http://dx.doi.org/10.1155/2012/491298")</f>
        <v>http://dx.doi.org/10.1155/2012/491298</v>
      </c>
      <c r="BG416" s="1" t="s">
        <v>74</v>
      </c>
      <c r="BH416" s="1" t="s">
        <v>74</v>
      </c>
      <c r="BI416" s="1" t="s">
        <v>74</v>
      </c>
      <c r="BJ416" s="1" t="s">
        <v>74</v>
      </c>
      <c r="BK416" s="1" t="s">
        <v>74</v>
      </c>
      <c r="BL416" s="1" t="s">
        <v>74</v>
      </c>
      <c r="BM416" s="1" t="s">
        <v>74</v>
      </c>
      <c r="BN416" s="1">
        <v>2.2318778E7</v>
      </c>
      <c r="BO416" s="1" t="s">
        <v>74</v>
      </c>
      <c r="BP416" s="1" t="s">
        <v>74</v>
      </c>
      <c r="BQ416" s="1" t="s">
        <v>74</v>
      </c>
      <c r="BR416" s="1" t="s">
        <v>74</v>
      </c>
      <c r="BS416" s="1" t="s">
        <v>4359</v>
      </c>
      <c r="BT416" s="1" t="str">
        <f>HYPERLINK("https%3A%2F%2Fwww.webofscience.com%2Fwos%2Fwoscc%2Ffull-record%2FWOS:000301379900001","View Full Record in Web of Science")</f>
        <v>View Full Record in Web of Science</v>
      </c>
    </row>
    <row r="417" ht="12.75" customHeight="1">
      <c r="A417" s="1" t="s">
        <v>72</v>
      </c>
      <c r="B417" s="1" t="s">
        <v>4360</v>
      </c>
      <c r="C417" s="1" t="s">
        <v>74</v>
      </c>
      <c r="D417" s="1" t="s">
        <v>74</v>
      </c>
      <c r="E417" s="1" t="s">
        <v>74</v>
      </c>
      <c r="F417" s="1" t="s">
        <v>4361</v>
      </c>
      <c r="G417" s="1" t="s">
        <v>74</v>
      </c>
      <c r="H417" s="1" t="s">
        <v>74</v>
      </c>
      <c r="I417" s="1" t="s">
        <v>4362</v>
      </c>
      <c r="J417" s="1" t="s">
        <v>4363</v>
      </c>
      <c r="K417" s="1" t="s">
        <v>74</v>
      </c>
      <c r="L417" s="1" t="s">
        <v>74</v>
      </c>
      <c r="M417" s="1" t="s">
        <v>74</v>
      </c>
      <c r="N417" s="1" t="s">
        <v>74</v>
      </c>
      <c r="O417" s="1" t="s">
        <v>74</v>
      </c>
      <c r="P417" s="1" t="s">
        <v>74</v>
      </c>
      <c r="Q417" s="1" t="s">
        <v>74</v>
      </c>
      <c r="R417" s="1" t="s">
        <v>74</v>
      </c>
      <c r="S417" s="1" t="s">
        <v>74</v>
      </c>
      <c r="T417" s="1" t="s">
        <v>74</v>
      </c>
      <c r="U417" s="1" t="s">
        <v>74</v>
      </c>
      <c r="V417" s="1" t="s">
        <v>4364</v>
      </c>
      <c r="W417" s="1" t="s">
        <v>74</v>
      </c>
      <c r="X417" s="1" t="s">
        <v>74</v>
      </c>
      <c r="Y417" s="1" t="s">
        <v>74</v>
      </c>
      <c r="Z417" s="1" t="s">
        <v>74</v>
      </c>
      <c r="AA417" s="1" t="s">
        <v>4365</v>
      </c>
      <c r="AB417" s="1" t="s">
        <v>4366</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4367</v>
      </c>
      <c r="AP417" s="1" t="s">
        <v>4368</v>
      </c>
      <c r="AQ417" s="1" t="s">
        <v>74</v>
      </c>
      <c r="AR417" s="1" t="s">
        <v>74</v>
      </c>
      <c r="AS417" s="1" t="s">
        <v>74</v>
      </c>
      <c r="AT417" s="1" t="s">
        <v>745</v>
      </c>
      <c r="AU417" s="1">
        <v>2010.0</v>
      </c>
      <c r="AV417" s="1">
        <v>108.0</v>
      </c>
      <c r="AW417" s="1">
        <v>5.0</v>
      </c>
      <c r="AX417" s="1" t="s">
        <v>74</v>
      </c>
      <c r="AY417" s="1" t="s">
        <v>74</v>
      </c>
      <c r="AZ417" s="1" t="s">
        <v>74</v>
      </c>
      <c r="BA417" s="1" t="s">
        <v>74</v>
      </c>
      <c r="BB417" s="1">
        <v>1850.0</v>
      </c>
      <c r="BC417" s="1">
        <v>1858.0</v>
      </c>
      <c r="BD417" s="1" t="s">
        <v>74</v>
      </c>
      <c r="BE417" s="1" t="s">
        <v>4369</v>
      </c>
      <c r="BF417" s="2" t="str">
        <f>HYPERLINK("http://dx.doi.org/10.1111/j.1365-2672.2010.04689.x","http://dx.doi.org/10.1111/j.1365-2672.2010.04689.x")</f>
        <v>http://dx.doi.org/10.1111/j.1365-2672.2010.04689.x</v>
      </c>
      <c r="BG417" s="1" t="s">
        <v>74</v>
      </c>
      <c r="BH417" s="1" t="s">
        <v>74</v>
      </c>
      <c r="BI417" s="1" t="s">
        <v>74</v>
      </c>
      <c r="BJ417" s="1" t="s">
        <v>74</v>
      </c>
      <c r="BK417" s="1" t="s">
        <v>74</v>
      </c>
      <c r="BL417" s="1" t="s">
        <v>74</v>
      </c>
      <c r="BM417" s="1" t="s">
        <v>74</v>
      </c>
      <c r="BN417" s="1">
        <v>2.0163487E7</v>
      </c>
      <c r="BO417" s="1" t="s">
        <v>74</v>
      </c>
      <c r="BP417" s="1" t="s">
        <v>74</v>
      </c>
      <c r="BQ417" s="1" t="s">
        <v>74</v>
      </c>
      <c r="BR417" s="1" t="s">
        <v>74</v>
      </c>
      <c r="BS417" s="1" t="s">
        <v>4370</v>
      </c>
      <c r="BT417" s="1" t="str">
        <f>HYPERLINK("https%3A%2F%2Fwww.webofscience.com%2Fwos%2Fwoscc%2Ffull-record%2FWOS:000276503800037","View Full Record in Web of Science")</f>
        <v>View Full Record in Web of Science</v>
      </c>
    </row>
    <row r="418" ht="12.75" customHeight="1">
      <c r="A418" s="1" t="s">
        <v>72</v>
      </c>
      <c r="B418" s="1" t="s">
        <v>4371</v>
      </c>
      <c r="C418" s="1" t="s">
        <v>74</v>
      </c>
      <c r="D418" s="1" t="s">
        <v>74</v>
      </c>
      <c r="E418" s="1" t="s">
        <v>74</v>
      </c>
      <c r="F418" s="1" t="s">
        <v>4371</v>
      </c>
      <c r="G418" s="1" t="s">
        <v>74</v>
      </c>
      <c r="H418" s="1" t="s">
        <v>74</v>
      </c>
      <c r="I418" s="1" t="s">
        <v>4372</v>
      </c>
      <c r="J418" s="1" t="s">
        <v>4373</v>
      </c>
      <c r="K418" s="1" t="s">
        <v>74</v>
      </c>
      <c r="L418" s="1" t="s">
        <v>74</v>
      </c>
      <c r="M418" s="1" t="s">
        <v>74</v>
      </c>
      <c r="N418" s="1" t="s">
        <v>74</v>
      </c>
      <c r="O418" s="1" t="s">
        <v>74</v>
      </c>
      <c r="P418" s="1" t="s">
        <v>74</v>
      </c>
      <c r="Q418" s="1" t="s">
        <v>74</v>
      </c>
      <c r="R418" s="1" t="s">
        <v>74</v>
      </c>
      <c r="S418" s="1" t="s">
        <v>74</v>
      </c>
      <c r="T418" s="1" t="s">
        <v>74</v>
      </c>
      <c r="U418" s="1" t="s">
        <v>74</v>
      </c>
      <c r="V418" s="1" t="s">
        <v>4374</v>
      </c>
      <c r="W418" s="1" t="s">
        <v>74</v>
      </c>
      <c r="X418" s="1" t="s">
        <v>74</v>
      </c>
      <c r="Y418" s="1" t="s">
        <v>74</v>
      </c>
      <c r="Z418" s="1" t="s">
        <v>74</v>
      </c>
      <c r="AA418" s="1" t="s">
        <v>74</v>
      </c>
      <c r="AB418" s="1" t="s">
        <v>74</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4375</v>
      </c>
      <c r="AP418" s="1" t="s">
        <v>4376</v>
      </c>
      <c r="AQ418" s="1" t="s">
        <v>74</v>
      </c>
      <c r="AR418" s="1" t="s">
        <v>74</v>
      </c>
      <c r="AS418" s="1" t="s">
        <v>74</v>
      </c>
      <c r="AT418" s="1" t="s">
        <v>408</v>
      </c>
      <c r="AU418" s="1">
        <v>2005.0</v>
      </c>
      <c r="AV418" s="1">
        <v>83.0</v>
      </c>
      <c r="AW418" s="1">
        <v>3.0</v>
      </c>
      <c r="AX418" s="1" t="s">
        <v>74</v>
      </c>
      <c r="AY418" s="1" t="s">
        <v>74</v>
      </c>
      <c r="AZ418" s="1" t="s">
        <v>74</v>
      </c>
      <c r="BA418" s="1" t="s">
        <v>74</v>
      </c>
      <c r="BB418" s="1">
        <v>587.0</v>
      </c>
      <c r="BC418" s="1">
        <v>593.0</v>
      </c>
      <c r="BD418" s="1" t="s">
        <v>74</v>
      </c>
      <c r="BE418" s="1" t="s">
        <v>4377</v>
      </c>
      <c r="BF418" s="2" t="str">
        <f>HYPERLINK("http://dx.doi.org/10.1016/j.fertnstert.2004.11.020","http://dx.doi.org/10.1016/j.fertnstert.2004.11.020")</f>
        <v>http://dx.doi.org/10.1016/j.fertnstert.2004.11.020</v>
      </c>
      <c r="BG418" s="1" t="s">
        <v>74</v>
      </c>
      <c r="BH418" s="1" t="s">
        <v>74</v>
      </c>
      <c r="BI418" s="1" t="s">
        <v>74</v>
      </c>
      <c r="BJ418" s="1" t="s">
        <v>74</v>
      </c>
      <c r="BK418" s="1" t="s">
        <v>74</v>
      </c>
      <c r="BL418" s="1" t="s">
        <v>74</v>
      </c>
      <c r="BM418" s="1" t="s">
        <v>74</v>
      </c>
      <c r="BN418" s="1">
        <v>1.5749485E7</v>
      </c>
      <c r="BO418" s="1" t="s">
        <v>74</v>
      </c>
      <c r="BP418" s="1" t="s">
        <v>74</v>
      </c>
      <c r="BQ418" s="1" t="s">
        <v>74</v>
      </c>
      <c r="BR418" s="1" t="s">
        <v>74</v>
      </c>
      <c r="BS418" s="1" t="s">
        <v>4378</v>
      </c>
      <c r="BT418" s="1" t="str">
        <f>HYPERLINK("https%3A%2F%2Fwww.webofscience.com%2Fwos%2Fwoscc%2Ffull-record%2FWOS:000227637600012","View Full Record in Web of Science")</f>
        <v>View Full Record in Web of Science</v>
      </c>
    </row>
    <row r="419" ht="12.75" customHeight="1">
      <c r="A419" s="1" t="s">
        <v>72</v>
      </c>
      <c r="B419" s="1" t="s">
        <v>4379</v>
      </c>
      <c r="C419" s="1" t="s">
        <v>74</v>
      </c>
      <c r="D419" s="1" t="s">
        <v>74</v>
      </c>
      <c r="E419" s="1" t="s">
        <v>74</v>
      </c>
      <c r="F419" s="1" t="s">
        <v>4379</v>
      </c>
      <c r="G419" s="1" t="s">
        <v>74</v>
      </c>
      <c r="H419" s="1" t="s">
        <v>74</v>
      </c>
      <c r="I419" s="1" t="s">
        <v>4380</v>
      </c>
      <c r="J419" s="1" t="s">
        <v>4334</v>
      </c>
      <c r="K419" s="1" t="s">
        <v>74</v>
      </c>
      <c r="L419" s="1" t="s">
        <v>74</v>
      </c>
      <c r="M419" s="1" t="s">
        <v>74</v>
      </c>
      <c r="N419" s="1" t="s">
        <v>74</v>
      </c>
      <c r="O419" s="1" t="s">
        <v>74</v>
      </c>
      <c r="P419" s="1" t="s">
        <v>74</v>
      </c>
      <c r="Q419" s="1" t="s">
        <v>74</v>
      </c>
      <c r="R419" s="1" t="s">
        <v>74</v>
      </c>
      <c r="S419" s="1" t="s">
        <v>74</v>
      </c>
      <c r="T419" s="1" t="s">
        <v>74</v>
      </c>
      <c r="U419" s="1" t="s">
        <v>74</v>
      </c>
      <c r="V419" s="1" t="s">
        <v>4381</v>
      </c>
      <c r="W419" s="1" t="s">
        <v>74</v>
      </c>
      <c r="X419" s="1" t="s">
        <v>74</v>
      </c>
      <c r="Y419" s="1" t="s">
        <v>74</v>
      </c>
      <c r="Z419" s="1" t="s">
        <v>74</v>
      </c>
      <c r="AA419" s="1" t="s">
        <v>4382</v>
      </c>
      <c r="AB419" s="1" t="s">
        <v>4383</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4336</v>
      </c>
      <c r="AP419" s="1" t="s">
        <v>4337</v>
      </c>
      <c r="AQ419" s="1" t="s">
        <v>74</v>
      </c>
      <c r="AR419" s="1" t="s">
        <v>74</v>
      </c>
      <c r="AS419" s="1" t="s">
        <v>74</v>
      </c>
      <c r="AT419" s="1" t="s">
        <v>408</v>
      </c>
      <c r="AU419" s="1">
        <v>2004.0</v>
      </c>
      <c r="AV419" s="1">
        <v>69.0</v>
      </c>
      <c r="AW419" s="1">
        <v>3.0</v>
      </c>
      <c r="AX419" s="1">
        <v>1.0</v>
      </c>
      <c r="AY419" s="1" t="s">
        <v>74</v>
      </c>
      <c r="AZ419" s="1" t="s">
        <v>74</v>
      </c>
      <c r="BA419" s="1" t="s">
        <v>74</v>
      </c>
      <c r="BB419" s="1" t="s">
        <v>74</v>
      </c>
      <c r="BC419" s="1" t="s">
        <v>74</v>
      </c>
      <c r="BD419" s="1">
        <v>31201.0</v>
      </c>
      <c r="BE419" s="1" t="s">
        <v>4384</v>
      </c>
      <c r="BF419" s="2" t="str">
        <f>HYPERLINK("http://dx.doi.org/10.1103/PhysRevE.69.031201","http://dx.doi.org/10.1103/PhysRevE.69.031201")</f>
        <v>http://dx.doi.org/10.1103/PhysRevE.69.031201</v>
      </c>
      <c r="BG419" s="1" t="s">
        <v>74</v>
      </c>
      <c r="BH419" s="1" t="s">
        <v>74</v>
      </c>
      <c r="BI419" s="1" t="s">
        <v>74</v>
      </c>
      <c r="BJ419" s="1" t="s">
        <v>74</v>
      </c>
      <c r="BK419" s="1" t="s">
        <v>74</v>
      </c>
      <c r="BL419" s="1" t="s">
        <v>74</v>
      </c>
      <c r="BM419" s="1" t="s">
        <v>74</v>
      </c>
      <c r="BN419" s="1">
        <v>1.5089274E7</v>
      </c>
      <c r="BO419" s="1" t="s">
        <v>74</v>
      </c>
      <c r="BP419" s="1" t="s">
        <v>74</v>
      </c>
      <c r="BQ419" s="1" t="s">
        <v>74</v>
      </c>
      <c r="BR419" s="1" t="s">
        <v>74</v>
      </c>
      <c r="BS419" s="1" t="s">
        <v>4385</v>
      </c>
      <c r="BT419" s="1" t="str">
        <f>HYPERLINK("https%3A%2F%2Fwww.webofscience.com%2Fwos%2Fwoscc%2Ffull-record%2FWOS:000220729100018","View Full Record in Web of Science")</f>
        <v>View Full Record in Web of Science</v>
      </c>
    </row>
    <row r="420" ht="12.75" customHeight="1">
      <c r="A420" s="1" t="s">
        <v>72</v>
      </c>
      <c r="B420" s="1" t="s">
        <v>4386</v>
      </c>
      <c r="C420" s="1" t="s">
        <v>74</v>
      </c>
      <c r="D420" s="1" t="s">
        <v>74</v>
      </c>
      <c r="E420" s="1" t="s">
        <v>74</v>
      </c>
      <c r="F420" s="1" t="s">
        <v>4386</v>
      </c>
      <c r="G420" s="1" t="s">
        <v>74</v>
      </c>
      <c r="H420" s="1" t="s">
        <v>74</v>
      </c>
      <c r="I420" s="1" t="s">
        <v>4387</v>
      </c>
      <c r="J420" s="1" t="s">
        <v>1150</v>
      </c>
      <c r="K420" s="1" t="s">
        <v>74</v>
      </c>
      <c r="L420" s="1" t="s">
        <v>74</v>
      </c>
      <c r="M420" s="1" t="s">
        <v>74</v>
      </c>
      <c r="N420" s="1" t="s">
        <v>74</v>
      </c>
      <c r="O420" s="1" t="s">
        <v>74</v>
      </c>
      <c r="P420" s="1" t="s">
        <v>74</v>
      </c>
      <c r="Q420" s="1" t="s">
        <v>74</v>
      </c>
      <c r="R420" s="1" t="s">
        <v>74</v>
      </c>
      <c r="S420" s="1" t="s">
        <v>74</v>
      </c>
      <c r="T420" s="1" t="s">
        <v>74</v>
      </c>
      <c r="U420" s="1" t="s">
        <v>74</v>
      </c>
      <c r="V420" s="1" t="s">
        <v>4388</v>
      </c>
      <c r="W420" s="1" t="s">
        <v>74</v>
      </c>
      <c r="X420" s="1" t="s">
        <v>74</v>
      </c>
      <c r="Y420" s="1" t="s">
        <v>74</v>
      </c>
      <c r="Z420" s="1" t="s">
        <v>74</v>
      </c>
      <c r="AA420" s="1" t="s">
        <v>3508</v>
      </c>
      <c r="AB420" s="1" t="s">
        <v>74</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1154</v>
      </c>
      <c r="AP420" s="1" t="s">
        <v>74</v>
      </c>
      <c r="AQ420" s="1" t="s">
        <v>74</v>
      </c>
      <c r="AR420" s="1" t="s">
        <v>74</v>
      </c>
      <c r="AS420" s="1" t="s">
        <v>74</v>
      </c>
      <c r="AT420" s="1" t="s">
        <v>3269</v>
      </c>
      <c r="AU420" s="1">
        <v>2003.0</v>
      </c>
      <c r="AV420" s="1">
        <v>5.0</v>
      </c>
      <c r="AW420" s="1">
        <v>19.0</v>
      </c>
      <c r="AX420" s="1" t="s">
        <v>74</v>
      </c>
      <c r="AY420" s="1" t="s">
        <v>74</v>
      </c>
      <c r="AZ420" s="1" t="s">
        <v>74</v>
      </c>
      <c r="BA420" s="1" t="s">
        <v>74</v>
      </c>
      <c r="BB420" s="1">
        <v>4123.0</v>
      </c>
      <c r="BC420" s="1">
        <v>4128.0</v>
      </c>
      <c r="BD420" s="1" t="s">
        <v>74</v>
      </c>
      <c r="BE420" s="1" t="s">
        <v>4389</v>
      </c>
      <c r="BF420" s="2" t="str">
        <f>HYPERLINK("http://dx.doi.org/10.1039/b306945a","http://dx.doi.org/10.1039/b306945a")</f>
        <v>http://dx.doi.org/10.1039/b306945a</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4390</v>
      </c>
      <c r="BT420" s="1" t="str">
        <f>HYPERLINK("https%3A%2F%2Fwww.webofscience.com%2Fwos%2Fwoscc%2Ffull-record%2FWOS:000186173300010","View Full Record in Web of Science")</f>
        <v>View Full Record in Web of Science</v>
      </c>
    </row>
    <row r="421" ht="12.75" customHeight="1">
      <c r="A421" s="1" t="s">
        <v>72</v>
      </c>
      <c r="B421" s="1" t="s">
        <v>4391</v>
      </c>
      <c r="C421" s="1" t="s">
        <v>74</v>
      </c>
      <c r="D421" s="1" t="s">
        <v>74</v>
      </c>
      <c r="E421" s="1" t="s">
        <v>74</v>
      </c>
      <c r="F421" s="1" t="s">
        <v>4391</v>
      </c>
      <c r="G421" s="1" t="s">
        <v>74</v>
      </c>
      <c r="H421" s="1" t="s">
        <v>74</v>
      </c>
      <c r="I421" s="1" t="s">
        <v>4392</v>
      </c>
      <c r="J421" s="1" t="s">
        <v>4393</v>
      </c>
      <c r="K421" s="1" t="s">
        <v>74</v>
      </c>
      <c r="L421" s="1" t="s">
        <v>74</v>
      </c>
      <c r="M421" s="1" t="s">
        <v>74</v>
      </c>
      <c r="N421" s="1" t="s">
        <v>74</v>
      </c>
      <c r="O421" s="1" t="s">
        <v>74</v>
      </c>
      <c r="P421" s="1" t="s">
        <v>74</v>
      </c>
      <c r="Q421" s="1" t="s">
        <v>74</v>
      </c>
      <c r="R421" s="1" t="s">
        <v>74</v>
      </c>
      <c r="S421" s="1" t="s">
        <v>74</v>
      </c>
      <c r="T421" s="1" t="s">
        <v>74</v>
      </c>
      <c r="U421" s="1" t="s">
        <v>74</v>
      </c>
      <c r="V421" s="1" t="s">
        <v>4394</v>
      </c>
      <c r="W421" s="1" t="s">
        <v>74</v>
      </c>
      <c r="X421" s="1" t="s">
        <v>74</v>
      </c>
      <c r="Y421" s="1" t="s">
        <v>74</v>
      </c>
      <c r="Z421" s="1" t="s">
        <v>74</v>
      </c>
      <c r="AA421" s="1" t="s">
        <v>74</v>
      </c>
      <c r="AB421" s="1" t="s">
        <v>4395</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4396</v>
      </c>
      <c r="AP421" s="1" t="s">
        <v>74</v>
      </c>
      <c r="AQ421" s="1" t="s">
        <v>74</v>
      </c>
      <c r="AR421" s="1" t="s">
        <v>74</v>
      </c>
      <c r="AS421" s="1" t="s">
        <v>74</v>
      </c>
      <c r="AT421" s="1" t="s">
        <v>1106</v>
      </c>
      <c r="AU421" s="1">
        <v>2000.0</v>
      </c>
      <c r="AV421" s="1">
        <v>45.0</v>
      </c>
      <c r="AW421" s="1">
        <v>1.0</v>
      </c>
      <c r="AX421" s="1" t="s">
        <v>74</v>
      </c>
      <c r="AY421" s="1" t="s">
        <v>74</v>
      </c>
      <c r="AZ421" s="1" t="s">
        <v>74</v>
      </c>
      <c r="BA421" s="1" t="s">
        <v>74</v>
      </c>
      <c r="BB421" s="1">
        <v>9.0</v>
      </c>
      <c r="BC421" s="1">
        <v>17.0</v>
      </c>
      <c r="BD421" s="1" t="s">
        <v>74</v>
      </c>
      <c r="BE421" s="1" t="s">
        <v>4397</v>
      </c>
      <c r="BF421" s="2" t="str">
        <f>HYPERLINK("http://dx.doi.org/10.1016/S0166-3542(99)00071-6","http://dx.doi.org/10.1016/S0166-3542(99)00071-6")</f>
        <v>http://dx.doi.org/10.1016/S0166-3542(99)00071-6</v>
      </c>
      <c r="BG421" s="1" t="s">
        <v>74</v>
      </c>
      <c r="BH421" s="1" t="s">
        <v>74</v>
      </c>
      <c r="BI421" s="1" t="s">
        <v>74</v>
      </c>
      <c r="BJ421" s="1" t="s">
        <v>74</v>
      </c>
      <c r="BK421" s="1" t="s">
        <v>74</v>
      </c>
      <c r="BL421" s="1" t="s">
        <v>74</v>
      </c>
      <c r="BM421" s="1" t="s">
        <v>74</v>
      </c>
      <c r="BN421" s="1">
        <v>1.0774586E7</v>
      </c>
      <c r="BO421" s="1" t="s">
        <v>74</v>
      </c>
      <c r="BP421" s="1" t="s">
        <v>74</v>
      </c>
      <c r="BQ421" s="1" t="s">
        <v>74</v>
      </c>
      <c r="BR421" s="1" t="s">
        <v>74</v>
      </c>
      <c r="BS421" s="1" t="s">
        <v>4398</v>
      </c>
      <c r="BT421" s="1" t="str">
        <f>HYPERLINK("https%3A%2F%2Fwww.webofscience.com%2Fwos%2Fwoscc%2Ffull-record%2FWOS:000085336000002","View Full Record in Web of Science")</f>
        <v>View Full Record in Web of Science</v>
      </c>
    </row>
    <row r="422" ht="12.75" customHeight="1">
      <c r="A422" s="1" t="s">
        <v>72</v>
      </c>
      <c r="B422" s="1" t="s">
        <v>4399</v>
      </c>
      <c r="C422" s="1" t="s">
        <v>74</v>
      </c>
      <c r="D422" s="1" t="s">
        <v>74</v>
      </c>
      <c r="E422" s="1" t="s">
        <v>74</v>
      </c>
      <c r="F422" s="1" t="s">
        <v>4399</v>
      </c>
      <c r="G422" s="1" t="s">
        <v>74</v>
      </c>
      <c r="H422" s="1" t="s">
        <v>74</v>
      </c>
      <c r="I422" s="1" t="s">
        <v>4400</v>
      </c>
      <c r="J422" s="1" t="s">
        <v>4401</v>
      </c>
      <c r="K422" s="1" t="s">
        <v>74</v>
      </c>
      <c r="L422" s="1" t="s">
        <v>74</v>
      </c>
      <c r="M422" s="1" t="s">
        <v>74</v>
      </c>
      <c r="N422" s="1" t="s">
        <v>74</v>
      </c>
      <c r="O422" s="1" t="s">
        <v>74</v>
      </c>
      <c r="P422" s="1" t="s">
        <v>74</v>
      </c>
      <c r="Q422" s="1" t="s">
        <v>74</v>
      </c>
      <c r="R422" s="1" t="s">
        <v>74</v>
      </c>
      <c r="S422" s="1" t="s">
        <v>74</v>
      </c>
      <c r="T422" s="1" t="s">
        <v>74</v>
      </c>
      <c r="U422" s="1" t="s">
        <v>74</v>
      </c>
      <c r="V422" s="1" t="s">
        <v>4402</v>
      </c>
      <c r="W422" s="1" t="s">
        <v>74</v>
      </c>
      <c r="X422" s="1" t="s">
        <v>74</v>
      </c>
      <c r="Y422" s="1" t="s">
        <v>74</v>
      </c>
      <c r="Z422" s="1" t="s">
        <v>74</v>
      </c>
      <c r="AA422" s="1" t="s">
        <v>74</v>
      </c>
      <c r="AB422" s="1" t="s">
        <v>74</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4403</v>
      </c>
      <c r="AP422" s="1" t="s">
        <v>4404</v>
      </c>
      <c r="AQ422" s="1" t="s">
        <v>74</v>
      </c>
      <c r="AR422" s="1" t="s">
        <v>74</v>
      </c>
      <c r="AS422" s="1" t="s">
        <v>74</v>
      </c>
      <c r="AT422" s="1" t="s">
        <v>4405</v>
      </c>
      <c r="AU422" s="1">
        <v>1996.0</v>
      </c>
      <c r="AV422" s="1">
        <v>477.0</v>
      </c>
      <c r="AW422" s="1">
        <v>3.0</v>
      </c>
      <c r="AX422" s="1" t="s">
        <v>74</v>
      </c>
      <c r="AY422" s="1" t="s">
        <v>74</v>
      </c>
      <c r="AZ422" s="1" t="s">
        <v>74</v>
      </c>
      <c r="BA422" s="1" t="s">
        <v>74</v>
      </c>
      <c r="BB422" s="1">
        <v>878.0</v>
      </c>
      <c r="BC422" s="1">
        <v>924.0</v>
      </c>
      <c r="BD422" s="1" t="s">
        <v>74</v>
      </c>
      <c r="BE422" s="1" t="s">
        <v>4406</v>
      </c>
      <c r="BF422" s="2" t="str">
        <f>HYPERLINK("http://dx.doi.org/10.1016/0550-3213(96)00340-9","http://dx.doi.org/10.1016/0550-3213(96)00340-9")</f>
        <v>http://dx.doi.org/10.1016/0550-3213(96)00340-9</v>
      </c>
      <c r="BG422" s="1" t="s">
        <v>74</v>
      </c>
      <c r="BH422" s="1" t="s">
        <v>74</v>
      </c>
      <c r="BI422" s="1" t="s">
        <v>74</v>
      </c>
      <c r="BJ422" s="1" t="s">
        <v>74</v>
      </c>
      <c r="BK422" s="1" t="s">
        <v>74</v>
      </c>
      <c r="BL422" s="1" t="s">
        <v>74</v>
      </c>
      <c r="BM422" s="1" t="s">
        <v>74</v>
      </c>
      <c r="BN422" s="1" t="s">
        <v>74</v>
      </c>
      <c r="BO422" s="1" t="s">
        <v>74</v>
      </c>
      <c r="BP422" s="1" t="s">
        <v>74</v>
      </c>
      <c r="BQ422" s="1" t="s">
        <v>74</v>
      </c>
      <c r="BR422" s="1" t="s">
        <v>74</v>
      </c>
      <c r="BS422" s="1" t="s">
        <v>4407</v>
      </c>
      <c r="BT422" s="1" t="str">
        <f>HYPERLINK("https%3A%2F%2Fwww.webofscience.com%2Fwos%2Fwoscc%2Ffull-record%2FWOS:A1996VN05300011","View Full Record in Web of Science")</f>
        <v>View Full Record in Web of Science</v>
      </c>
    </row>
    <row r="423" ht="12.75" customHeight="1">
      <c r="A423" s="1" t="s">
        <v>72</v>
      </c>
      <c r="B423" s="1" t="s">
        <v>4408</v>
      </c>
      <c r="C423" s="1" t="s">
        <v>74</v>
      </c>
      <c r="D423" s="1" t="s">
        <v>74</v>
      </c>
      <c r="E423" s="1" t="s">
        <v>74</v>
      </c>
      <c r="F423" s="1" t="s">
        <v>4408</v>
      </c>
      <c r="G423" s="1" t="s">
        <v>74</v>
      </c>
      <c r="H423" s="1" t="s">
        <v>74</v>
      </c>
      <c r="I423" s="1" t="s">
        <v>4409</v>
      </c>
      <c r="J423" s="1" t="s">
        <v>1654</v>
      </c>
      <c r="K423" s="1" t="s">
        <v>74</v>
      </c>
      <c r="L423" s="1" t="s">
        <v>74</v>
      </c>
      <c r="M423" s="1" t="s">
        <v>74</v>
      </c>
      <c r="N423" s="1" t="s">
        <v>74</v>
      </c>
      <c r="O423" s="1" t="s">
        <v>74</v>
      </c>
      <c r="P423" s="1" t="s">
        <v>74</v>
      </c>
      <c r="Q423" s="1" t="s">
        <v>74</v>
      </c>
      <c r="R423" s="1" t="s">
        <v>74</v>
      </c>
      <c r="S423" s="1" t="s">
        <v>74</v>
      </c>
      <c r="T423" s="1" t="s">
        <v>74</v>
      </c>
      <c r="U423" s="1" t="s">
        <v>74</v>
      </c>
      <c r="V423" s="1" t="s">
        <v>4410</v>
      </c>
      <c r="W423" s="1" t="s">
        <v>74</v>
      </c>
      <c r="X423" s="1" t="s">
        <v>74</v>
      </c>
      <c r="Y423" s="1" t="s">
        <v>74</v>
      </c>
      <c r="Z423" s="1" t="s">
        <v>74</v>
      </c>
      <c r="AA423" s="1" t="s">
        <v>74</v>
      </c>
      <c r="AB423" s="1" t="s">
        <v>74</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1656</v>
      </c>
      <c r="AP423" s="1" t="s">
        <v>74</v>
      </c>
      <c r="AQ423" s="1" t="s">
        <v>74</v>
      </c>
      <c r="AR423" s="1" t="s">
        <v>74</v>
      </c>
      <c r="AS423" s="1" t="s">
        <v>74</v>
      </c>
      <c r="AT423" s="1" t="s">
        <v>3987</v>
      </c>
      <c r="AU423" s="1">
        <v>1996.0</v>
      </c>
      <c r="AV423" s="1">
        <v>93.0</v>
      </c>
      <c r="AW423" s="1">
        <v>1.0</v>
      </c>
      <c r="AX423" s="1" t="s">
        <v>74</v>
      </c>
      <c r="AY423" s="1" t="s">
        <v>74</v>
      </c>
      <c r="AZ423" s="1" t="s">
        <v>74</v>
      </c>
      <c r="BA423" s="1" t="s">
        <v>74</v>
      </c>
      <c r="BB423" s="1">
        <v>49.0</v>
      </c>
      <c r="BC423" s="1">
        <v>56.0</v>
      </c>
      <c r="BD423" s="1" t="s">
        <v>74</v>
      </c>
      <c r="BE423" s="1" t="s">
        <v>4411</v>
      </c>
      <c r="BF423" s="2" t="str">
        <f>HYPERLINK("http://dx.doi.org/10.1016/1010-6030(95)04149-4","http://dx.doi.org/10.1016/1010-6030(95)04149-4")</f>
        <v>http://dx.doi.org/10.1016/1010-6030(95)04149-4</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4412</v>
      </c>
      <c r="BT423" s="1" t="str">
        <f>HYPERLINK("https%3A%2F%2Fwww.webofscience.com%2Fwos%2Fwoscc%2Ffull-record%2FWOS:A1996TW54400007","View Full Record in Web of Science")</f>
        <v>View Full Record in Web of Science</v>
      </c>
    </row>
    <row r="424" ht="12.75" customHeight="1">
      <c r="A424" s="1" t="s">
        <v>72</v>
      </c>
      <c r="B424" s="1" t="s">
        <v>4413</v>
      </c>
      <c r="C424" s="1" t="s">
        <v>74</v>
      </c>
      <c r="D424" s="1" t="s">
        <v>74</v>
      </c>
      <c r="E424" s="1" t="s">
        <v>74</v>
      </c>
      <c r="F424" s="1" t="s">
        <v>4414</v>
      </c>
      <c r="G424" s="1" t="s">
        <v>74</v>
      </c>
      <c r="H424" s="1" t="s">
        <v>74</v>
      </c>
      <c r="I424" s="1" t="s">
        <v>4415</v>
      </c>
      <c r="J424" s="1" t="s">
        <v>4416</v>
      </c>
      <c r="K424" s="1" t="s">
        <v>74</v>
      </c>
      <c r="L424" s="1" t="s">
        <v>74</v>
      </c>
      <c r="M424" s="1" t="s">
        <v>74</v>
      </c>
      <c r="N424" s="1" t="s">
        <v>74</v>
      </c>
      <c r="O424" s="1" t="s">
        <v>74</v>
      </c>
      <c r="P424" s="1" t="s">
        <v>74</v>
      </c>
      <c r="Q424" s="1" t="s">
        <v>74</v>
      </c>
      <c r="R424" s="1" t="s">
        <v>74</v>
      </c>
      <c r="S424" s="1" t="s">
        <v>74</v>
      </c>
      <c r="T424" s="1" t="s">
        <v>74</v>
      </c>
      <c r="U424" s="1" t="s">
        <v>74</v>
      </c>
      <c r="V424" s="1" t="s">
        <v>4417</v>
      </c>
      <c r="W424" s="1" t="s">
        <v>74</v>
      </c>
      <c r="X424" s="1" t="s">
        <v>74</v>
      </c>
      <c r="Y424" s="1" t="s">
        <v>74</v>
      </c>
      <c r="Z424" s="1" t="s">
        <v>74</v>
      </c>
      <c r="AA424" s="1" t="s">
        <v>4418</v>
      </c>
      <c r="AB424" s="1" t="s">
        <v>4419</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4420</v>
      </c>
      <c r="AP424" s="1" t="s">
        <v>74</v>
      </c>
      <c r="AQ424" s="1" t="s">
        <v>74</v>
      </c>
      <c r="AR424" s="1" t="s">
        <v>74</v>
      </c>
      <c r="AS424" s="1" t="s">
        <v>74</v>
      </c>
      <c r="AT424" s="1" t="s">
        <v>282</v>
      </c>
      <c r="AU424" s="1">
        <v>2023.0</v>
      </c>
      <c r="AV424" s="1">
        <v>11.0</v>
      </c>
      <c r="AW424" s="1">
        <v>15.0</v>
      </c>
      <c r="AX424" s="1" t="s">
        <v>74</v>
      </c>
      <c r="AY424" s="1" t="s">
        <v>74</v>
      </c>
      <c r="AZ424" s="1" t="s">
        <v>74</v>
      </c>
      <c r="BA424" s="1" t="s">
        <v>74</v>
      </c>
      <c r="BB424" s="1" t="s">
        <v>74</v>
      </c>
      <c r="BC424" s="1" t="s">
        <v>74</v>
      </c>
      <c r="BD424" s="1" t="s">
        <v>74</v>
      </c>
      <c r="BE424" s="1" t="s">
        <v>4421</v>
      </c>
      <c r="BF424" s="2" t="str">
        <f>HYPERLINK("http://dx.doi.org/10.1002/adom.202300142","http://dx.doi.org/10.1002/adom.202300142")</f>
        <v>http://dx.doi.org/10.1002/adom.202300142</v>
      </c>
      <c r="BG424" s="1" t="s">
        <v>74</v>
      </c>
      <c r="BH424" s="1" t="s">
        <v>4422</v>
      </c>
      <c r="BI424" s="1" t="s">
        <v>74</v>
      </c>
      <c r="BJ424" s="1" t="s">
        <v>74</v>
      </c>
      <c r="BK424" s="1" t="s">
        <v>74</v>
      </c>
      <c r="BL424" s="1" t="s">
        <v>74</v>
      </c>
      <c r="BM424" s="1" t="s">
        <v>74</v>
      </c>
      <c r="BN424" s="1" t="s">
        <v>74</v>
      </c>
      <c r="BO424" s="1" t="s">
        <v>74</v>
      </c>
      <c r="BP424" s="1" t="s">
        <v>74</v>
      </c>
      <c r="BQ424" s="1" t="s">
        <v>74</v>
      </c>
      <c r="BR424" s="1" t="s">
        <v>74</v>
      </c>
      <c r="BS424" s="1" t="s">
        <v>4423</v>
      </c>
      <c r="BT424" s="1" t="str">
        <f>HYPERLINK("https%3A%2F%2Fwww.webofscience.com%2Fwos%2Fwoscc%2Ffull-record%2FWOS:001022784100001","View Full Record in Web of Science")</f>
        <v>View Full Record in Web of Science</v>
      </c>
    </row>
    <row r="425" ht="12.75" customHeight="1">
      <c r="A425" s="1" t="s">
        <v>72</v>
      </c>
      <c r="B425" s="1" t="s">
        <v>4424</v>
      </c>
      <c r="C425" s="1" t="s">
        <v>74</v>
      </c>
      <c r="D425" s="1" t="s">
        <v>74</v>
      </c>
      <c r="E425" s="1" t="s">
        <v>74</v>
      </c>
      <c r="F425" s="1" t="s">
        <v>4425</v>
      </c>
      <c r="G425" s="1" t="s">
        <v>74</v>
      </c>
      <c r="H425" s="1" t="s">
        <v>74</v>
      </c>
      <c r="I425" s="1" t="s">
        <v>4426</v>
      </c>
      <c r="J425" s="1" t="s">
        <v>4427</v>
      </c>
      <c r="K425" s="1" t="s">
        <v>74</v>
      </c>
      <c r="L425" s="1" t="s">
        <v>74</v>
      </c>
      <c r="M425" s="1" t="s">
        <v>74</v>
      </c>
      <c r="N425" s="1" t="s">
        <v>74</v>
      </c>
      <c r="O425" s="1" t="s">
        <v>74</v>
      </c>
      <c r="P425" s="1" t="s">
        <v>74</v>
      </c>
      <c r="Q425" s="1" t="s">
        <v>74</v>
      </c>
      <c r="R425" s="1" t="s">
        <v>74</v>
      </c>
      <c r="S425" s="1" t="s">
        <v>74</v>
      </c>
      <c r="T425" s="1" t="s">
        <v>74</v>
      </c>
      <c r="U425" s="1" t="s">
        <v>74</v>
      </c>
      <c r="V425" s="1" t="s">
        <v>4428</v>
      </c>
      <c r="W425" s="1" t="s">
        <v>74</v>
      </c>
      <c r="X425" s="1" t="s">
        <v>74</v>
      </c>
      <c r="Y425" s="1" t="s">
        <v>74</v>
      </c>
      <c r="Z425" s="1" t="s">
        <v>74</v>
      </c>
      <c r="AA425" s="1" t="s">
        <v>4429</v>
      </c>
      <c r="AB425" s="1" t="s">
        <v>4430</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4431</v>
      </c>
      <c r="AP425" s="1" t="s">
        <v>4432</v>
      </c>
      <c r="AQ425" s="1" t="s">
        <v>74</v>
      </c>
      <c r="AR425" s="1" t="s">
        <v>74</v>
      </c>
      <c r="AS425" s="1" t="s">
        <v>74</v>
      </c>
      <c r="AT425" s="1" t="s">
        <v>4433</v>
      </c>
      <c r="AU425" s="1">
        <v>2023.0</v>
      </c>
      <c r="AV425" s="1">
        <v>94.0</v>
      </c>
      <c r="AW425" s="1">
        <v>2.0</v>
      </c>
      <c r="AX425" s="1" t="s">
        <v>74</v>
      </c>
      <c r="AY425" s="1" t="s">
        <v>74</v>
      </c>
      <c r="AZ425" s="1" t="s">
        <v>74</v>
      </c>
      <c r="BA425" s="1" t="s">
        <v>74</v>
      </c>
      <c r="BB425" s="1">
        <v>170.0</v>
      </c>
      <c r="BC425" s="1">
        <v>180.0</v>
      </c>
      <c r="BD425" s="1" t="s">
        <v>74</v>
      </c>
      <c r="BE425" s="1" t="s">
        <v>4434</v>
      </c>
      <c r="BF425" s="2" t="str">
        <f>HYPERLINK("http://dx.doi.org/10.32641/andespediatr.v94i2.4164","http://dx.doi.org/10.32641/andespediatr.v94i2.4164")</f>
        <v>http://dx.doi.org/10.32641/andespediatr.v94i2.4164</v>
      </c>
      <c r="BG425" s="1" t="s">
        <v>74</v>
      </c>
      <c r="BH425" s="1" t="s">
        <v>74</v>
      </c>
      <c r="BI425" s="1" t="s">
        <v>74</v>
      </c>
      <c r="BJ425" s="1" t="s">
        <v>74</v>
      </c>
      <c r="BK425" s="1" t="s">
        <v>74</v>
      </c>
      <c r="BL425" s="1" t="s">
        <v>74</v>
      </c>
      <c r="BM425" s="1" t="s">
        <v>74</v>
      </c>
      <c r="BN425" s="1">
        <v>3.735811E7</v>
      </c>
      <c r="BO425" s="1" t="s">
        <v>74</v>
      </c>
      <c r="BP425" s="1" t="s">
        <v>74</v>
      </c>
      <c r="BQ425" s="1" t="s">
        <v>74</v>
      </c>
      <c r="BR425" s="1" t="s">
        <v>74</v>
      </c>
      <c r="BS425" s="1" t="s">
        <v>4435</v>
      </c>
      <c r="BT425" s="1" t="str">
        <f>HYPERLINK("https%3A%2F%2Fwww.webofscience.com%2Fwos%2Fwoscc%2Ffull-record%2FWOS:001001813600006","View Full Record in Web of Science")</f>
        <v>View Full Record in Web of Science</v>
      </c>
    </row>
    <row r="426" ht="12.75" customHeight="1">
      <c r="A426" s="1" t="s">
        <v>72</v>
      </c>
      <c r="B426" s="1" t="s">
        <v>4436</v>
      </c>
      <c r="C426" s="1" t="s">
        <v>74</v>
      </c>
      <c r="D426" s="1" t="s">
        <v>74</v>
      </c>
      <c r="E426" s="1" t="s">
        <v>74</v>
      </c>
      <c r="F426" s="1" t="s">
        <v>4437</v>
      </c>
      <c r="G426" s="1" t="s">
        <v>74</v>
      </c>
      <c r="H426" s="1" t="s">
        <v>74</v>
      </c>
      <c r="I426" s="1" t="s">
        <v>4438</v>
      </c>
      <c r="J426" s="1" t="s">
        <v>4439</v>
      </c>
      <c r="K426" s="1" t="s">
        <v>74</v>
      </c>
      <c r="L426" s="1" t="s">
        <v>74</v>
      </c>
      <c r="M426" s="1" t="s">
        <v>74</v>
      </c>
      <c r="N426" s="1" t="s">
        <v>74</v>
      </c>
      <c r="O426" s="1" t="s">
        <v>74</v>
      </c>
      <c r="P426" s="1" t="s">
        <v>74</v>
      </c>
      <c r="Q426" s="1" t="s">
        <v>74</v>
      </c>
      <c r="R426" s="1" t="s">
        <v>74</v>
      </c>
      <c r="S426" s="1" t="s">
        <v>74</v>
      </c>
      <c r="T426" s="1" t="s">
        <v>74</v>
      </c>
      <c r="U426" s="1" t="s">
        <v>74</v>
      </c>
      <c r="V426" s="1" t="s">
        <v>4440</v>
      </c>
      <c r="W426" s="1" t="s">
        <v>74</v>
      </c>
      <c r="X426" s="1" t="s">
        <v>74</v>
      </c>
      <c r="Y426" s="1" t="s">
        <v>74</v>
      </c>
      <c r="Z426" s="1" t="s">
        <v>74</v>
      </c>
      <c r="AA426" s="1" t="s">
        <v>4441</v>
      </c>
      <c r="AB426" s="1" t="s">
        <v>3525</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74</v>
      </c>
      <c r="AP426" s="1" t="s">
        <v>4442</v>
      </c>
      <c r="AQ426" s="1" t="s">
        <v>74</v>
      </c>
      <c r="AR426" s="1" t="s">
        <v>74</v>
      </c>
      <c r="AS426" s="1" t="s">
        <v>74</v>
      </c>
      <c r="AT426" s="1" t="s">
        <v>4443</v>
      </c>
      <c r="AU426" s="1">
        <v>2021.0</v>
      </c>
      <c r="AV426" s="1">
        <v>21.0</v>
      </c>
      <c r="AW426" s="1">
        <v>1.0</v>
      </c>
      <c r="AX426" s="1" t="s">
        <v>74</v>
      </c>
      <c r="AY426" s="1" t="s">
        <v>74</v>
      </c>
      <c r="AZ426" s="1" t="s">
        <v>74</v>
      </c>
      <c r="BA426" s="1" t="s">
        <v>74</v>
      </c>
      <c r="BB426" s="1" t="s">
        <v>74</v>
      </c>
      <c r="BC426" s="1" t="s">
        <v>74</v>
      </c>
      <c r="BD426" s="1">
        <v>1123.0</v>
      </c>
      <c r="BE426" s="1" t="s">
        <v>4444</v>
      </c>
      <c r="BF426" s="2" t="str">
        <f>HYPERLINK("http://dx.doi.org/10.1186/s12889-021-11171-3","http://dx.doi.org/10.1186/s12889-021-11171-3")</f>
        <v>http://dx.doi.org/10.1186/s12889-021-11171-3</v>
      </c>
      <c r="BG426" s="1" t="s">
        <v>74</v>
      </c>
      <c r="BH426" s="1" t="s">
        <v>74</v>
      </c>
      <c r="BI426" s="1" t="s">
        <v>74</v>
      </c>
      <c r="BJ426" s="1" t="s">
        <v>74</v>
      </c>
      <c r="BK426" s="1" t="s">
        <v>74</v>
      </c>
      <c r="BL426" s="1" t="s">
        <v>74</v>
      </c>
      <c r="BM426" s="1" t="s">
        <v>74</v>
      </c>
      <c r="BN426" s="1">
        <v>3.4118909E7</v>
      </c>
      <c r="BO426" s="1" t="s">
        <v>74</v>
      </c>
      <c r="BP426" s="1" t="s">
        <v>74</v>
      </c>
      <c r="BQ426" s="1" t="s">
        <v>74</v>
      </c>
      <c r="BR426" s="1" t="s">
        <v>74</v>
      </c>
      <c r="BS426" s="1" t="s">
        <v>4445</v>
      </c>
      <c r="BT426" s="1" t="str">
        <f>HYPERLINK("https%3A%2F%2Fwww.webofscience.com%2Fwos%2Fwoscc%2Ffull-record%2FWOS:000663030300008","View Full Record in Web of Science")</f>
        <v>View Full Record in Web of Science</v>
      </c>
    </row>
    <row r="427" ht="12.75" customHeight="1">
      <c r="A427" s="1" t="s">
        <v>72</v>
      </c>
      <c r="B427" s="1" t="s">
        <v>4446</v>
      </c>
      <c r="C427" s="1" t="s">
        <v>74</v>
      </c>
      <c r="D427" s="1" t="s">
        <v>74</v>
      </c>
      <c r="E427" s="1" t="s">
        <v>74</v>
      </c>
      <c r="F427" s="1" t="s">
        <v>4447</v>
      </c>
      <c r="G427" s="1" t="s">
        <v>74</v>
      </c>
      <c r="H427" s="1" t="s">
        <v>74</v>
      </c>
      <c r="I427" s="1" t="s">
        <v>4448</v>
      </c>
      <c r="J427" s="1" t="s">
        <v>4449</v>
      </c>
      <c r="K427" s="1" t="s">
        <v>74</v>
      </c>
      <c r="L427" s="1" t="s">
        <v>74</v>
      </c>
      <c r="M427" s="1" t="s">
        <v>74</v>
      </c>
      <c r="N427" s="1" t="s">
        <v>74</v>
      </c>
      <c r="O427" s="1" t="s">
        <v>74</v>
      </c>
      <c r="P427" s="1" t="s">
        <v>74</v>
      </c>
      <c r="Q427" s="1" t="s">
        <v>74</v>
      </c>
      <c r="R427" s="1" t="s">
        <v>74</v>
      </c>
      <c r="S427" s="1" t="s">
        <v>74</v>
      </c>
      <c r="T427" s="1" t="s">
        <v>74</v>
      </c>
      <c r="U427" s="1" t="s">
        <v>74</v>
      </c>
      <c r="V427" s="1" t="s">
        <v>4450</v>
      </c>
      <c r="W427" s="1" t="s">
        <v>74</v>
      </c>
      <c r="X427" s="1" t="s">
        <v>74</v>
      </c>
      <c r="Y427" s="1" t="s">
        <v>74</v>
      </c>
      <c r="Z427" s="1" t="s">
        <v>74</v>
      </c>
      <c r="AA427" s="1" t="s">
        <v>4451</v>
      </c>
      <c r="AB427" s="1" t="s">
        <v>4452</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4453</v>
      </c>
      <c r="AP427" s="1" t="s">
        <v>4454</v>
      </c>
      <c r="AQ427" s="1" t="s">
        <v>74</v>
      </c>
      <c r="AR427" s="1" t="s">
        <v>74</v>
      </c>
      <c r="AS427" s="1" t="s">
        <v>74</v>
      </c>
      <c r="AT427" s="1" t="s">
        <v>94</v>
      </c>
      <c r="AU427" s="1">
        <v>2021.0</v>
      </c>
      <c r="AV427" s="1">
        <v>13.0</v>
      </c>
      <c r="AW427" s="1">
        <v>2.0</v>
      </c>
      <c r="AX427" s="1" t="s">
        <v>74</v>
      </c>
      <c r="AY427" s="1" t="s">
        <v>74</v>
      </c>
      <c r="AZ427" s="1" t="s">
        <v>74</v>
      </c>
      <c r="BA427" s="1" t="s">
        <v>74</v>
      </c>
      <c r="BB427" s="1">
        <v>322.0</v>
      </c>
      <c r="BC427" s="1">
        <v>333.0</v>
      </c>
      <c r="BD427" s="1" t="s">
        <v>74</v>
      </c>
      <c r="BE427" s="1" t="s">
        <v>4455</v>
      </c>
      <c r="BF427" s="2" t="str">
        <f>HYPERLINK("http://dx.doi.org/10.3390/pediatric13020040","http://dx.doi.org/10.3390/pediatric13020040")</f>
        <v>http://dx.doi.org/10.3390/pediatric13020040</v>
      </c>
      <c r="BG427" s="1" t="s">
        <v>74</v>
      </c>
      <c r="BH427" s="1" t="s">
        <v>74</v>
      </c>
      <c r="BI427" s="1" t="s">
        <v>74</v>
      </c>
      <c r="BJ427" s="1" t="s">
        <v>74</v>
      </c>
      <c r="BK427" s="1" t="s">
        <v>74</v>
      </c>
      <c r="BL427" s="1" t="s">
        <v>74</v>
      </c>
      <c r="BM427" s="1" t="s">
        <v>74</v>
      </c>
      <c r="BN427" s="1">
        <v>3.4201263E7</v>
      </c>
      <c r="BO427" s="1" t="s">
        <v>74</v>
      </c>
      <c r="BP427" s="1" t="s">
        <v>74</v>
      </c>
      <c r="BQ427" s="1" t="s">
        <v>74</v>
      </c>
      <c r="BR427" s="1" t="s">
        <v>74</v>
      </c>
      <c r="BS427" s="1" t="s">
        <v>4456</v>
      </c>
      <c r="BT427" s="1" t="str">
        <f>HYPERLINK("https%3A%2F%2Fwww.webofscience.com%2Fwos%2Fwoscc%2Ffull-record%2FWOS:000668297100001","View Full Record in Web of Science")</f>
        <v>View Full Record in Web of Science</v>
      </c>
    </row>
    <row r="428" ht="12.75" customHeight="1">
      <c r="A428" s="1" t="s">
        <v>72</v>
      </c>
      <c r="B428" s="1" t="s">
        <v>4457</v>
      </c>
      <c r="C428" s="1" t="s">
        <v>74</v>
      </c>
      <c r="D428" s="1" t="s">
        <v>74</v>
      </c>
      <c r="E428" s="1" t="s">
        <v>74</v>
      </c>
      <c r="F428" s="1" t="s">
        <v>4458</v>
      </c>
      <c r="G428" s="1" t="s">
        <v>74</v>
      </c>
      <c r="H428" s="1" t="s">
        <v>74</v>
      </c>
      <c r="I428" s="1" t="s">
        <v>4459</v>
      </c>
      <c r="J428" s="1" t="s">
        <v>4460</v>
      </c>
      <c r="K428" s="1" t="s">
        <v>74</v>
      </c>
      <c r="L428" s="1" t="s">
        <v>74</v>
      </c>
      <c r="M428" s="1" t="s">
        <v>74</v>
      </c>
      <c r="N428" s="1" t="s">
        <v>74</v>
      </c>
      <c r="O428" s="1" t="s">
        <v>74</v>
      </c>
      <c r="P428" s="1" t="s">
        <v>74</v>
      </c>
      <c r="Q428" s="1" t="s">
        <v>74</v>
      </c>
      <c r="R428" s="1" t="s">
        <v>74</v>
      </c>
      <c r="S428" s="1" t="s">
        <v>74</v>
      </c>
      <c r="T428" s="1" t="s">
        <v>74</v>
      </c>
      <c r="U428" s="1" t="s">
        <v>74</v>
      </c>
      <c r="V428" s="1" t="s">
        <v>4461</v>
      </c>
      <c r="W428" s="1" t="s">
        <v>74</v>
      </c>
      <c r="X428" s="1" t="s">
        <v>74</v>
      </c>
      <c r="Y428" s="1" t="s">
        <v>74</v>
      </c>
      <c r="Z428" s="1" t="s">
        <v>74</v>
      </c>
      <c r="AA428" s="1" t="s">
        <v>4462</v>
      </c>
      <c r="AB428" s="1" t="s">
        <v>4463</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4464</v>
      </c>
      <c r="AP428" s="1" t="s">
        <v>74</v>
      </c>
      <c r="AQ428" s="1" t="s">
        <v>74</v>
      </c>
      <c r="AR428" s="1" t="s">
        <v>74</v>
      </c>
      <c r="AS428" s="1" t="s">
        <v>74</v>
      </c>
      <c r="AT428" s="1" t="s">
        <v>4465</v>
      </c>
      <c r="AU428" s="1">
        <v>2021.0</v>
      </c>
      <c r="AV428" s="1">
        <v>8.0</v>
      </c>
      <c r="AW428" s="1">
        <v>2.0</v>
      </c>
      <c r="AX428" s="1" t="s">
        <v>74</v>
      </c>
      <c r="AY428" s="1" t="s">
        <v>74</v>
      </c>
      <c r="AZ428" s="1" t="s">
        <v>74</v>
      </c>
      <c r="BA428" s="1" t="s">
        <v>74</v>
      </c>
      <c r="BB428" s="1">
        <v>433.0</v>
      </c>
      <c r="BC428" s="1">
        <v>443.0</v>
      </c>
      <c r="BD428" s="1" t="s">
        <v>74</v>
      </c>
      <c r="BE428" s="1" t="s">
        <v>4466</v>
      </c>
      <c r="BF428" s="2" t="str">
        <f>HYPERLINK("http://dx.doi.org/10.1039/d0qi01129k","http://dx.doi.org/10.1039/d0qi01129k")</f>
        <v>http://dx.doi.org/10.1039/d0qi01129k</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4467</v>
      </c>
      <c r="BT428" s="1" t="str">
        <f>HYPERLINK("https%3A%2F%2Fwww.webofscience.com%2Fwos%2Fwoscc%2Ffull-record%2FWOS:000611857300018","View Full Record in Web of Science")</f>
        <v>View Full Record in Web of Science</v>
      </c>
    </row>
    <row r="429" ht="12.75" customHeight="1">
      <c r="A429" s="1" t="s">
        <v>72</v>
      </c>
      <c r="B429" s="1" t="s">
        <v>4468</v>
      </c>
      <c r="C429" s="1" t="s">
        <v>74</v>
      </c>
      <c r="D429" s="1" t="s">
        <v>74</v>
      </c>
      <c r="E429" s="1" t="s">
        <v>74</v>
      </c>
      <c r="F429" s="1" t="s">
        <v>4469</v>
      </c>
      <c r="G429" s="1" t="s">
        <v>74</v>
      </c>
      <c r="H429" s="1" t="s">
        <v>74</v>
      </c>
      <c r="I429" s="1" t="s">
        <v>4470</v>
      </c>
      <c r="J429" s="1" t="s">
        <v>4471</v>
      </c>
      <c r="K429" s="1" t="s">
        <v>74</v>
      </c>
      <c r="L429" s="1" t="s">
        <v>74</v>
      </c>
      <c r="M429" s="1" t="s">
        <v>74</v>
      </c>
      <c r="N429" s="1" t="s">
        <v>74</v>
      </c>
      <c r="O429" s="1" t="s">
        <v>74</v>
      </c>
      <c r="P429" s="1" t="s">
        <v>74</v>
      </c>
      <c r="Q429" s="1" t="s">
        <v>74</v>
      </c>
      <c r="R429" s="1" t="s">
        <v>74</v>
      </c>
      <c r="S429" s="1" t="s">
        <v>74</v>
      </c>
      <c r="T429" s="1" t="s">
        <v>74</v>
      </c>
      <c r="U429" s="1" t="s">
        <v>74</v>
      </c>
      <c r="V429" s="1" t="s">
        <v>4472</v>
      </c>
      <c r="W429" s="1" t="s">
        <v>74</v>
      </c>
      <c r="X429" s="1" t="s">
        <v>74</v>
      </c>
      <c r="Y429" s="1" t="s">
        <v>74</v>
      </c>
      <c r="Z429" s="1" t="s">
        <v>74</v>
      </c>
      <c r="AA429" s="1" t="s">
        <v>4473</v>
      </c>
      <c r="AB429" s="1" t="s">
        <v>4474</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4475</v>
      </c>
      <c r="AP429" s="1" t="s">
        <v>4476</v>
      </c>
      <c r="AQ429" s="1" t="s">
        <v>74</v>
      </c>
      <c r="AR429" s="1" t="s">
        <v>74</v>
      </c>
      <c r="AS429" s="1" t="s">
        <v>74</v>
      </c>
      <c r="AT429" s="1" t="s">
        <v>282</v>
      </c>
      <c r="AU429" s="1">
        <v>2019.0</v>
      </c>
      <c r="AV429" s="1">
        <v>111.0</v>
      </c>
      <c r="AW429" s="1" t="s">
        <v>74</v>
      </c>
      <c r="AX429" s="1" t="s">
        <v>74</v>
      </c>
      <c r="AY429" s="1" t="s">
        <v>74</v>
      </c>
      <c r="AZ429" s="1" t="s">
        <v>74</v>
      </c>
      <c r="BA429" s="1" t="s">
        <v>74</v>
      </c>
      <c r="BB429" s="1">
        <v>760.0</v>
      </c>
      <c r="BC429" s="1">
        <v>766.0</v>
      </c>
      <c r="BD429" s="1" t="s">
        <v>74</v>
      </c>
      <c r="BE429" s="1" t="s">
        <v>4477</v>
      </c>
      <c r="BF429" s="2" t="str">
        <f>HYPERLINK("http://dx.doi.org/10.1016/j.lwt.2019.05.067","http://dx.doi.org/10.1016/j.lwt.2019.05.067")</f>
        <v>http://dx.doi.org/10.1016/j.lwt.2019.05.067</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4478</v>
      </c>
      <c r="BT429" s="1" t="str">
        <f>HYPERLINK("https%3A%2F%2Fwww.webofscience.com%2Fwos%2Fwoscc%2Ffull-record%2FWOS:000474325500098","View Full Record in Web of Science")</f>
        <v>View Full Record in Web of Science</v>
      </c>
    </row>
    <row r="430" ht="12.75" customHeight="1">
      <c r="A430" s="1" t="s">
        <v>207</v>
      </c>
      <c r="B430" s="1" t="s">
        <v>4479</v>
      </c>
      <c r="C430" s="1" t="s">
        <v>74</v>
      </c>
      <c r="D430" s="1" t="s">
        <v>4480</v>
      </c>
      <c r="E430" s="1" t="s">
        <v>74</v>
      </c>
      <c r="F430" s="1" t="s">
        <v>4481</v>
      </c>
      <c r="G430" s="1" t="s">
        <v>74</v>
      </c>
      <c r="H430" s="1" t="s">
        <v>74</v>
      </c>
      <c r="I430" s="1" t="s">
        <v>4482</v>
      </c>
      <c r="J430" s="1" t="s">
        <v>4483</v>
      </c>
      <c r="K430" s="1" t="s">
        <v>4484</v>
      </c>
      <c r="L430" s="1" t="s">
        <v>74</v>
      </c>
      <c r="M430" s="1" t="s">
        <v>74</v>
      </c>
      <c r="N430" s="1" t="s">
        <v>74</v>
      </c>
      <c r="O430" s="1" t="s">
        <v>4485</v>
      </c>
      <c r="P430" s="1" t="s">
        <v>4486</v>
      </c>
      <c r="Q430" s="1" t="s">
        <v>4487</v>
      </c>
      <c r="R430" s="1" t="s">
        <v>4488</v>
      </c>
      <c r="S430" s="1" t="s">
        <v>4489</v>
      </c>
      <c r="T430" s="1" t="s">
        <v>74</v>
      </c>
      <c r="U430" s="1" t="s">
        <v>74</v>
      </c>
      <c r="V430" s="1" t="s">
        <v>4490</v>
      </c>
      <c r="W430" s="1" t="s">
        <v>74</v>
      </c>
      <c r="X430" s="1" t="s">
        <v>74</v>
      </c>
      <c r="Y430" s="1" t="s">
        <v>74</v>
      </c>
      <c r="Z430" s="1" t="s">
        <v>74</v>
      </c>
      <c r="AA430" s="1" t="s">
        <v>4491</v>
      </c>
      <c r="AB430" s="1" t="s">
        <v>4492</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4493</v>
      </c>
      <c r="AP430" s="1" t="s">
        <v>74</v>
      </c>
      <c r="AQ430" s="1" t="s">
        <v>4494</v>
      </c>
      <c r="AR430" s="1" t="s">
        <v>74</v>
      </c>
      <c r="AS430" s="1" t="s">
        <v>74</v>
      </c>
      <c r="AT430" s="1" t="s">
        <v>74</v>
      </c>
      <c r="AU430" s="1">
        <v>2018.0</v>
      </c>
      <c r="AV430" s="1" t="s">
        <v>74</v>
      </c>
      <c r="AW430" s="1" t="s">
        <v>74</v>
      </c>
      <c r="AX430" s="1" t="s">
        <v>74</v>
      </c>
      <c r="AY430" s="1" t="s">
        <v>74</v>
      </c>
      <c r="AZ430" s="1" t="s">
        <v>74</v>
      </c>
      <c r="BA430" s="1" t="s">
        <v>74</v>
      </c>
      <c r="BB430" s="1">
        <v>579.0</v>
      </c>
      <c r="BC430" s="1">
        <v>587.0</v>
      </c>
      <c r="BD430" s="1" t="s">
        <v>74</v>
      </c>
      <c r="BE430" s="1" t="s">
        <v>4495</v>
      </c>
      <c r="BF430" s="2" t="str">
        <f>HYPERLINK("http://dx.doi.org/10.1109/PDP2018.2018.00098","http://dx.doi.org/10.1109/PDP2018.2018.00098")</f>
        <v>http://dx.doi.org/10.1109/PDP2018.2018.00098</v>
      </c>
      <c r="BG430" s="1" t="s">
        <v>74</v>
      </c>
      <c r="BH430" s="1" t="s">
        <v>74</v>
      </c>
      <c r="BI430" s="1" t="s">
        <v>74</v>
      </c>
      <c r="BJ430" s="1" t="s">
        <v>74</v>
      </c>
      <c r="BK430" s="1" t="s">
        <v>74</v>
      </c>
      <c r="BL430" s="1" t="s">
        <v>74</v>
      </c>
      <c r="BM430" s="1" t="s">
        <v>74</v>
      </c>
      <c r="BN430" s="1" t="s">
        <v>74</v>
      </c>
      <c r="BO430" s="1" t="s">
        <v>74</v>
      </c>
      <c r="BP430" s="1" t="s">
        <v>74</v>
      </c>
      <c r="BQ430" s="1" t="s">
        <v>74</v>
      </c>
      <c r="BR430" s="1" t="s">
        <v>74</v>
      </c>
      <c r="BS430" s="1" t="s">
        <v>4496</v>
      </c>
      <c r="BT430" s="1" t="str">
        <f>HYPERLINK("https%3A%2F%2Fwww.webofscience.com%2Fwos%2Fwoscc%2Ffull-record%2FWOS:000443807600089","View Full Record in Web of Science")</f>
        <v>View Full Record in Web of Science</v>
      </c>
    </row>
    <row r="431" ht="12.75" customHeight="1">
      <c r="A431" s="1" t="s">
        <v>72</v>
      </c>
      <c r="B431" s="1" t="s">
        <v>4497</v>
      </c>
      <c r="C431" s="1" t="s">
        <v>74</v>
      </c>
      <c r="D431" s="1" t="s">
        <v>74</v>
      </c>
      <c r="E431" s="1" t="s">
        <v>74</v>
      </c>
      <c r="F431" s="1" t="s">
        <v>4498</v>
      </c>
      <c r="G431" s="1" t="s">
        <v>74</v>
      </c>
      <c r="H431" s="1" t="s">
        <v>74</v>
      </c>
      <c r="I431" s="1" t="s">
        <v>4499</v>
      </c>
      <c r="J431" s="1" t="s">
        <v>2460</v>
      </c>
      <c r="K431" s="1" t="s">
        <v>74</v>
      </c>
      <c r="L431" s="1" t="s">
        <v>74</v>
      </c>
      <c r="M431" s="1" t="s">
        <v>74</v>
      </c>
      <c r="N431" s="1" t="s">
        <v>74</v>
      </c>
      <c r="O431" s="1" t="s">
        <v>74</v>
      </c>
      <c r="P431" s="1" t="s">
        <v>74</v>
      </c>
      <c r="Q431" s="1" t="s">
        <v>74</v>
      </c>
      <c r="R431" s="1" t="s">
        <v>74</v>
      </c>
      <c r="S431" s="1" t="s">
        <v>74</v>
      </c>
      <c r="T431" s="1" t="s">
        <v>74</v>
      </c>
      <c r="U431" s="1" t="s">
        <v>74</v>
      </c>
      <c r="V431" s="1" t="s">
        <v>4500</v>
      </c>
      <c r="W431" s="1" t="s">
        <v>74</v>
      </c>
      <c r="X431" s="1" t="s">
        <v>74</v>
      </c>
      <c r="Y431" s="1" t="s">
        <v>74</v>
      </c>
      <c r="Z431" s="1" t="s">
        <v>74</v>
      </c>
      <c r="AA431" s="1" t="s">
        <v>4501</v>
      </c>
      <c r="AB431" s="1" t="s">
        <v>4502</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2464</v>
      </c>
      <c r="AP431" s="1" t="s">
        <v>2465</v>
      </c>
      <c r="AQ431" s="1" t="s">
        <v>74</v>
      </c>
      <c r="AR431" s="1" t="s">
        <v>74</v>
      </c>
      <c r="AS431" s="1" t="s">
        <v>74</v>
      </c>
      <c r="AT431" s="1" t="s">
        <v>408</v>
      </c>
      <c r="AU431" s="1">
        <v>2017.0</v>
      </c>
      <c r="AV431" s="1">
        <v>145.0</v>
      </c>
      <c r="AW431" s="1">
        <v>3.0</v>
      </c>
      <c r="AX431" s="1" t="s">
        <v>74</v>
      </c>
      <c r="AY431" s="1" t="s">
        <v>74</v>
      </c>
      <c r="AZ431" s="1" t="s">
        <v>74</v>
      </c>
      <c r="BA431" s="1" t="s">
        <v>74</v>
      </c>
      <c r="BB431" s="1">
        <v>327.0</v>
      </c>
      <c r="BC431" s="1">
        <v>334.0</v>
      </c>
      <c r="BD431" s="1" t="s">
        <v>74</v>
      </c>
      <c r="BE431" s="1" t="s">
        <v>74</v>
      </c>
      <c r="BF431" s="1" t="s">
        <v>74</v>
      </c>
      <c r="BG431" s="1" t="s">
        <v>74</v>
      </c>
      <c r="BH431" s="1" t="s">
        <v>74</v>
      </c>
      <c r="BI431" s="1" t="s">
        <v>74</v>
      </c>
      <c r="BJ431" s="1" t="s">
        <v>74</v>
      </c>
      <c r="BK431" s="1" t="s">
        <v>74</v>
      </c>
      <c r="BL431" s="1" t="s">
        <v>74</v>
      </c>
      <c r="BM431" s="1" t="s">
        <v>74</v>
      </c>
      <c r="BN431" s="1" t="s">
        <v>74</v>
      </c>
      <c r="BO431" s="1" t="s">
        <v>74</v>
      </c>
      <c r="BP431" s="1" t="s">
        <v>74</v>
      </c>
      <c r="BQ431" s="1" t="s">
        <v>74</v>
      </c>
      <c r="BR431" s="1" t="s">
        <v>74</v>
      </c>
      <c r="BS431" s="1" t="s">
        <v>4503</v>
      </c>
      <c r="BT431" s="1" t="str">
        <f>HYPERLINK("https%3A%2F%2Fwww.webofscience.com%2Fwos%2Fwoscc%2Ffull-record%2FWOS:000400323400006","View Full Record in Web of Science")</f>
        <v>View Full Record in Web of Science</v>
      </c>
    </row>
    <row r="432" ht="12.75" customHeight="1">
      <c r="A432" s="1" t="s">
        <v>72</v>
      </c>
      <c r="B432" s="1" t="s">
        <v>4504</v>
      </c>
      <c r="C432" s="1" t="s">
        <v>74</v>
      </c>
      <c r="D432" s="1" t="s">
        <v>74</v>
      </c>
      <c r="E432" s="1" t="s">
        <v>74</v>
      </c>
      <c r="F432" s="1" t="s">
        <v>4505</v>
      </c>
      <c r="G432" s="1" t="s">
        <v>74</v>
      </c>
      <c r="H432" s="1" t="s">
        <v>74</v>
      </c>
      <c r="I432" s="1" t="s">
        <v>4506</v>
      </c>
      <c r="J432" s="1" t="s">
        <v>4507</v>
      </c>
      <c r="K432" s="1" t="s">
        <v>74</v>
      </c>
      <c r="L432" s="1" t="s">
        <v>74</v>
      </c>
      <c r="M432" s="1" t="s">
        <v>74</v>
      </c>
      <c r="N432" s="1" t="s">
        <v>74</v>
      </c>
      <c r="O432" s="1" t="s">
        <v>74</v>
      </c>
      <c r="P432" s="1" t="s">
        <v>74</v>
      </c>
      <c r="Q432" s="1" t="s">
        <v>74</v>
      </c>
      <c r="R432" s="1" t="s">
        <v>74</v>
      </c>
      <c r="S432" s="1" t="s">
        <v>74</v>
      </c>
      <c r="T432" s="1" t="s">
        <v>74</v>
      </c>
      <c r="U432" s="1" t="s">
        <v>74</v>
      </c>
      <c r="V432" s="1" t="s">
        <v>4508</v>
      </c>
      <c r="W432" s="1" t="s">
        <v>74</v>
      </c>
      <c r="X432" s="1" t="s">
        <v>74</v>
      </c>
      <c r="Y432" s="1" t="s">
        <v>74</v>
      </c>
      <c r="Z432" s="1" t="s">
        <v>74</v>
      </c>
      <c r="AA432" s="1" t="s">
        <v>4509</v>
      </c>
      <c r="AB432" s="1" t="s">
        <v>4510</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4511</v>
      </c>
      <c r="AP432" s="1" t="s">
        <v>4512</v>
      </c>
      <c r="AQ432" s="1" t="s">
        <v>74</v>
      </c>
      <c r="AR432" s="1" t="s">
        <v>74</v>
      </c>
      <c r="AS432" s="1" t="s">
        <v>74</v>
      </c>
      <c r="AT432" s="1" t="s">
        <v>4513</v>
      </c>
      <c r="AU432" s="1">
        <v>2016.0</v>
      </c>
      <c r="AV432" s="1">
        <v>682.0</v>
      </c>
      <c r="AW432" s="1" t="s">
        <v>74</v>
      </c>
      <c r="AX432" s="1" t="s">
        <v>74</v>
      </c>
      <c r="AY432" s="1" t="s">
        <v>74</v>
      </c>
      <c r="AZ432" s="1" t="s">
        <v>74</v>
      </c>
      <c r="BA432" s="1" t="s">
        <v>74</v>
      </c>
      <c r="BB432" s="1">
        <v>108.0</v>
      </c>
      <c r="BC432" s="1">
        <v>119.0</v>
      </c>
      <c r="BD432" s="1" t="s">
        <v>74</v>
      </c>
      <c r="BE432" s="1" t="s">
        <v>4514</v>
      </c>
      <c r="BF432" s="2" t="str">
        <f>HYPERLINK("http://dx.doi.org/10.1016/j.tecto.2016.06.005","http://dx.doi.org/10.1016/j.tecto.2016.06.005")</f>
        <v>http://dx.doi.org/10.1016/j.tecto.2016.06.005</v>
      </c>
      <c r="BG432" s="1" t="s">
        <v>74</v>
      </c>
      <c r="BH432" s="1" t="s">
        <v>74</v>
      </c>
      <c r="BI432" s="1" t="s">
        <v>74</v>
      </c>
      <c r="BJ432" s="1" t="s">
        <v>74</v>
      </c>
      <c r="BK432" s="1" t="s">
        <v>74</v>
      </c>
      <c r="BL432" s="1" t="s">
        <v>74</v>
      </c>
      <c r="BM432" s="1" t="s">
        <v>74</v>
      </c>
      <c r="BN432" s="1" t="s">
        <v>74</v>
      </c>
      <c r="BO432" s="1" t="s">
        <v>74</v>
      </c>
      <c r="BP432" s="1" t="s">
        <v>74</v>
      </c>
      <c r="BQ432" s="1" t="s">
        <v>74</v>
      </c>
      <c r="BR432" s="1" t="s">
        <v>74</v>
      </c>
      <c r="BS432" s="1" t="s">
        <v>4515</v>
      </c>
      <c r="BT432" s="1" t="str">
        <f>HYPERLINK("https%3A%2F%2Fwww.webofscience.com%2Fwos%2Fwoscc%2Ffull-record%2FWOS:000380075800008","View Full Record in Web of Science")</f>
        <v>View Full Record in Web of Science</v>
      </c>
    </row>
    <row r="433" ht="12.75" customHeight="1">
      <c r="A433" s="1" t="s">
        <v>72</v>
      </c>
      <c r="B433" s="1" t="s">
        <v>4516</v>
      </c>
      <c r="C433" s="1" t="s">
        <v>74</v>
      </c>
      <c r="D433" s="1" t="s">
        <v>74</v>
      </c>
      <c r="E433" s="1" t="s">
        <v>74</v>
      </c>
      <c r="F433" s="1" t="s">
        <v>4517</v>
      </c>
      <c r="G433" s="1" t="s">
        <v>74</v>
      </c>
      <c r="H433" s="1" t="s">
        <v>74</v>
      </c>
      <c r="I433" s="1" t="s">
        <v>4518</v>
      </c>
      <c r="J433" s="1" t="s">
        <v>4519</v>
      </c>
      <c r="K433" s="1" t="s">
        <v>74</v>
      </c>
      <c r="L433" s="1" t="s">
        <v>74</v>
      </c>
      <c r="M433" s="1" t="s">
        <v>74</v>
      </c>
      <c r="N433" s="1" t="s">
        <v>74</v>
      </c>
      <c r="O433" s="1" t="s">
        <v>74</v>
      </c>
      <c r="P433" s="1" t="s">
        <v>74</v>
      </c>
      <c r="Q433" s="1" t="s">
        <v>74</v>
      </c>
      <c r="R433" s="1" t="s">
        <v>74</v>
      </c>
      <c r="S433" s="1" t="s">
        <v>74</v>
      </c>
      <c r="T433" s="1" t="s">
        <v>74</v>
      </c>
      <c r="U433" s="1" t="s">
        <v>74</v>
      </c>
      <c r="V433" s="1" t="s">
        <v>4520</v>
      </c>
      <c r="W433" s="1" t="s">
        <v>74</v>
      </c>
      <c r="X433" s="1" t="s">
        <v>74</v>
      </c>
      <c r="Y433" s="1" t="s">
        <v>74</v>
      </c>
      <c r="Z433" s="1" t="s">
        <v>74</v>
      </c>
      <c r="AA433" s="1" t="s">
        <v>4521</v>
      </c>
      <c r="AB433" s="1" t="s">
        <v>4522</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4523</v>
      </c>
      <c r="AP433" s="1" t="s">
        <v>4524</v>
      </c>
      <c r="AQ433" s="1" t="s">
        <v>74</v>
      </c>
      <c r="AR433" s="1" t="s">
        <v>74</v>
      </c>
      <c r="AS433" s="1" t="s">
        <v>74</v>
      </c>
      <c r="AT433" s="1" t="s">
        <v>4433</v>
      </c>
      <c r="AU433" s="1">
        <v>2016.0</v>
      </c>
      <c r="AV433" s="1">
        <v>30.0</v>
      </c>
      <c r="AW433" s="1">
        <v>4.0</v>
      </c>
      <c r="AX433" s="1" t="s">
        <v>74</v>
      </c>
      <c r="AY433" s="1" t="s">
        <v>74</v>
      </c>
      <c r="AZ433" s="1" t="s">
        <v>74</v>
      </c>
      <c r="BA433" s="1" t="s">
        <v>74</v>
      </c>
      <c r="BB433" s="1">
        <v>214.0</v>
      </c>
      <c r="BC433" s="1">
        <v>223.0</v>
      </c>
      <c r="BD433" s="1" t="s">
        <v>74</v>
      </c>
      <c r="BE433" s="1" t="s">
        <v>4525</v>
      </c>
      <c r="BF433" s="2" t="str">
        <f>HYPERLINK("http://dx.doi.org/10.1177/0890117116639569","http://dx.doi.org/10.1177/0890117116639569")</f>
        <v>http://dx.doi.org/10.1177/0890117116639569</v>
      </c>
      <c r="BG433" s="1" t="s">
        <v>74</v>
      </c>
      <c r="BH433" s="1" t="s">
        <v>74</v>
      </c>
      <c r="BI433" s="1" t="s">
        <v>74</v>
      </c>
      <c r="BJ433" s="1" t="s">
        <v>74</v>
      </c>
      <c r="BK433" s="1" t="s">
        <v>74</v>
      </c>
      <c r="BL433" s="1" t="s">
        <v>74</v>
      </c>
      <c r="BM433" s="1" t="s">
        <v>74</v>
      </c>
      <c r="BN433" s="1">
        <v>2.7404056E7</v>
      </c>
      <c r="BO433" s="1" t="s">
        <v>74</v>
      </c>
      <c r="BP433" s="1" t="s">
        <v>74</v>
      </c>
      <c r="BQ433" s="1" t="s">
        <v>74</v>
      </c>
      <c r="BR433" s="1" t="s">
        <v>74</v>
      </c>
      <c r="BS433" s="1" t="s">
        <v>4526</v>
      </c>
      <c r="BT433" s="1" t="str">
        <f>HYPERLINK("https%3A%2F%2Fwww.webofscience.com%2Fwos%2Fwoscc%2Ffull-record%2FWOS:000373978800002","View Full Record in Web of Science")</f>
        <v>View Full Record in Web of Science</v>
      </c>
    </row>
    <row r="434" ht="12.75" customHeight="1">
      <c r="A434" s="1" t="s">
        <v>72</v>
      </c>
      <c r="B434" s="1" t="s">
        <v>4527</v>
      </c>
      <c r="C434" s="1" t="s">
        <v>74</v>
      </c>
      <c r="D434" s="1" t="s">
        <v>74</v>
      </c>
      <c r="E434" s="1" t="s">
        <v>74</v>
      </c>
      <c r="F434" s="1" t="s">
        <v>4528</v>
      </c>
      <c r="G434" s="1" t="s">
        <v>74</v>
      </c>
      <c r="H434" s="1" t="s">
        <v>74</v>
      </c>
      <c r="I434" s="1" t="s">
        <v>4529</v>
      </c>
      <c r="J434" s="1" t="s">
        <v>4530</v>
      </c>
      <c r="K434" s="1" t="s">
        <v>74</v>
      </c>
      <c r="L434" s="1" t="s">
        <v>74</v>
      </c>
      <c r="M434" s="1" t="s">
        <v>74</v>
      </c>
      <c r="N434" s="1" t="s">
        <v>74</v>
      </c>
      <c r="O434" s="1" t="s">
        <v>74</v>
      </c>
      <c r="P434" s="1" t="s">
        <v>74</v>
      </c>
      <c r="Q434" s="1" t="s">
        <v>74</v>
      </c>
      <c r="R434" s="1" t="s">
        <v>74</v>
      </c>
      <c r="S434" s="1" t="s">
        <v>74</v>
      </c>
      <c r="T434" s="1" t="s">
        <v>74</v>
      </c>
      <c r="U434" s="1" t="s">
        <v>74</v>
      </c>
      <c r="V434" s="1" t="s">
        <v>4531</v>
      </c>
      <c r="W434" s="1" t="s">
        <v>74</v>
      </c>
      <c r="X434" s="1" t="s">
        <v>74</v>
      </c>
      <c r="Y434" s="1" t="s">
        <v>74</v>
      </c>
      <c r="Z434" s="1" t="s">
        <v>74</v>
      </c>
      <c r="AA434" s="1" t="s">
        <v>4532</v>
      </c>
      <c r="AB434" s="1" t="s">
        <v>4533</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4534</v>
      </c>
      <c r="AP434" s="1" t="s">
        <v>4535</v>
      </c>
      <c r="AQ434" s="1" t="s">
        <v>74</v>
      </c>
      <c r="AR434" s="1" t="s">
        <v>74</v>
      </c>
      <c r="AS434" s="1" t="s">
        <v>74</v>
      </c>
      <c r="AT434" s="1" t="s">
        <v>271</v>
      </c>
      <c r="AU434" s="1">
        <v>2015.0</v>
      </c>
      <c r="AV434" s="1">
        <v>66.0</v>
      </c>
      <c r="AW434" s="1">
        <v>9.0</v>
      </c>
      <c r="AX434" s="1" t="s">
        <v>74</v>
      </c>
      <c r="AY434" s="1" t="s">
        <v>74</v>
      </c>
      <c r="AZ434" s="1" t="s">
        <v>74</v>
      </c>
      <c r="BA434" s="1" t="s">
        <v>74</v>
      </c>
      <c r="BB434" s="1">
        <v>1897.0</v>
      </c>
      <c r="BC434" s="1">
        <v>1912.0</v>
      </c>
      <c r="BD434" s="1" t="s">
        <v>74</v>
      </c>
      <c r="BE434" s="1" t="s">
        <v>4536</v>
      </c>
      <c r="BF434" s="2" t="str">
        <f>HYPERLINK("http://dx.doi.org/10.1002/asi.23288","http://dx.doi.org/10.1002/asi.23288")</f>
        <v>http://dx.doi.org/10.1002/asi.23288</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4537</v>
      </c>
      <c r="BT434" s="1" t="str">
        <f>HYPERLINK("https%3A%2F%2Fwww.webofscience.com%2Fwos%2Fwoscc%2Ffull-record%2FWOS:000359021200011","View Full Record in Web of Science")</f>
        <v>View Full Record in Web of Science</v>
      </c>
    </row>
    <row r="435" ht="12.75" customHeight="1">
      <c r="A435" s="1" t="s">
        <v>72</v>
      </c>
      <c r="B435" s="1" t="s">
        <v>4538</v>
      </c>
      <c r="C435" s="1" t="s">
        <v>74</v>
      </c>
      <c r="D435" s="1" t="s">
        <v>74</v>
      </c>
      <c r="E435" s="1" t="s">
        <v>74</v>
      </c>
      <c r="F435" s="1" t="s">
        <v>4539</v>
      </c>
      <c r="G435" s="1" t="s">
        <v>74</v>
      </c>
      <c r="H435" s="1" t="s">
        <v>74</v>
      </c>
      <c r="I435" s="1" t="s">
        <v>4540</v>
      </c>
      <c r="J435" s="1" t="s">
        <v>4541</v>
      </c>
      <c r="K435" s="1" t="s">
        <v>74</v>
      </c>
      <c r="L435" s="1" t="s">
        <v>74</v>
      </c>
      <c r="M435" s="1" t="s">
        <v>74</v>
      </c>
      <c r="N435" s="1" t="s">
        <v>74</v>
      </c>
      <c r="O435" s="1" t="s">
        <v>74</v>
      </c>
      <c r="P435" s="1" t="s">
        <v>74</v>
      </c>
      <c r="Q435" s="1" t="s">
        <v>74</v>
      </c>
      <c r="R435" s="1" t="s">
        <v>74</v>
      </c>
      <c r="S435" s="1" t="s">
        <v>74</v>
      </c>
      <c r="T435" s="1" t="s">
        <v>74</v>
      </c>
      <c r="U435" s="1" t="s">
        <v>74</v>
      </c>
      <c r="V435" s="1" t="s">
        <v>4542</v>
      </c>
      <c r="W435" s="1" t="s">
        <v>74</v>
      </c>
      <c r="X435" s="1" t="s">
        <v>74</v>
      </c>
      <c r="Y435" s="1" t="s">
        <v>74</v>
      </c>
      <c r="Z435" s="1" t="s">
        <v>74</v>
      </c>
      <c r="AA435" s="1" t="s">
        <v>4543</v>
      </c>
      <c r="AB435" s="1" t="s">
        <v>4544</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4545</v>
      </c>
      <c r="AP435" s="1" t="s">
        <v>74</v>
      </c>
      <c r="AQ435" s="1" t="s">
        <v>74</v>
      </c>
      <c r="AR435" s="1" t="s">
        <v>74</v>
      </c>
      <c r="AS435" s="1" t="s">
        <v>74</v>
      </c>
      <c r="AT435" s="1" t="s">
        <v>3849</v>
      </c>
      <c r="AU435" s="1">
        <v>2015.0</v>
      </c>
      <c r="AV435" s="1">
        <v>42.0</v>
      </c>
      <c r="AW435" s="1">
        <v>1.0</v>
      </c>
      <c r="AX435" s="1" t="s">
        <v>74</v>
      </c>
      <c r="AY435" s="1" t="s">
        <v>74</v>
      </c>
      <c r="AZ435" s="1" t="s">
        <v>74</v>
      </c>
      <c r="BA435" s="1" t="s">
        <v>74</v>
      </c>
      <c r="BB435" s="1">
        <v>85.0</v>
      </c>
      <c r="BC435" s="1">
        <v>96.0</v>
      </c>
      <c r="BD435" s="1" t="s">
        <v>74</v>
      </c>
      <c r="BE435" s="1" t="s">
        <v>4546</v>
      </c>
      <c r="BF435" s="2" t="str">
        <f>HYPERLINK("http://dx.doi.org/10.4067/S0718-1620201500010009","http://dx.doi.org/10.4067/S0718-1620201500010009")</f>
        <v>http://dx.doi.org/10.4067/S0718-1620201500010009</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4547</v>
      </c>
      <c r="BT435" s="1" t="str">
        <f>HYPERLINK("https%3A%2F%2Fwww.webofscience.com%2Fwos%2Fwoscc%2Ffull-record%2FWOS:000357186600009","View Full Record in Web of Science")</f>
        <v>View Full Record in Web of Science</v>
      </c>
    </row>
    <row r="436" ht="12.75" customHeight="1">
      <c r="A436" s="1" t="s">
        <v>72</v>
      </c>
      <c r="B436" s="1" t="s">
        <v>4548</v>
      </c>
      <c r="C436" s="1" t="s">
        <v>74</v>
      </c>
      <c r="D436" s="1" t="s">
        <v>74</v>
      </c>
      <c r="E436" s="1" t="s">
        <v>74</v>
      </c>
      <c r="F436" s="1" t="s">
        <v>4549</v>
      </c>
      <c r="G436" s="1" t="s">
        <v>74</v>
      </c>
      <c r="H436" s="1" t="s">
        <v>74</v>
      </c>
      <c r="I436" s="1" t="s">
        <v>4550</v>
      </c>
      <c r="J436" s="1" t="s">
        <v>4551</v>
      </c>
      <c r="K436" s="1" t="s">
        <v>74</v>
      </c>
      <c r="L436" s="1" t="s">
        <v>74</v>
      </c>
      <c r="M436" s="1" t="s">
        <v>74</v>
      </c>
      <c r="N436" s="1" t="s">
        <v>74</v>
      </c>
      <c r="O436" s="1" t="s">
        <v>74</v>
      </c>
      <c r="P436" s="1" t="s">
        <v>74</v>
      </c>
      <c r="Q436" s="1" t="s">
        <v>74</v>
      </c>
      <c r="R436" s="1" t="s">
        <v>74</v>
      </c>
      <c r="S436" s="1" t="s">
        <v>74</v>
      </c>
      <c r="T436" s="1" t="s">
        <v>74</v>
      </c>
      <c r="U436" s="1" t="s">
        <v>74</v>
      </c>
      <c r="V436" s="1" t="s">
        <v>4552</v>
      </c>
      <c r="W436" s="1" t="s">
        <v>74</v>
      </c>
      <c r="X436" s="1" t="s">
        <v>74</v>
      </c>
      <c r="Y436" s="1" t="s">
        <v>74</v>
      </c>
      <c r="Z436" s="1" t="s">
        <v>74</v>
      </c>
      <c r="AA436" s="1" t="s">
        <v>4553</v>
      </c>
      <c r="AB436" s="1" t="s">
        <v>4554</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4555</v>
      </c>
      <c r="AP436" s="1" t="s">
        <v>4556</v>
      </c>
      <c r="AQ436" s="1" t="s">
        <v>74</v>
      </c>
      <c r="AR436" s="1" t="s">
        <v>74</v>
      </c>
      <c r="AS436" s="1" t="s">
        <v>74</v>
      </c>
      <c r="AT436" s="1" t="s">
        <v>282</v>
      </c>
      <c r="AU436" s="1">
        <v>2013.0</v>
      </c>
      <c r="AV436" s="1">
        <v>67.0</v>
      </c>
      <c r="AW436" s="1">
        <v>2.0</v>
      </c>
      <c r="AX436" s="1" t="s">
        <v>74</v>
      </c>
      <c r="AY436" s="1" t="s">
        <v>74</v>
      </c>
      <c r="AZ436" s="1" t="s">
        <v>74</v>
      </c>
      <c r="BA436" s="1" t="s">
        <v>74</v>
      </c>
      <c r="BB436" s="1">
        <v>169.0</v>
      </c>
      <c r="BC436" s="1">
        <v>184.0</v>
      </c>
      <c r="BD436" s="1" t="s">
        <v>74</v>
      </c>
      <c r="BE436" s="1" t="s">
        <v>4557</v>
      </c>
      <c r="BF436" s="2" t="str">
        <f>HYPERLINK("http://dx.doi.org/10.1007/s00285-012-0547-4","http://dx.doi.org/10.1007/s00285-012-0547-4")</f>
        <v>http://dx.doi.org/10.1007/s00285-012-0547-4</v>
      </c>
      <c r="BG436" s="1" t="s">
        <v>74</v>
      </c>
      <c r="BH436" s="1" t="s">
        <v>74</v>
      </c>
      <c r="BI436" s="1" t="s">
        <v>74</v>
      </c>
      <c r="BJ436" s="1" t="s">
        <v>74</v>
      </c>
      <c r="BK436" s="1" t="s">
        <v>74</v>
      </c>
      <c r="BL436" s="1" t="s">
        <v>74</v>
      </c>
      <c r="BM436" s="1" t="s">
        <v>74</v>
      </c>
      <c r="BN436" s="1">
        <v>2.2610397E7</v>
      </c>
      <c r="BO436" s="1" t="s">
        <v>74</v>
      </c>
      <c r="BP436" s="1" t="s">
        <v>74</v>
      </c>
      <c r="BQ436" s="1" t="s">
        <v>74</v>
      </c>
      <c r="BR436" s="1" t="s">
        <v>74</v>
      </c>
      <c r="BS436" s="1" t="s">
        <v>4558</v>
      </c>
      <c r="BT436" s="1" t="str">
        <f>HYPERLINK("https%3A%2F%2Fwww.webofscience.com%2Fwos%2Fwoscc%2Ffull-record%2FWOS:000320953000001","View Full Record in Web of Science")</f>
        <v>View Full Record in Web of Science</v>
      </c>
    </row>
    <row r="437" ht="12.75" customHeight="1">
      <c r="A437" s="1" t="s">
        <v>72</v>
      </c>
      <c r="B437" s="1" t="s">
        <v>4559</v>
      </c>
      <c r="C437" s="1" t="s">
        <v>74</v>
      </c>
      <c r="D437" s="1" t="s">
        <v>74</v>
      </c>
      <c r="E437" s="1" t="s">
        <v>74</v>
      </c>
      <c r="F437" s="1" t="s">
        <v>4560</v>
      </c>
      <c r="G437" s="1" t="s">
        <v>74</v>
      </c>
      <c r="H437" s="1" t="s">
        <v>74</v>
      </c>
      <c r="I437" s="1" t="s">
        <v>4561</v>
      </c>
      <c r="J437" s="1" t="s">
        <v>4562</v>
      </c>
      <c r="K437" s="1" t="s">
        <v>74</v>
      </c>
      <c r="L437" s="1" t="s">
        <v>74</v>
      </c>
      <c r="M437" s="1" t="s">
        <v>74</v>
      </c>
      <c r="N437" s="1" t="s">
        <v>74</v>
      </c>
      <c r="O437" s="1" t="s">
        <v>74</v>
      </c>
      <c r="P437" s="1" t="s">
        <v>74</v>
      </c>
      <c r="Q437" s="1" t="s">
        <v>74</v>
      </c>
      <c r="R437" s="1" t="s">
        <v>74</v>
      </c>
      <c r="S437" s="1" t="s">
        <v>74</v>
      </c>
      <c r="T437" s="1" t="s">
        <v>74</v>
      </c>
      <c r="U437" s="1" t="s">
        <v>74</v>
      </c>
      <c r="V437" s="1" t="s">
        <v>4563</v>
      </c>
      <c r="W437" s="1" t="s">
        <v>74</v>
      </c>
      <c r="X437" s="1" t="s">
        <v>74</v>
      </c>
      <c r="Y437" s="1" t="s">
        <v>74</v>
      </c>
      <c r="Z437" s="1" t="s">
        <v>74</v>
      </c>
      <c r="AA437" s="1" t="s">
        <v>4564</v>
      </c>
      <c r="AB437" s="1" t="s">
        <v>4565</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4566</v>
      </c>
      <c r="AP437" s="1" t="s">
        <v>74</v>
      </c>
      <c r="AQ437" s="1" t="s">
        <v>74</v>
      </c>
      <c r="AR437" s="1" t="s">
        <v>74</v>
      </c>
      <c r="AS437" s="1" t="s">
        <v>74</v>
      </c>
      <c r="AT437" s="1" t="s">
        <v>4567</v>
      </c>
      <c r="AU437" s="1">
        <v>2010.0</v>
      </c>
      <c r="AV437" s="1">
        <v>63.0</v>
      </c>
      <c r="AW437" s="1">
        <v>4.0</v>
      </c>
      <c r="AX437" s="1" t="s">
        <v>74</v>
      </c>
      <c r="AY437" s="1" t="s">
        <v>74</v>
      </c>
      <c r="AZ437" s="1" t="s">
        <v>74</v>
      </c>
      <c r="BA437" s="1" t="s">
        <v>74</v>
      </c>
      <c r="BB437" s="1">
        <v>415.0</v>
      </c>
      <c r="BC437" s="1">
        <v>430.0</v>
      </c>
      <c r="BD437" s="1" t="s">
        <v>74</v>
      </c>
      <c r="BE437" s="1" t="s">
        <v>4568</v>
      </c>
      <c r="BF437" s="2" t="str">
        <f>HYPERLINK("http://dx.doi.org/10.1002/fld.2073","http://dx.doi.org/10.1002/fld.2073")</f>
        <v>http://dx.doi.org/10.1002/fld.2073</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4569</v>
      </c>
      <c r="BT437" s="1" t="str">
        <f>HYPERLINK("https%3A%2F%2Fwww.webofscience.com%2Fwos%2Fwoscc%2Ffull-record%2FWOS:000277525700001","View Full Record in Web of Science")</f>
        <v>View Full Record in Web of Science</v>
      </c>
    </row>
    <row r="438" ht="12.75" customHeight="1">
      <c r="A438" s="1" t="s">
        <v>72</v>
      </c>
      <c r="B438" s="1" t="s">
        <v>4570</v>
      </c>
      <c r="C438" s="1" t="s">
        <v>74</v>
      </c>
      <c r="D438" s="1" t="s">
        <v>74</v>
      </c>
      <c r="E438" s="1" t="s">
        <v>74</v>
      </c>
      <c r="F438" s="1" t="s">
        <v>4571</v>
      </c>
      <c r="G438" s="1" t="s">
        <v>74</v>
      </c>
      <c r="H438" s="1" t="s">
        <v>74</v>
      </c>
      <c r="I438" s="1" t="s">
        <v>4572</v>
      </c>
      <c r="J438" s="1" t="s">
        <v>4573</v>
      </c>
      <c r="K438" s="1" t="s">
        <v>74</v>
      </c>
      <c r="L438" s="1" t="s">
        <v>74</v>
      </c>
      <c r="M438" s="1" t="s">
        <v>74</v>
      </c>
      <c r="N438" s="1" t="s">
        <v>74</v>
      </c>
      <c r="O438" s="1" t="s">
        <v>74</v>
      </c>
      <c r="P438" s="1" t="s">
        <v>74</v>
      </c>
      <c r="Q438" s="1" t="s">
        <v>74</v>
      </c>
      <c r="R438" s="1" t="s">
        <v>74</v>
      </c>
      <c r="S438" s="1" t="s">
        <v>74</v>
      </c>
      <c r="T438" s="1" t="s">
        <v>74</v>
      </c>
      <c r="U438" s="1" t="s">
        <v>74</v>
      </c>
      <c r="V438" s="1" t="s">
        <v>4574</v>
      </c>
      <c r="W438" s="1" t="s">
        <v>74</v>
      </c>
      <c r="X438" s="1" t="s">
        <v>74</v>
      </c>
      <c r="Y438" s="1" t="s">
        <v>74</v>
      </c>
      <c r="Z438" s="1" t="s">
        <v>74</v>
      </c>
      <c r="AA438" s="1" t="s">
        <v>4575</v>
      </c>
      <c r="AB438" s="1" t="s">
        <v>4576</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4577</v>
      </c>
      <c r="AP438" s="1" t="s">
        <v>74</v>
      </c>
      <c r="AQ438" s="1" t="s">
        <v>74</v>
      </c>
      <c r="AR438" s="1" t="s">
        <v>74</v>
      </c>
      <c r="AS438" s="1" t="s">
        <v>74</v>
      </c>
      <c r="AT438" s="1" t="s">
        <v>4578</v>
      </c>
      <c r="AU438" s="1">
        <v>2008.0</v>
      </c>
      <c r="AV438" s="1">
        <v>10.0</v>
      </c>
      <c r="AW438" s="1">
        <v>11.0</v>
      </c>
      <c r="AX438" s="1" t="s">
        <v>74</v>
      </c>
      <c r="AY438" s="1" t="s">
        <v>74</v>
      </c>
      <c r="AZ438" s="1" t="s">
        <v>74</v>
      </c>
      <c r="BA438" s="1" t="s">
        <v>74</v>
      </c>
      <c r="BB438" s="1">
        <v>2147.0</v>
      </c>
      <c r="BC438" s="1">
        <v>2150.0</v>
      </c>
      <c r="BD438" s="1" t="s">
        <v>74</v>
      </c>
      <c r="BE438" s="1" t="s">
        <v>4579</v>
      </c>
      <c r="BF438" s="2" t="str">
        <f>HYPERLINK("http://dx.doi.org/10.1021/ol800446c","http://dx.doi.org/10.1021/ol800446c")</f>
        <v>http://dx.doi.org/10.1021/ol800446c</v>
      </c>
      <c r="BG438" s="1" t="s">
        <v>74</v>
      </c>
      <c r="BH438" s="1" t="s">
        <v>74</v>
      </c>
      <c r="BI438" s="1" t="s">
        <v>74</v>
      </c>
      <c r="BJ438" s="1" t="s">
        <v>74</v>
      </c>
      <c r="BK438" s="1" t="s">
        <v>74</v>
      </c>
      <c r="BL438" s="1" t="s">
        <v>74</v>
      </c>
      <c r="BM438" s="1" t="s">
        <v>74</v>
      </c>
      <c r="BN438" s="1">
        <v>1.846587E7</v>
      </c>
      <c r="BO438" s="1" t="s">
        <v>74</v>
      </c>
      <c r="BP438" s="1" t="s">
        <v>74</v>
      </c>
      <c r="BQ438" s="1" t="s">
        <v>74</v>
      </c>
      <c r="BR438" s="1" t="s">
        <v>74</v>
      </c>
      <c r="BS438" s="1" t="s">
        <v>4580</v>
      </c>
      <c r="BT438" s="1" t="str">
        <f>HYPERLINK("https%3A%2F%2Fwww.webofscience.com%2Fwos%2Fwoscc%2Ffull-record%2FWOS:000256281600015","View Full Record in Web of Science")</f>
        <v>View Full Record in Web of Science</v>
      </c>
    </row>
    <row r="439" ht="12.75" customHeight="1">
      <c r="A439" s="1" t="s">
        <v>72</v>
      </c>
      <c r="B439" s="1" t="s">
        <v>4581</v>
      </c>
      <c r="C439" s="1" t="s">
        <v>74</v>
      </c>
      <c r="D439" s="1" t="s">
        <v>74</v>
      </c>
      <c r="E439" s="1" t="s">
        <v>74</v>
      </c>
      <c r="F439" s="1" t="s">
        <v>4582</v>
      </c>
      <c r="G439" s="1" t="s">
        <v>74</v>
      </c>
      <c r="H439" s="1" t="s">
        <v>74</v>
      </c>
      <c r="I439" s="1" t="s">
        <v>4583</v>
      </c>
      <c r="J439" s="1" t="s">
        <v>2139</v>
      </c>
      <c r="K439" s="1" t="s">
        <v>74</v>
      </c>
      <c r="L439" s="1" t="s">
        <v>74</v>
      </c>
      <c r="M439" s="1" t="s">
        <v>74</v>
      </c>
      <c r="N439" s="1" t="s">
        <v>74</v>
      </c>
      <c r="O439" s="1" t="s">
        <v>74</v>
      </c>
      <c r="P439" s="1" t="s">
        <v>74</v>
      </c>
      <c r="Q439" s="1" t="s">
        <v>74</v>
      </c>
      <c r="R439" s="1" t="s">
        <v>74</v>
      </c>
      <c r="S439" s="1" t="s">
        <v>74</v>
      </c>
      <c r="T439" s="1" t="s">
        <v>74</v>
      </c>
      <c r="U439" s="1" t="s">
        <v>74</v>
      </c>
      <c r="V439" s="1" t="s">
        <v>4584</v>
      </c>
      <c r="W439" s="1" t="s">
        <v>74</v>
      </c>
      <c r="X439" s="1" t="s">
        <v>74</v>
      </c>
      <c r="Y439" s="1" t="s">
        <v>74</v>
      </c>
      <c r="Z439" s="1" t="s">
        <v>74</v>
      </c>
      <c r="AA439" s="1" t="s">
        <v>4585</v>
      </c>
      <c r="AB439" s="1" t="s">
        <v>4586</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2143</v>
      </c>
      <c r="AP439" s="1" t="s">
        <v>4587</v>
      </c>
      <c r="AQ439" s="1" t="s">
        <v>74</v>
      </c>
      <c r="AR439" s="1" t="s">
        <v>74</v>
      </c>
      <c r="AS439" s="1" t="s">
        <v>74</v>
      </c>
      <c r="AT439" s="1" t="s">
        <v>4588</v>
      </c>
      <c r="AU439" s="1">
        <v>2007.0</v>
      </c>
      <c r="AV439" s="1">
        <v>55.0</v>
      </c>
      <c r="AW439" s="1">
        <v>22.0</v>
      </c>
      <c r="AX439" s="1" t="s">
        <v>74</v>
      </c>
      <c r="AY439" s="1" t="s">
        <v>74</v>
      </c>
      <c r="AZ439" s="1" t="s">
        <v>74</v>
      </c>
      <c r="BA439" s="1" t="s">
        <v>74</v>
      </c>
      <c r="BB439" s="1">
        <v>9208.0</v>
      </c>
      <c r="BC439" s="1">
        <v>9218.0</v>
      </c>
      <c r="BD439" s="1" t="s">
        <v>74</v>
      </c>
      <c r="BE439" s="1" t="s">
        <v>4589</v>
      </c>
      <c r="BF439" s="2" t="str">
        <f>HYPERLINK("http://dx.doi.org/10.1021/jf070586+","http://dx.doi.org/10.1021/jf070586+")</f>
        <v>http://dx.doi.org/10.1021/jf070586+</v>
      </c>
      <c r="BG439" s="1" t="s">
        <v>74</v>
      </c>
      <c r="BH439" s="1" t="s">
        <v>74</v>
      </c>
      <c r="BI439" s="1" t="s">
        <v>74</v>
      </c>
      <c r="BJ439" s="1" t="s">
        <v>74</v>
      </c>
      <c r="BK439" s="1" t="s">
        <v>74</v>
      </c>
      <c r="BL439" s="1" t="s">
        <v>74</v>
      </c>
      <c r="BM439" s="1" t="s">
        <v>74</v>
      </c>
      <c r="BN439" s="1">
        <v>1.790777E7</v>
      </c>
      <c r="BO439" s="1" t="s">
        <v>74</v>
      </c>
      <c r="BP439" s="1" t="s">
        <v>74</v>
      </c>
      <c r="BQ439" s="1" t="s">
        <v>74</v>
      </c>
      <c r="BR439" s="1" t="s">
        <v>74</v>
      </c>
      <c r="BS439" s="1" t="s">
        <v>4590</v>
      </c>
      <c r="BT439" s="1" t="str">
        <f>HYPERLINK("https%3A%2F%2Fwww.webofscience.com%2Fwos%2Fwoscc%2Ffull-record%2FWOS:000250479500056","View Full Record in Web of Science")</f>
        <v>View Full Record in Web of Science</v>
      </c>
    </row>
    <row r="440" ht="12.75" customHeight="1">
      <c r="A440" s="1" t="s">
        <v>72</v>
      </c>
      <c r="B440" s="1" t="s">
        <v>4591</v>
      </c>
      <c r="C440" s="1" t="s">
        <v>74</v>
      </c>
      <c r="D440" s="1" t="s">
        <v>74</v>
      </c>
      <c r="E440" s="1" t="s">
        <v>74</v>
      </c>
      <c r="F440" s="1" t="s">
        <v>4592</v>
      </c>
      <c r="G440" s="1" t="s">
        <v>74</v>
      </c>
      <c r="H440" s="1" t="s">
        <v>74</v>
      </c>
      <c r="I440" s="1" t="s">
        <v>4593</v>
      </c>
      <c r="J440" s="1" t="s">
        <v>4594</v>
      </c>
      <c r="K440" s="1" t="s">
        <v>74</v>
      </c>
      <c r="L440" s="1" t="s">
        <v>74</v>
      </c>
      <c r="M440" s="1" t="s">
        <v>74</v>
      </c>
      <c r="N440" s="1" t="s">
        <v>74</v>
      </c>
      <c r="O440" s="1" t="s">
        <v>74</v>
      </c>
      <c r="P440" s="1" t="s">
        <v>74</v>
      </c>
      <c r="Q440" s="1" t="s">
        <v>74</v>
      </c>
      <c r="R440" s="1" t="s">
        <v>74</v>
      </c>
      <c r="S440" s="1" t="s">
        <v>74</v>
      </c>
      <c r="T440" s="1" t="s">
        <v>74</v>
      </c>
      <c r="U440" s="1" t="s">
        <v>74</v>
      </c>
      <c r="V440" s="1" t="s">
        <v>4595</v>
      </c>
      <c r="W440" s="1" t="s">
        <v>74</v>
      </c>
      <c r="X440" s="1" t="s">
        <v>74</v>
      </c>
      <c r="Y440" s="1" t="s">
        <v>74</v>
      </c>
      <c r="Z440" s="1" t="s">
        <v>74</v>
      </c>
      <c r="AA440" s="1" t="s">
        <v>4596</v>
      </c>
      <c r="AB440" s="1" t="s">
        <v>4597</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4598</v>
      </c>
      <c r="AP440" s="1" t="s">
        <v>4599</v>
      </c>
      <c r="AQ440" s="1" t="s">
        <v>74</v>
      </c>
      <c r="AR440" s="1" t="s">
        <v>74</v>
      </c>
      <c r="AS440" s="1" t="s">
        <v>74</v>
      </c>
      <c r="AT440" s="1" t="s">
        <v>1279</v>
      </c>
      <c r="AU440" s="1">
        <v>2007.0</v>
      </c>
      <c r="AV440" s="1">
        <v>79.0</v>
      </c>
      <c r="AW440" s="1">
        <v>4.0</v>
      </c>
      <c r="AX440" s="1" t="s">
        <v>74</v>
      </c>
      <c r="AY440" s="1" t="s">
        <v>74</v>
      </c>
      <c r="AZ440" s="1" t="s">
        <v>74</v>
      </c>
      <c r="BA440" s="1" t="s">
        <v>74</v>
      </c>
      <c r="BB440" s="1">
        <v>1287.0</v>
      </c>
      <c r="BC440" s="1">
        <v>1294.0</v>
      </c>
      <c r="BD440" s="1" t="s">
        <v>74</v>
      </c>
      <c r="BE440" s="1" t="s">
        <v>4600</v>
      </c>
      <c r="BF440" s="2" t="str">
        <f>HYPERLINK("http://dx.doi.org/10.1016/j.jfoodeng.2006.04.014","http://dx.doi.org/10.1016/j.jfoodeng.2006.04.014")</f>
        <v>http://dx.doi.org/10.1016/j.jfoodeng.2006.04.014</v>
      </c>
      <c r="BG440" s="1" t="s">
        <v>74</v>
      </c>
      <c r="BH440" s="1" t="s">
        <v>74</v>
      </c>
      <c r="BI440" s="1" t="s">
        <v>74</v>
      </c>
      <c r="BJ440" s="1" t="s">
        <v>74</v>
      </c>
      <c r="BK440" s="1" t="s">
        <v>74</v>
      </c>
      <c r="BL440" s="1" t="s">
        <v>74</v>
      </c>
      <c r="BM440" s="1" t="s">
        <v>74</v>
      </c>
      <c r="BN440" s="1" t="s">
        <v>74</v>
      </c>
      <c r="BO440" s="1" t="s">
        <v>74</v>
      </c>
      <c r="BP440" s="1" t="s">
        <v>74</v>
      </c>
      <c r="BQ440" s="1" t="s">
        <v>74</v>
      </c>
      <c r="BR440" s="1" t="s">
        <v>74</v>
      </c>
      <c r="BS440" s="1" t="s">
        <v>4601</v>
      </c>
      <c r="BT440" s="1" t="str">
        <f>HYPERLINK("https%3A%2F%2Fwww.webofscience.com%2Fwos%2Fwoscc%2Ffull-record%2FWOS:000242649300024","View Full Record in Web of Science")</f>
        <v>View Full Record in Web of Science</v>
      </c>
    </row>
    <row r="441" ht="12.75" customHeight="1">
      <c r="A441" s="1" t="s">
        <v>72</v>
      </c>
      <c r="B441" s="1" t="s">
        <v>4602</v>
      </c>
      <c r="C441" s="1" t="s">
        <v>74</v>
      </c>
      <c r="D441" s="1" t="s">
        <v>74</v>
      </c>
      <c r="E441" s="1" t="s">
        <v>74</v>
      </c>
      <c r="F441" s="1" t="s">
        <v>4602</v>
      </c>
      <c r="G441" s="1" t="s">
        <v>74</v>
      </c>
      <c r="H441" s="1" t="s">
        <v>74</v>
      </c>
      <c r="I441" s="1" t="s">
        <v>4603</v>
      </c>
      <c r="J441" s="1" t="s">
        <v>4604</v>
      </c>
      <c r="K441" s="1" t="s">
        <v>74</v>
      </c>
      <c r="L441" s="1" t="s">
        <v>74</v>
      </c>
      <c r="M441" s="1" t="s">
        <v>74</v>
      </c>
      <c r="N441" s="1" t="s">
        <v>74</v>
      </c>
      <c r="O441" s="1" t="s">
        <v>74</v>
      </c>
      <c r="P441" s="1" t="s">
        <v>74</v>
      </c>
      <c r="Q441" s="1" t="s">
        <v>74</v>
      </c>
      <c r="R441" s="1" t="s">
        <v>74</v>
      </c>
      <c r="S441" s="1" t="s">
        <v>74</v>
      </c>
      <c r="T441" s="1" t="s">
        <v>74</v>
      </c>
      <c r="U441" s="1" t="s">
        <v>74</v>
      </c>
      <c r="V441" s="1" t="s">
        <v>4605</v>
      </c>
      <c r="W441" s="1" t="s">
        <v>74</v>
      </c>
      <c r="X441" s="1" t="s">
        <v>74</v>
      </c>
      <c r="Y441" s="1" t="s">
        <v>74</v>
      </c>
      <c r="Z441" s="1" t="s">
        <v>74</v>
      </c>
      <c r="AA441" s="1" t="s">
        <v>4606</v>
      </c>
      <c r="AB441" s="1" t="s">
        <v>3682</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4607</v>
      </c>
      <c r="AP441" s="1" t="s">
        <v>74</v>
      </c>
      <c r="AQ441" s="1" t="s">
        <v>74</v>
      </c>
      <c r="AR441" s="1" t="s">
        <v>74</v>
      </c>
      <c r="AS441" s="1" t="s">
        <v>74</v>
      </c>
      <c r="AT441" s="1" t="s">
        <v>74</v>
      </c>
      <c r="AU441" s="1">
        <v>2002.0</v>
      </c>
      <c r="AV441" s="1">
        <v>32.0</v>
      </c>
      <c r="AW441" s="1">
        <v>17.0</v>
      </c>
      <c r="AX441" s="1" t="s">
        <v>74</v>
      </c>
      <c r="AY441" s="1" t="s">
        <v>74</v>
      </c>
      <c r="AZ441" s="1" t="s">
        <v>74</v>
      </c>
      <c r="BA441" s="1" t="s">
        <v>74</v>
      </c>
      <c r="BB441" s="1">
        <v>2741.0</v>
      </c>
      <c r="BC441" s="1">
        <v>2750.0</v>
      </c>
      <c r="BD441" s="1" t="s">
        <v>74</v>
      </c>
      <c r="BE441" s="1" t="s">
        <v>4608</v>
      </c>
      <c r="BF441" s="2" t="str">
        <f>HYPERLINK("http://dx.doi.org/10.1081/SCC-120006041","http://dx.doi.org/10.1081/SCC-120006041")</f>
        <v>http://dx.doi.org/10.1081/SCC-120006041</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4609</v>
      </c>
      <c r="BT441" s="1" t="str">
        <f>HYPERLINK("https%3A%2F%2Fwww.webofscience.com%2Fwos%2Fwoscc%2Ffull-record%2FWOS:000177742100022","View Full Record in Web of Science")</f>
        <v>View Full Record in Web of Science</v>
      </c>
    </row>
    <row r="442" ht="12.75" customHeight="1">
      <c r="A442" s="1" t="s">
        <v>72</v>
      </c>
      <c r="B442" s="1" t="s">
        <v>4610</v>
      </c>
      <c r="C442" s="1" t="s">
        <v>74</v>
      </c>
      <c r="D442" s="1" t="s">
        <v>74</v>
      </c>
      <c r="E442" s="1" t="s">
        <v>74</v>
      </c>
      <c r="F442" s="1" t="s">
        <v>4610</v>
      </c>
      <c r="G442" s="1" t="s">
        <v>74</v>
      </c>
      <c r="H442" s="1" t="s">
        <v>74</v>
      </c>
      <c r="I442" s="1" t="s">
        <v>4611</v>
      </c>
      <c r="J442" s="1" t="s">
        <v>4612</v>
      </c>
      <c r="K442" s="1" t="s">
        <v>74</v>
      </c>
      <c r="L442" s="1" t="s">
        <v>74</v>
      </c>
      <c r="M442" s="1" t="s">
        <v>74</v>
      </c>
      <c r="N442" s="1" t="s">
        <v>74</v>
      </c>
      <c r="O442" s="1" t="s">
        <v>74</v>
      </c>
      <c r="P442" s="1" t="s">
        <v>74</v>
      </c>
      <c r="Q442" s="1" t="s">
        <v>74</v>
      </c>
      <c r="R442" s="1" t="s">
        <v>74</v>
      </c>
      <c r="S442" s="1" t="s">
        <v>74</v>
      </c>
      <c r="T442" s="1" t="s">
        <v>74</v>
      </c>
      <c r="U442" s="1" t="s">
        <v>74</v>
      </c>
      <c r="V442" s="1" t="s">
        <v>4613</v>
      </c>
      <c r="W442" s="1" t="s">
        <v>74</v>
      </c>
      <c r="X442" s="1" t="s">
        <v>74</v>
      </c>
      <c r="Y442" s="1" t="s">
        <v>74</v>
      </c>
      <c r="Z442" s="1" t="s">
        <v>74</v>
      </c>
      <c r="AA442" s="1" t="s">
        <v>4614</v>
      </c>
      <c r="AB442" s="1" t="s">
        <v>3682</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4615</v>
      </c>
      <c r="AP442" s="1" t="s">
        <v>74</v>
      </c>
      <c r="AQ442" s="1" t="s">
        <v>74</v>
      </c>
      <c r="AR442" s="1" t="s">
        <v>74</v>
      </c>
      <c r="AS442" s="1" t="s">
        <v>74</v>
      </c>
      <c r="AT442" s="1" t="s">
        <v>74</v>
      </c>
      <c r="AU442" s="1">
        <v>1999.0</v>
      </c>
      <c r="AV442" s="1">
        <v>32.0</v>
      </c>
      <c r="AW442" s="1">
        <v>3.0</v>
      </c>
      <c r="AX442" s="1" t="s">
        <v>74</v>
      </c>
      <c r="AY442" s="1" t="s">
        <v>74</v>
      </c>
      <c r="AZ442" s="1" t="s">
        <v>74</v>
      </c>
      <c r="BA442" s="1" t="s">
        <v>74</v>
      </c>
      <c r="BB442" s="1">
        <v>497.0</v>
      </c>
      <c r="BC442" s="1">
        <v>504.0</v>
      </c>
      <c r="BD442" s="1" t="s">
        <v>74</v>
      </c>
      <c r="BE442" s="1" t="s">
        <v>4616</v>
      </c>
      <c r="BF442" s="2" t="str">
        <f>HYPERLINK("http://dx.doi.org/10.1080/00387019909350001","http://dx.doi.org/10.1080/00387019909350001")</f>
        <v>http://dx.doi.org/10.1080/00387019909350001</v>
      </c>
      <c r="BG442" s="1" t="s">
        <v>74</v>
      </c>
      <c r="BH442" s="1" t="s">
        <v>74</v>
      </c>
      <c r="BI442" s="1" t="s">
        <v>74</v>
      </c>
      <c r="BJ442" s="1" t="s">
        <v>74</v>
      </c>
      <c r="BK442" s="1" t="s">
        <v>74</v>
      </c>
      <c r="BL442" s="1" t="s">
        <v>74</v>
      </c>
      <c r="BM442" s="1" t="s">
        <v>74</v>
      </c>
      <c r="BN442" s="1" t="s">
        <v>74</v>
      </c>
      <c r="BO442" s="1" t="s">
        <v>74</v>
      </c>
      <c r="BP442" s="1" t="s">
        <v>74</v>
      </c>
      <c r="BQ442" s="1" t="s">
        <v>74</v>
      </c>
      <c r="BR442" s="1" t="s">
        <v>74</v>
      </c>
      <c r="BS442" s="1" t="s">
        <v>4617</v>
      </c>
      <c r="BT442" s="1" t="str">
        <f>HYPERLINK("https%3A%2F%2Fwww.webofscience.com%2Fwos%2Fwoscc%2Ffull-record%2FWOS:000080789300014","View Full Record in Web of Science")</f>
        <v>View Full Record in Web of Science</v>
      </c>
    </row>
    <row r="443" ht="12.75" customHeight="1">
      <c r="A443" s="1" t="s">
        <v>72</v>
      </c>
      <c r="B443" s="1" t="s">
        <v>4618</v>
      </c>
      <c r="C443" s="1" t="s">
        <v>74</v>
      </c>
      <c r="D443" s="1" t="s">
        <v>74</v>
      </c>
      <c r="E443" s="1" t="s">
        <v>74</v>
      </c>
      <c r="F443" s="1" t="s">
        <v>4618</v>
      </c>
      <c r="G443" s="1" t="s">
        <v>74</v>
      </c>
      <c r="H443" s="1" t="s">
        <v>74</v>
      </c>
      <c r="I443" s="1" t="s">
        <v>4619</v>
      </c>
      <c r="J443" s="1" t="s">
        <v>4620</v>
      </c>
      <c r="K443" s="1" t="s">
        <v>74</v>
      </c>
      <c r="L443" s="1" t="s">
        <v>74</v>
      </c>
      <c r="M443" s="1" t="s">
        <v>74</v>
      </c>
      <c r="N443" s="1" t="s">
        <v>74</v>
      </c>
      <c r="O443" s="1" t="s">
        <v>74</v>
      </c>
      <c r="P443" s="1" t="s">
        <v>74</v>
      </c>
      <c r="Q443" s="1" t="s">
        <v>74</v>
      </c>
      <c r="R443" s="1" t="s">
        <v>74</v>
      </c>
      <c r="S443" s="1" t="s">
        <v>74</v>
      </c>
      <c r="T443" s="1" t="s">
        <v>74</v>
      </c>
      <c r="U443" s="1" t="s">
        <v>74</v>
      </c>
      <c r="V443" s="1" t="s">
        <v>4621</v>
      </c>
      <c r="W443" s="1" t="s">
        <v>74</v>
      </c>
      <c r="X443" s="1" t="s">
        <v>74</v>
      </c>
      <c r="Y443" s="1" t="s">
        <v>74</v>
      </c>
      <c r="Z443" s="1" t="s">
        <v>74</v>
      </c>
      <c r="AA443" s="1" t="s">
        <v>4622</v>
      </c>
      <c r="AB443" s="1" t="s">
        <v>4623</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4624</v>
      </c>
      <c r="AP443" s="1" t="s">
        <v>4625</v>
      </c>
      <c r="AQ443" s="1" t="s">
        <v>74</v>
      </c>
      <c r="AR443" s="1" t="s">
        <v>74</v>
      </c>
      <c r="AS443" s="1" t="s">
        <v>74</v>
      </c>
      <c r="AT443" s="1" t="s">
        <v>94</v>
      </c>
      <c r="AU443" s="1">
        <v>1998.0</v>
      </c>
      <c r="AV443" s="1">
        <v>33.0</v>
      </c>
      <c r="AW443" s="1">
        <v>6.0</v>
      </c>
      <c r="AX443" s="1" t="s">
        <v>74</v>
      </c>
      <c r="AY443" s="1" t="s">
        <v>74</v>
      </c>
      <c r="AZ443" s="1" t="s">
        <v>74</v>
      </c>
      <c r="BA443" s="1" t="s">
        <v>74</v>
      </c>
      <c r="BB443" s="1">
        <v>420.0</v>
      </c>
      <c r="BC443" s="1">
        <v>428.0</v>
      </c>
      <c r="BD443" s="1" t="s">
        <v>74</v>
      </c>
      <c r="BE443" s="1" t="s">
        <v>4626</v>
      </c>
      <c r="BF443" s="2" t="str">
        <f>HYPERLINK("http://dx.doi.org/10.1007/s002940050355","http://dx.doi.org/10.1007/s002940050355")</f>
        <v>http://dx.doi.org/10.1007/s002940050355</v>
      </c>
      <c r="BG443" s="1" t="s">
        <v>74</v>
      </c>
      <c r="BH443" s="1" t="s">
        <v>74</v>
      </c>
      <c r="BI443" s="1" t="s">
        <v>74</v>
      </c>
      <c r="BJ443" s="1" t="s">
        <v>74</v>
      </c>
      <c r="BK443" s="1" t="s">
        <v>74</v>
      </c>
      <c r="BL443" s="1" t="s">
        <v>74</v>
      </c>
      <c r="BM443" s="1" t="s">
        <v>74</v>
      </c>
      <c r="BN443" s="1">
        <v>9644205.0</v>
      </c>
      <c r="BO443" s="1" t="s">
        <v>74</v>
      </c>
      <c r="BP443" s="1" t="s">
        <v>74</v>
      </c>
      <c r="BQ443" s="1" t="s">
        <v>74</v>
      </c>
      <c r="BR443" s="1" t="s">
        <v>74</v>
      </c>
      <c r="BS443" s="1" t="s">
        <v>4627</v>
      </c>
      <c r="BT443" s="1" t="str">
        <f>HYPERLINK("https%3A%2F%2Fwww.webofscience.com%2Fwos%2Fwoscc%2Ffull-record%2FWOS:000074882600005","View Full Record in Web of Science")</f>
        <v>View Full Record in Web of Science</v>
      </c>
    </row>
    <row r="444" ht="12.75" customHeight="1">
      <c r="A444" s="1" t="s">
        <v>72</v>
      </c>
      <c r="B444" s="1" t="s">
        <v>4628</v>
      </c>
      <c r="C444" s="1" t="s">
        <v>74</v>
      </c>
      <c r="D444" s="1" t="s">
        <v>74</v>
      </c>
      <c r="E444" s="1" t="s">
        <v>74</v>
      </c>
      <c r="F444" s="1" t="s">
        <v>4628</v>
      </c>
      <c r="G444" s="1" t="s">
        <v>74</v>
      </c>
      <c r="H444" s="1" t="s">
        <v>74</v>
      </c>
      <c r="I444" s="1" t="s">
        <v>4629</v>
      </c>
      <c r="J444" s="1" t="s">
        <v>4630</v>
      </c>
      <c r="K444" s="1" t="s">
        <v>74</v>
      </c>
      <c r="L444" s="1" t="s">
        <v>74</v>
      </c>
      <c r="M444" s="1" t="s">
        <v>74</v>
      </c>
      <c r="N444" s="1" t="s">
        <v>74</v>
      </c>
      <c r="O444" s="1" t="s">
        <v>74</v>
      </c>
      <c r="P444" s="1" t="s">
        <v>74</v>
      </c>
      <c r="Q444" s="1" t="s">
        <v>74</v>
      </c>
      <c r="R444" s="1" t="s">
        <v>74</v>
      </c>
      <c r="S444" s="1" t="s">
        <v>74</v>
      </c>
      <c r="T444" s="1" t="s">
        <v>74</v>
      </c>
      <c r="U444" s="1" t="s">
        <v>74</v>
      </c>
      <c r="V444" s="1" t="s">
        <v>4631</v>
      </c>
      <c r="W444" s="1" t="s">
        <v>74</v>
      </c>
      <c r="X444" s="1" t="s">
        <v>74</v>
      </c>
      <c r="Y444" s="1" t="s">
        <v>74</v>
      </c>
      <c r="Z444" s="1" t="s">
        <v>74</v>
      </c>
      <c r="AA444" s="1" t="s">
        <v>1049</v>
      </c>
      <c r="AB444" s="1" t="s">
        <v>74</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4632</v>
      </c>
      <c r="AP444" s="1" t="s">
        <v>74</v>
      </c>
      <c r="AQ444" s="1" t="s">
        <v>74</v>
      </c>
      <c r="AR444" s="1" t="s">
        <v>74</v>
      </c>
      <c r="AS444" s="1" t="s">
        <v>74</v>
      </c>
      <c r="AT444" s="1" t="s">
        <v>177</v>
      </c>
      <c r="AU444" s="1">
        <v>1997.0</v>
      </c>
      <c r="AV444" s="1">
        <v>146.0</v>
      </c>
      <c r="AW444" s="1">
        <v>1.0</v>
      </c>
      <c r="AX444" s="1" t="s">
        <v>74</v>
      </c>
      <c r="AY444" s="1" t="s">
        <v>74</v>
      </c>
      <c r="AZ444" s="1" t="s">
        <v>74</v>
      </c>
      <c r="BA444" s="1" t="s">
        <v>74</v>
      </c>
      <c r="BB444" s="1">
        <v>282.0</v>
      </c>
      <c r="BC444" s="1">
        <v>285.0</v>
      </c>
      <c r="BD444" s="1" t="s">
        <v>74</v>
      </c>
      <c r="BE444" s="1" t="s">
        <v>4633</v>
      </c>
      <c r="BF444" s="2" t="str">
        <f>HYPERLINK("http://dx.doi.org/10.1006/exnr.1997.6486","http://dx.doi.org/10.1006/exnr.1997.6486")</f>
        <v>http://dx.doi.org/10.1006/exnr.1997.6486</v>
      </c>
      <c r="BG444" s="1" t="s">
        <v>74</v>
      </c>
      <c r="BH444" s="1" t="s">
        <v>74</v>
      </c>
      <c r="BI444" s="1" t="s">
        <v>74</v>
      </c>
      <c r="BJ444" s="1" t="s">
        <v>74</v>
      </c>
      <c r="BK444" s="1" t="s">
        <v>74</v>
      </c>
      <c r="BL444" s="1" t="s">
        <v>74</v>
      </c>
      <c r="BM444" s="1" t="s">
        <v>74</v>
      </c>
      <c r="BN444" s="1">
        <v>9225762.0</v>
      </c>
      <c r="BO444" s="1" t="s">
        <v>74</v>
      </c>
      <c r="BP444" s="1" t="s">
        <v>74</v>
      </c>
      <c r="BQ444" s="1" t="s">
        <v>74</v>
      </c>
      <c r="BR444" s="1" t="s">
        <v>74</v>
      </c>
      <c r="BS444" s="1" t="s">
        <v>4634</v>
      </c>
      <c r="BT444" s="1" t="str">
        <f>HYPERLINK("https%3A%2F%2Fwww.webofscience.com%2Fwos%2Fwoscc%2Ffull-record%2FWOS:A1997XJ92200031","View Full Record in Web of Science")</f>
        <v>View Full Record in Web of Science</v>
      </c>
    </row>
    <row r="445" ht="12.75" customHeight="1">
      <c r="A445" s="1" t="s">
        <v>72</v>
      </c>
      <c r="B445" s="1" t="s">
        <v>4635</v>
      </c>
      <c r="C445" s="1" t="s">
        <v>74</v>
      </c>
      <c r="D445" s="1" t="s">
        <v>74</v>
      </c>
      <c r="E445" s="1" t="s">
        <v>74</v>
      </c>
      <c r="F445" s="1" t="s">
        <v>4635</v>
      </c>
      <c r="G445" s="1" t="s">
        <v>74</v>
      </c>
      <c r="H445" s="1" t="s">
        <v>74</v>
      </c>
      <c r="I445" s="1" t="s">
        <v>4636</v>
      </c>
      <c r="J445" s="1" t="s">
        <v>4637</v>
      </c>
      <c r="K445" s="1" t="s">
        <v>74</v>
      </c>
      <c r="L445" s="1" t="s">
        <v>74</v>
      </c>
      <c r="M445" s="1" t="s">
        <v>74</v>
      </c>
      <c r="N445" s="1" t="s">
        <v>74</v>
      </c>
      <c r="O445" s="1" t="s">
        <v>74</v>
      </c>
      <c r="P445" s="1" t="s">
        <v>74</v>
      </c>
      <c r="Q445" s="1" t="s">
        <v>74</v>
      </c>
      <c r="R445" s="1" t="s">
        <v>74</v>
      </c>
      <c r="S445" s="1" t="s">
        <v>74</v>
      </c>
      <c r="T445" s="1" t="s">
        <v>74</v>
      </c>
      <c r="U445" s="1" t="s">
        <v>74</v>
      </c>
      <c r="V445" s="1" t="s">
        <v>4638</v>
      </c>
      <c r="W445" s="1" t="s">
        <v>74</v>
      </c>
      <c r="X445" s="1" t="s">
        <v>74</v>
      </c>
      <c r="Y445" s="1" t="s">
        <v>74</v>
      </c>
      <c r="Z445" s="1" t="s">
        <v>74</v>
      </c>
      <c r="AA445" s="1" t="s">
        <v>74</v>
      </c>
      <c r="AB445" s="1" t="s">
        <v>4639</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4640</v>
      </c>
      <c r="AP445" s="1" t="s">
        <v>74</v>
      </c>
      <c r="AQ445" s="1" t="s">
        <v>74</v>
      </c>
      <c r="AR445" s="1" t="s">
        <v>74</v>
      </c>
      <c r="AS445" s="1" t="s">
        <v>74</v>
      </c>
      <c r="AT445" s="1" t="s">
        <v>164</v>
      </c>
      <c r="AU445" s="1">
        <v>1996.0</v>
      </c>
      <c r="AV445" s="1">
        <v>28.0</v>
      </c>
      <c r="AW445" s="1">
        <v>12.0</v>
      </c>
      <c r="AX445" s="1" t="s">
        <v>74</v>
      </c>
      <c r="AY445" s="1" t="s">
        <v>74</v>
      </c>
      <c r="AZ445" s="1" t="s">
        <v>74</v>
      </c>
      <c r="BA445" s="1" t="s">
        <v>74</v>
      </c>
      <c r="BB445" s="1">
        <v>711.0</v>
      </c>
      <c r="BC445" s="1">
        <v>713.0</v>
      </c>
      <c r="BD445" s="1" t="s">
        <v>74</v>
      </c>
      <c r="BE445" s="1" t="s">
        <v>4641</v>
      </c>
      <c r="BF445" s="2" t="str">
        <f>HYPERLINK("http://dx.doi.org/10.1055/s-2007-979884","http://dx.doi.org/10.1055/s-2007-979884")</f>
        <v>http://dx.doi.org/10.1055/s-2007-979884</v>
      </c>
      <c r="BG445" s="1" t="s">
        <v>74</v>
      </c>
      <c r="BH445" s="1" t="s">
        <v>74</v>
      </c>
      <c r="BI445" s="1" t="s">
        <v>74</v>
      </c>
      <c r="BJ445" s="1" t="s">
        <v>74</v>
      </c>
      <c r="BK445" s="1" t="s">
        <v>74</v>
      </c>
      <c r="BL445" s="1" t="s">
        <v>74</v>
      </c>
      <c r="BM445" s="1" t="s">
        <v>74</v>
      </c>
      <c r="BN445" s="1">
        <v>9013748.0</v>
      </c>
      <c r="BO445" s="1" t="s">
        <v>74</v>
      </c>
      <c r="BP445" s="1" t="s">
        <v>74</v>
      </c>
      <c r="BQ445" s="1" t="s">
        <v>74</v>
      </c>
      <c r="BR445" s="1" t="s">
        <v>74</v>
      </c>
      <c r="BS445" s="1" t="s">
        <v>4642</v>
      </c>
      <c r="BT445" s="1" t="str">
        <f>HYPERLINK("https%3A%2F%2Fwww.webofscience.com%2Fwos%2Fwoscc%2Ffull-record%2FWOS:A1996WC89600018","View Full Record in Web of Science")</f>
        <v>View Full Record in Web of Science</v>
      </c>
    </row>
    <row r="446" ht="12.75" customHeight="1">
      <c r="A446" s="1" t="s">
        <v>72</v>
      </c>
      <c r="B446" s="1" t="s">
        <v>4643</v>
      </c>
      <c r="C446" s="1" t="s">
        <v>74</v>
      </c>
      <c r="D446" s="1" t="s">
        <v>74</v>
      </c>
      <c r="E446" s="1" t="s">
        <v>74</v>
      </c>
      <c r="F446" s="1" t="s">
        <v>4644</v>
      </c>
      <c r="G446" s="1" t="s">
        <v>74</v>
      </c>
      <c r="H446" s="1" t="s">
        <v>74</v>
      </c>
      <c r="I446" s="1" t="s">
        <v>4645</v>
      </c>
      <c r="J446" s="1" t="s">
        <v>1264</v>
      </c>
      <c r="K446" s="1" t="s">
        <v>74</v>
      </c>
      <c r="L446" s="1" t="s">
        <v>74</v>
      </c>
      <c r="M446" s="1" t="s">
        <v>74</v>
      </c>
      <c r="N446" s="1" t="s">
        <v>74</v>
      </c>
      <c r="O446" s="1" t="s">
        <v>74</v>
      </c>
      <c r="P446" s="1" t="s">
        <v>74</v>
      </c>
      <c r="Q446" s="1" t="s">
        <v>74</v>
      </c>
      <c r="R446" s="1" t="s">
        <v>74</v>
      </c>
      <c r="S446" s="1" t="s">
        <v>74</v>
      </c>
      <c r="T446" s="1" t="s">
        <v>74</v>
      </c>
      <c r="U446" s="1" t="s">
        <v>74</v>
      </c>
      <c r="V446" s="1" t="s">
        <v>4646</v>
      </c>
      <c r="W446" s="1" t="s">
        <v>74</v>
      </c>
      <c r="X446" s="1" t="s">
        <v>74</v>
      </c>
      <c r="Y446" s="1" t="s">
        <v>74</v>
      </c>
      <c r="Z446" s="1" t="s">
        <v>74</v>
      </c>
      <c r="AA446" s="1" t="s">
        <v>4647</v>
      </c>
      <c r="AB446" s="1" t="s">
        <v>4648</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74</v>
      </c>
      <c r="AP446" s="1" t="s">
        <v>1268</v>
      </c>
      <c r="AQ446" s="1" t="s">
        <v>74</v>
      </c>
      <c r="AR446" s="1" t="s">
        <v>74</v>
      </c>
      <c r="AS446" s="1" t="s">
        <v>74</v>
      </c>
      <c r="AT446" s="1" t="s">
        <v>271</v>
      </c>
      <c r="AU446" s="1">
        <v>2024.0</v>
      </c>
      <c r="AV446" s="1">
        <v>14.0</v>
      </c>
      <c r="AW446" s="1">
        <v>17.0</v>
      </c>
      <c r="AX446" s="1" t="s">
        <v>74</v>
      </c>
      <c r="AY446" s="1" t="s">
        <v>74</v>
      </c>
      <c r="AZ446" s="1" t="s">
        <v>74</v>
      </c>
      <c r="BA446" s="1" t="s">
        <v>74</v>
      </c>
      <c r="BB446" s="1" t="s">
        <v>74</v>
      </c>
      <c r="BC446" s="1" t="s">
        <v>74</v>
      </c>
      <c r="BD446" s="1">
        <v>1465.0</v>
      </c>
      <c r="BE446" s="1" t="s">
        <v>4649</v>
      </c>
      <c r="BF446" s="2" t="str">
        <f>HYPERLINK("http://dx.doi.org/10.3390/nano14171465","http://dx.doi.org/10.3390/nano14171465")</f>
        <v>http://dx.doi.org/10.3390/nano14171465</v>
      </c>
      <c r="BG446" s="1" t="s">
        <v>74</v>
      </c>
      <c r="BH446" s="1" t="s">
        <v>74</v>
      </c>
      <c r="BI446" s="1" t="s">
        <v>74</v>
      </c>
      <c r="BJ446" s="1" t="s">
        <v>74</v>
      </c>
      <c r="BK446" s="1" t="s">
        <v>74</v>
      </c>
      <c r="BL446" s="1" t="s">
        <v>74</v>
      </c>
      <c r="BM446" s="1" t="s">
        <v>74</v>
      </c>
      <c r="BN446" s="1">
        <v>3.9269127E7</v>
      </c>
      <c r="BO446" s="1" t="s">
        <v>74</v>
      </c>
      <c r="BP446" s="1" t="s">
        <v>74</v>
      </c>
      <c r="BQ446" s="1" t="s">
        <v>74</v>
      </c>
      <c r="BR446" s="1" t="s">
        <v>74</v>
      </c>
      <c r="BS446" s="1" t="s">
        <v>4650</v>
      </c>
      <c r="BT446" s="1" t="str">
        <f>HYPERLINK("https%3A%2F%2Fwww.webofscience.com%2Fwos%2Fwoscc%2Ffull-record%2FWOS:001311000700001","View Full Record in Web of Science")</f>
        <v>View Full Record in Web of Science</v>
      </c>
    </row>
    <row r="447" ht="12.75" customHeight="1">
      <c r="A447" s="1" t="s">
        <v>72</v>
      </c>
      <c r="B447" s="1" t="s">
        <v>4651</v>
      </c>
      <c r="C447" s="1" t="s">
        <v>74</v>
      </c>
      <c r="D447" s="1" t="s">
        <v>74</v>
      </c>
      <c r="E447" s="1" t="s">
        <v>74</v>
      </c>
      <c r="F447" s="1" t="s">
        <v>4652</v>
      </c>
      <c r="G447" s="1" t="s">
        <v>74</v>
      </c>
      <c r="H447" s="1" t="s">
        <v>74</v>
      </c>
      <c r="I447" s="1" t="s">
        <v>4653</v>
      </c>
      <c r="J447" s="1" t="s">
        <v>4654</v>
      </c>
      <c r="K447" s="1" t="s">
        <v>74</v>
      </c>
      <c r="L447" s="1" t="s">
        <v>74</v>
      </c>
      <c r="M447" s="1" t="s">
        <v>74</v>
      </c>
      <c r="N447" s="1" t="s">
        <v>74</v>
      </c>
      <c r="O447" s="1" t="s">
        <v>74</v>
      </c>
      <c r="P447" s="1" t="s">
        <v>74</v>
      </c>
      <c r="Q447" s="1" t="s">
        <v>74</v>
      </c>
      <c r="R447" s="1" t="s">
        <v>74</v>
      </c>
      <c r="S447" s="1" t="s">
        <v>74</v>
      </c>
      <c r="T447" s="1" t="s">
        <v>74</v>
      </c>
      <c r="U447" s="1" t="s">
        <v>74</v>
      </c>
      <c r="V447" s="1" t="s">
        <v>4655</v>
      </c>
      <c r="W447" s="1" t="s">
        <v>74</v>
      </c>
      <c r="X447" s="1" t="s">
        <v>74</v>
      </c>
      <c r="Y447" s="1" t="s">
        <v>74</v>
      </c>
      <c r="Z447" s="1" t="s">
        <v>74</v>
      </c>
      <c r="AA447" s="1" t="s">
        <v>4656</v>
      </c>
      <c r="AB447" s="1" t="s">
        <v>4657</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4658</v>
      </c>
      <c r="AP447" s="1" t="s">
        <v>4659</v>
      </c>
      <c r="AQ447" s="1" t="s">
        <v>74</v>
      </c>
      <c r="AR447" s="1" t="s">
        <v>74</v>
      </c>
      <c r="AS447" s="1" t="s">
        <v>74</v>
      </c>
      <c r="AT447" s="1" t="s">
        <v>82</v>
      </c>
      <c r="AU447" s="1">
        <v>2024.0</v>
      </c>
      <c r="AV447" s="1">
        <v>90.0</v>
      </c>
      <c r="AW447" s="1">
        <v>2.0</v>
      </c>
      <c r="AX447" s="1" t="s">
        <v>74</v>
      </c>
      <c r="AY447" s="1" t="s">
        <v>74</v>
      </c>
      <c r="AZ447" s="1" t="s">
        <v>74</v>
      </c>
      <c r="BA447" s="1" t="s">
        <v>74</v>
      </c>
      <c r="BB447" s="1">
        <v>551.0</v>
      </c>
      <c r="BC447" s="1">
        <v>571.0</v>
      </c>
      <c r="BD447" s="1" t="s">
        <v>74</v>
      </c>
      <c r="BE447" s="1" t="s">
        <v>4660</v>
      </c>
      <c r="BF447" s="2" t="str">
        <f>HYPERLINK("http://dx.doi.org/10.1007/s10898-024-01402-3","http://dx.doi.org/10.1007/s10898-024-01402-3")</f>
        <v>http://dx.doi.org/10.1007/s10898-024-01402-3</v>
      </c>
      <c r="BG447" s="1" t="s">
        <v>74</v>
      </c>
      <c r="BH447" s="1" t="s">
        <v>3539</v>
      </c>
      <c r="BI447" s="1" t="s">
        <v>74</v>
      </c>
      <c r="BJ447" s="1" t="s">
        <v>74</v>
      </c>
      <c r="BK447" s="1" t="s">
        <v>74</v>
      </c>
      <c r="BL447" s="1" t="s">
        <v>74</v>
      </c>
      <c r="BM447" s="1" t="s">
        <v>74</v>
      </c>
      <c r="BN447" s="1" t="s">
        <v>74</v>
      </c>
      <c r="BO447" s="1" t="s">
        <v>74</v>
      </c>
      <c r="BP447" s="1" t="s">
        <v>74</v>
      </c>
      <c r="BQ447" s="1" t="s">
        <v>74</v>
      </c>
      <c r="BR447" s="1" t="s">
        <v>74</v>
      </c>
      <c r="BS447" s="1" t="s">
        <v>4661</v>
      </c>
      <c r="BT447" s="1" t="str">
        <f>HYPERLINK("https%3A%2F%2Fwww.webofscience.com%2Fwos%2Fwoscc%2Ffull-record%2FWOS:001217444500001","View Full Record in Web of Science")</f>
        <v>View Full Record in Web of Science</v>
      </c>
    </row>
    <row r="448" ht="12.75" customHeight="1">
      <c r="A448" s="1" t="s">
        <v>72</v>
      </c>
      <c r="B448" s="1" t="s">
        <v>4662</v>
      </c>
      <c r="C448" s="1" t="s">
        <v>74</v>
      </c>
      <c r="D448" s="1" t="s">
        <v>74</v>
      </c>
      <c r="E448" s="1" t="s">
        <v>74</v>
      </c>
      <c r="F448" s="1" t="s">
        <v>4663</v>
      </c>
      <c r="G448" s="1" t="s">
        <v>74</v>
      </c>
      <c r="H448" s="1" t="s">
        <v>74</v>
      </c>
      <c r="I448" s="1" t="s">
        <v>4664</v>
      </c>
      <c r="J448" s="1" t="s">
        <v>4427</v>
      </c>
      <c r="K448" s="1" t="s">
        <v>74</v>
      </c>
      <c r="L448" s="1" t="s">
        <v>74</v>
      </c>
      <c r="M448" s="1" t="s">
        <v>74</v>
      </c>
      <c r="N448" s="1" t="s">
        <v>74</v>
      </c>
      <c r="O448" s="1" t="s">
        <v>74</v>
      </c>
      <c r="P448" s="1" t="s">
        <v>74</v>
      </c>
      <c r="Q448" s="1" t="s">
        <v>74</v>
      </c>
      <c r="R448" s="1" t="s">
        <v>74</v>
      </c>
      <c r="S448" s="1" t="s">
        <v>74</v>
      </c>
      <c r="T448" s="1" t="s">
        <v>74</v>
      </c>
      <c r="U448" s="1" t="s">
        <v>74</v>
      </c>
      <c r="V448" s="1" t="s">
        <v>4665</v>
      </c>
      <c r="W448" s="1" t="s">
        <v>74</v>
      </c>
      <c r="X448" s="1" t="s">
        <v>74</v>
      </c>
      <c r="Y448" s="1" t="s">
        <v>74</v>
      </c>
      <c r="Z448" s="1" t="s">
        <v>74</v>
      </c>
      <c r="AA448" s="1" t="s">
        <v>74</v>
      </c>
      <c r="AB448" s="1" t="s">
        <v>74</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4431</v>
      </c>
      <c r="AP448" s="1" t="s">
        <v>4432</v>
      </c>
      <c r="AQ448" s="1" t="s">
        <v>74</v>
      </c>
      <c r="AR448" s="1" t="s">
        <v>74</v>
      </c>
      <c r="AS448" s="1" t="s">
        <v>74</v>
      </c>
      <c r="AT448" s="1" t="s">
        <v>1227</v>
      </c>
      <c r="AU448" s="1">
        <v>2023.0</v>
      </c>
      <c r="AV448" s="1">
        <v>94.0</v>
      </c>
      <c r="AW448" s="1">
        <v>6.0</v>
      </c>
      <c r="AX448" s="1" t="s">
        <v>74</v>
      </c>
      <c r="AY448" s="1" t="s">
        <v>74</v>
      </c>
      <c r="AZ448" s="1" t="s">
        <v>74</v>
      </c>
      <c r="BA448" s="1" t="s">
        <v>74</v>
      </c>
      <c r="BB448" s="1">
        <v>729.0</v>
      </c>
      <c r="BC448" s="1">
        <v>735.0</v>
      </c>
      <c r="BD448" s="1" t="s">
        <v>74</v>
      </c>
      <c r="BE448" s="1" t="s">
        <v>4666</v>
      </c>
      <c r="BF448" s="2" t="str">
        <f>HYPERLINK("http://dx.doi.org/10.32641/andespediatr.v94i6.4663","http://dx.doi.org/10.32641/andespediatr.v94i6.4663")</f>
        <v>http://dx.doi.org/10.32641/andespediatr.v94i6.4663</v>
      </c>
      <c r="BG448" s="1" t="s">
        <v>74</v>
      </c>
      <c r="BH448" s="1" t="s">
        <v>74</v>
      </c>
      <c r="BI448" s="1" t="s">
        <v>74</v>
      </c>
      <c r="BJ448" s="1" t="s">
        <v>74</v>
      </c>
      <c r="BK448" s="1" t="s">
        <v>74</v>
      </c>
      <c r="BL448" s="1" t="s">
        <v>74</v>
      </c>
      <c r="BM448" s="1" t="s">
        <v>74</v>
      </c>
      <c r="BN448" s="1">
        <v>3.8329309E7</v>
      </c>
      <c r="BO448" s="1" t="s">
        <v>74</v>
      </c>
      <c r="BP448" s="1" t="s">
        <v>74</v>
      </c>
      <c r="BQ448" s="1" t="s">
        <v>74</v>
      </c>
      <c r="BR448" s="1" t="s">
        <v>74</v>
      </c>
      <c r="BS448" s="1" t="s">
        <v>4667</v>
      </c>
      <c r="BT448" s="1" t="str">
        <f>HYPERLINK("https%3A%2F%2Fwww.webofscience.com%2Fwos%2Fwoscc%2Ffull-record%2FWOS:001134372400002","View Full Record in Web of Science")</f>
        <v>View Full Record in Web of Science</v>
      </c>
    </row>
    <row r="449" ht="12.75" customHeight="1">
      <c r="A449" s="1" t="s">
        <v>72</v>
      </c>
      <c r="B449" s="1" t="s">
        <v>4668</v>
      </c>
      <c r="C449" s="1" t="s">
        <v>74</v>
      </c>
      <c r="D449" s="1" t="s">
        <v>74</v>
      </c>
      <c r="E449" s="1" t="s">
        <v>74</v>
      </c>
      <c r="F449" s="1" t="s">
        <v>4669</v>
      </c>
      <c r="G449" s="1" t="s">
        <v>74</v>
      </c>
      <c r="H449" s="1" t="s">
        <v>74</v>
      </c>
      <c r="I449" s="1" t="s">
        <v>4670</v>
      </c>
      <c r="J449" s="1" t="s">
        <v>1065</v>
      </c>
      <c r="K449" s="1" t="s">
        <v>74</v>
      </c>
      <c r="L449" s="1" t="s">
        <v>74</v>
      </c>
      <c r="M449" s="1" t="s">
        <v>74</v>
      </c>
      <c r="N449" s="1" t="s">
        <v>74</v>
      </c>
      <c r="O449" s="1" t="s">
        <v>74</v>
      </c>
      <c r="P449" s="1" t="s">
        <v>74</v>
      </c>
      <c r="Q449" s="1" t="s">
        <v>74</v>
      </c>
      <c r="R449" s="1" t="s">
        <v>74</v>
      </c>
      <c r="S449" s="1" t="s">
        <v>74</v>
      </c>
      <c r="T449" s="1" t="s">
        <v>74</v>
      </c>
      <c r="U449" s="1" t="s">
        <v>74</v>
      </c>
      <c r="V449" s="1" t="s">
        <v>4671</v>
      </c>
      <c r="W449" s="1" t="s">
        <v>74</v>
      </c>
      <c r="X449" s="1" t="s">
        <v>74</v>
      </c>
      <c r="Y449" s="1" t="s">
        <v>74</v>
      </c>
      <c r="Z449" s="1" t="s">
        <v>74</v>
      </c>
      <c r="AA449" s="1" t="s">
        <v>4672</v>
      </c>
      <c r="AB449" s="1" t="s">
        <v>4673</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1068</v>
      </c>
      <c r="AP449" s="1" t="s">
        <v>2288</v>
      </c>
      <c r="AQ449" s="1" t="s">
        <v>74</v>
      </c>
      <c r="AR449" s="1" t="s">
        <v>74</v>
      </c>
      <c r="AS449" s="1" t="s">
        <v>74</v>
      </c>
      <c r="AT449" s="1" t="s">
        <v>3217</v>
      </c>
      <c r="AU449" s="1">
        <v>2023.0</v>
      </c>
      <c r="AV449" s="1">
        <v>468.0</v>
      </c>
      <c r="AW449" s="1" t="s">
        <v>74</v>
      </c>
      <c r="AX449" s="1" t="s">
        <v>74</v>
      </c>
      <c r="AY449" s="1" t="s">
        <v>74</v>
      </c>
      <c r="AZ449" s="1" t="s">
        <v>74</v>
      </c>
      <c r="BA449" s="1" t="s">
        <v>74</v>
      </c>
      <c r="BB449" s="1" t="s">
        <v>74</v>
      </c>
      <c r="BC449" s="1" t="s">
        <v>74</v>
      </c>
      <c r="BD449" s="1">
        <v>143164.0</v>
      </c>
      <c r="BE449" s="1" t="s">
        <v>4674</v>
      </c>
      <c r="BF449" s="2" t="str">
        <f>HYPERLINK("http://dx.doi.org/10.1016/j.electacta.2023.143164","http://dx.doi.org/10.1016/j.electacta.2023.143164")</f>
        <v>http://dx.doi.org/10.1016/j.electacta.2023.143164</v>
      </c>
      <c r="BG449" s="1" t="s">
        <v>74</v>
      </c>
      <c r="BH449" s="1" t="s">
        <v>1742</v>
      </c>
      <c r="BI449" s="1" t="s">
        <v>74</v>
      </c>
      <c r="BJ449" s="1" t="s">
        <v>74</v>
      </c>
      <c r="BK449" s="1" t="s">
        <v>74</v>
      </c>
      <c r="BL449" s="1" t="s">
        <v>74</v>
      </c>
      <c r="BM449" s="1" t="s">
        <v>74</v>
      </c>
      <c r="BN449" s="1" t="s">
        <v>74</v>
      </c>
      <c r="BO449" s="1" t="s">
        <v>74</v>
      </c>
      <c r="BP449" s="1" t="s">
        <v>74</v>
      </c>
      <c r="BQ449" s="1" t="s">
        <v>74</v>
      </c>
      <c r="BR449" s="1" t="s">
        <v>74</v>
      </c>
      <c r="BS449" s="1" t="s">
        <v>4675</v>
      </c>
      <c r="BT449" s="1" t="str">
        <f>HYPERLINK("https%3A%2F%2Fwww.webofscience.com%2Fwos%2Fwoscc%2Ffull-record%2FWOS:001079804100001","View Full Record in Web of Science")</f>
        <v>View Full Record in Web of Science</v>
      </c>
    </row>
    <row r="450" ht="12.75" customHeight="1">
      <c r="A450" s="1" t="s">
        <v>72</v>
      </c>
      <c r="B450" s="1" t="s">
        <v>4676</v>
      </c>
      <c r="C450" s="1" t="s">
        <v>74</v>
      </c>
      <c r="D450" s="1" t="s">
        <v>74</v>
      </c>
      <c r="E450" s="1" t="s">
        <v>74</v>
      </c>
      <c r="F450" s="1" t="s">
        <v>4677</v>
      </c>
      <c r="G450" s="1" t="s">
        <v>74</v>
      </c>
      <c r="H450" s="1" t="s">
        <v>74</v>
      </c>
      <c r="I450" s="1" t="s">
        <v>4678</v>
      </c>
      <c r="J450" s="1" t="s">
        <v>3611</v>
      </c>
      <c r="K450" s="1" t="s">
        <v>74</v>
      </c>
      <c r="L450" s="1" t="s">
        <v>74</v>
      </c>
      <c r="M450" s="1" t="s">
        <v>74</v>
      </c>
      <c r="N450" s="1" t="s">
        <v>74</v>
      </c>
      <c r="O450" s="1" t="s">
        <v>74</v>
      </c>
      <c r="P450" s="1" t="s">
        <v>74</v>
      </c>
      <c r="Q450" s="1" t="s">
        <v>74</v>
      </c>
      <c r="R450" s="1" t="s">
        <v>74</v>
      </c>
      <c r="S450" s="1" t="s">
        <v>74</v>
      </c>
      <c r="T450" s="1" t="s">
        <v>74</v>
      </c>
      <c r="U450" s="1" t="s">
        <v>74</v>
      </c>
      <c r="V450" s="1" t="s">
        <v>4679</v>
      </c>
      <c r="W450" s="1" t="s">
        <v>74</v>
      </c>
      <c r="X450" s="1" t="s">
        <v>74</v>
      </c>
      <c r="Y450" s="1" t="s">
        <v>74</v>
      </c>
      <c r="Z450" s="1" t="s">
        <v>74</v>
      </c>
      <c r="AA450" s="1" t="s">
        <v>4680</v>
      </c>
      <c r="AB450" s="1" t="s">
        <v>4681</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3615</v>
      </c>
      <c r="AP450" s="1" t="s">
        <v>74</v>
      </c>
      <c r="AQ450" s="1" t="s">
        <v>74</v>
      </c>
      <c r="AR450" s="1" t="s">
        <v>74</v>
      </c>
      <c r="AS450" s="1" t="s">
        <v>74</v>
      </c>
      <c r="AT450" s="1" t="s">
        <v>4682</v>
      </c>
      <c r="AU450" s="1">
        <v>2023.0</v>
      </c>
      <c r="AV450" s="1">
        <v>11.0</v>
      </c>
      <c r="AW450" s="1" t="s">
        <v>74</v>
      </c>
      <c r="AX450" s="1" t="s">
        <v>74</v>
      </c>
      <c r="AY450" s="1" t="s">
        <v>74</v>
      </c>
      <c r="AZ450" s="1" t="s">
        <v>74</v>
      </c>
      <c r="BA450" s="1" t="s">
        <v>74</v>
      </c>
      <c r="BB450" s="1" t="s">
        <v>74</v>
      </c>
      <c r="BC450" s="1" t="s">
        <v>74</v>
      </c>
      <c r="BD450" s="1">
        <v>1233939.0</v>
      </c>
      <c r="BE450" s="1" t="s">
        <v>4683</v>
      </c>
      <c r="BF450" s="2" t="str">
        <f>HYPERLINK("http://dx.doi.org/10.3389/fbioe.2023.1233939","http://dx.doi.org/10.3389/fbioe.2023.1233939")</f>
        <v>http://dx.doi.org/10.3389/fbioe.2023.1233939</v>
      </c>
      <c r="BG450" s="1" t="s">
        <v>74</v>
      </c>
      <c r="BH450" s="1" t="s">
        <v>74</v>
      </c>
      <c r="BI450" s="1" t="s">
        <v>74</v>
      </c>
      <c r="BJ450" s="1" t="s">
        <v>74</v>
      </c>
      <c r="BK450" s="1" t="s">
        <v>74</v>
      </c>
      <c r="BL450" s="1" t="s">
        <v>74</v>
      </c>
      <c r="BM450" s="1" t="s">
        <v>74</v>
      </c>
      <c r="BN450" s="1">
        <v>3.7675404E7</v>
      </c>
      <c r="BO450" s="1" t="s">
        <v>74</v>
      </c>
      <c r="BP450" s="1" t="s">
        <v>74</v>
      </c>
      <c r="BQ450" s="1" t="s">
        <v>74</v>
      </c>
      <c r="BR450" s="1" t="s">
        <v>74</v>
      </c>
      <c r="BS450" s="1" t="s">
        <v>4684</v>
      </c>
      <c r="BT450" s="1" t="str">
        <f>HYPERLINK("https%3A%2F%2Fwww.webofscience.com%2Fwos%2Fwoscc%2Ffull-record%2FWOS:001058527400001","View Full Record in Web of Science")</f>
        <v>View Full Record in Web of Science</v>
      </c>
    </row>
    <row r="451" ht="12.75" customHeight="1">
      <c r="A451" s="1" t="s">
        <v>72</v>
      </c>
      <c r="B451" s="1" t="s">
        <v>4685</v>
      </c>
      <c r="C451" s="1" t="s">
        <v>74</v>
      </c>
      <c r="D451" s="1" t="s">
        <v>74</v>
      </c>
      <c r="E451" s="1" t="s">
        <v>74</v>
      </c>
      <c r="F451" s="1" t="s">
        <v>4686</v>
      </c>
      <c r="G451" s="1" t="s">
        <v>74</v>
      </c>
      <c r="H451" s="1" t="s">
        <v>74</v>
      </c>
      <c r="I451" s="1" t="s">
        <v>4687</v>
      </c>
      <c r="J451" s="1" t="s">
        <v>4688</v>
      </c>
      <c r="K451" s="1" t="s">
        <v>74</v>
      </c>
      <c r="L451" s="1" t="s">
        <v>74</v>
      </c>
      <c r="M451" s="1" t="s">
        <v>74</v>
      </c>
      <c r="N451" s="1" t="s">
        <v>74</v>
      </c>
      <c r="O451" s="1" t="s">
        <v>74</v>
      </c>
      <c r="P451" s="1" t="s">
        <v>74</v>
      </c>
      <c r="Q451" s="1" t="s">
        <v>74</v>
      </c>
      <c r="R451" s="1" t="s">
        <v>74</v>
      </c>
      <c r="S451" s="1" t="s">
        <v>74</v>
      </c>
      <c r="T451" s="1" t="s">
        <v>74</v>
      </c>
      <c r="U451" s="1" t="s">
        <v>74</v>
      </c>
      <c r="V451" s="1" t="s">
        <v>4689</v>
      </c>
      <c r="W451" s="1" t="s">
        <v>74</v>
      </c>
      <c r="X451" s="1" t="s">
        <v>74</v>
      </c>
      <c r="Y451" s="1" t="s">
        <v>74</v>
      </c>
      <c r="Z451" s="1" t="s">
        <v>74</v>
      </c>
      <c r="AA451" s="1" t="s">
        <v>74</v>
      </c>
      <c r="AB451" s="1" t="s">
        <v>4690</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4691</v>
      </c>
      <c r="AP451" s="1" t="s">
        <v>4692</v>
      </c>
      <c r="AQ451" s="1" t="s">
        <v>74</v>
      </c>
      <c r="AR451" s="1" t="s">
        <v>74</v>
      </c>
      <c r="AS451" s="1" t="s">
        <v>74</v>
      </c>
      <c r="AT451" s="1" t="s">
        <v>4693</v>
      </c>
      <c r="AU451" s="1">
        <v>2024.0</v>
      </c>
      <c r="AV451" s="1">
        <v>30.0</v>
      </c>
      <c r="AW451" s="1">
        <v>5.0</v>
      </c>
      <c r="AX451" s="1" t="s">
        <v>74</v>
      </c>
      <c r="AY451" s="1" t="s">
        <v>74</v>
      </c>
      <c r="AZ451" s="1" t="s">
        <v>74</v>
      </c>
      <c r="BA451" s="1" t="s">
        <v>74</v>
      </c>
      <c r="BB451" s="1">
        <v>794.0</v>
      </c>
      <c r="BC451" s="1">
        <v>806.0</v>
      </c>
      <c r="BD451" s="1" t="s">
        <v>74</v>
      </c>
      <c r="BE451" s="1" t="s">
        <v>4694</v>
      </c>
      <c r="BF451" s="2" t="str">
        <f>HYPERLINK("http://dx.doi.org/10.1080/13504622.2023.2240042","http://dx.doi.org/10.1080/13504622.2023.2240042")</f>
        <v>http://dx.doi.org/10.1080/13504622.2023.2240042</v>
      </c>
      <c r="BG451" s="1" t="s">
        <v>74</v>
      </c>
      <c r="BH451" s="1" t="s">
        <v>4422</v>
      </c>
      <c r="BI451" s="1" t="s">
        <v>74</v>
      </c>
      <c r="BJ451" s="1" t="s">
        <v>74</v>
      </c>
      <c r="BK451" s="1" t="s">
        <v>74</v>
      </c>
      <c r="BL451" s="1" t="s">
        <v>74</v>
      </c>
      <c r="BM451" s="1" t="s">
        <v>74</v>
      </c>
      <c r="BN451" s="1" t="s">
        <v>74</v>
      </c>
      <c r="BO451" s="1" t="s">
        <v>74</v>
      </c>
      <c r="BP451" s="1" t="s">
        <v>74</v>
      </c>
      <c r="BQ451" s="1" t="s">
        <v>74</v>
      </c>
      <c r="BR451" s="1" t="s">
        <v>74</v>
      </c>
      <c r="BS451" s="1" t="s">
        <v>4695</v>
      </c>
      <c r="BT451" s="1" t="str">
        <f>HYPERLINK("https%3A%2F%2Fwww.webofscience.com%2Fwos%2Fwoscc%2Ffull-record%2FWOS:001036796600001","View Full Record in Web of Science")</f>
        <v>View Full Record in Web of Science</v>
      </c>
    </row>
    <row r="452" ht="12.75" customHeight="1">
      <c r="A452" s="1" t="s">
        <v>72</v>
      </c>
      <c r="B452" s="1" t="s">
        <v>4696</v>
      </c>
      <c r="C452" s="1" t="s">
        <v>74</v>
      </c>
      <c r="D452" s="1" t="s">
        <v>74</v>
      </c>
      <c r="E452" s="1" t="s">
        <v>74</v>
      </c>
      <c r="F452" s="1" t="s">
        <v>4697</v>
      </c>
      <c r="G452" s="1" t="s">
        <v>74</v>
      </c>
      <c r="H452" s="1" t="s">
        <v>74</v>
      </c>
      <c r="I452" s="1" t="s">
        <v>4698</v>
      </c>
      <c r="J452" s="1" t="s">
        <v>3622</v>
      </c>
      <c r="K452" s="1" t="s">
        <v>74</v>
      </c>
      <c r="L452" s="1" t="s">
        <v>74</v>
      </c>
      <c r="M452" s="1" t="s">
        <v>74</v>
      </c>
      <c r="N452" s="1" t="s">
        <v>74</v>
      </c>
      <c r="O452" s="1" t="s">
        <v>74</v>
      </c>
      <c r="P452" s="1" t="s">
        <v>74</v>
      </c>
      <c r="Q452" s="1" t="s">
        <v>74</v>
      </c>
      <c r="R452" s="1" t="s">
        <v>74</v>
      </c>
      <c r="S452" s="1" t="s">
        <v>74</v>
      </c>
      <c r="T452" s="1" t="s">
        <v>74</v>
      </c>
      <c r="U452" s="1" t="s">
        <v>74</v>
      </c>
      <c r="V452" s="1" t="s">
        <v>4699</v>
      </c>
      <c r="W452" s="1" t="s">
        <v>74</v>
      </c>
      <c r="X452" s="1" t="s">
        <v>74</v>
      </c>
      <c r="Y452" s="1" t="s">
        <v>74</v>
      </c>
      <c r="Z452" s="1" t="s">
        <v>74</v>
      </c>
      <c r="AA452" s="1" t="s">
        <v>4700</v>
      </c>
      <c r="AB452" s="1" t="s">
        <v>4701</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74</v>
      </c>
      <c r="AP452" s="1" t="s">
        <v>3626</v>
      </c>
      <c r="AQ452" s="1" t="s">
        <v>74</v>
      </c>
      <c r="AR452" s="1" t="s">
        <v>74</v>
      </c>
      <c r="AS452" s="1" t="s">
        <v>74</v>
      </c>
      <c r="AT452" s="1" t="s">
        <v>177</v>
      </c>
      <c r="AU452" s="1">
        <v>2023.0</v>
      </c>
      <c r="AV452" s="1">
        <v>13.0</v>
      </c>
      <c r="AW452" s="1">
        <v>13.0</v>
      </c>
      <c r="AX452" s="1" t="s">
        <v>74</v>
      </c>
      <c r="AY452" s="1" t="s">
        <v>74</v>
      </c>
      <c r="AZ452" s="1" t="s">
        <v>74</v>
      </c>
      <c r="BA452" s="1" t="s">
        <v>74</v>
      </c>
      <c r="BB452" s="1" t="s">
        <v>74</v>
      </c>
      <c r="BC452" s="1" t="s">
        <v>74</v>
      </c>
      <c r="BD452" s="1">
        <v>7969.0</v>
      </c>
      <c r="BE452" s="1" t="s">
        <v>4702</v>
      </c>
      <c r="BF452" s="2" t="str">
        <f>HYPERLINK("http://dx.doi.org/10.3390/app13137969","http://dx.doi.org/10.3390/app13137969")</f>
        <v>http://dx.doi.org/10.3390/app13137969</v>
      </c>
      <c r="BG452" s="1" t="s">
        <v>74</v>
      </c>
      <c r="BH452" s="1" t="s">
        <v>74</v>
      </c>
      <c r="BI452" s="1" t="s">
        <v>74</v>
      </c>
      <c r="BJ452" s="1" t="s">
        <v>74</v>
      </c>
      <c r="BK452" s="1" t="s">
        <v>74</v>
      </c>
      <c r="BL452" s="1" t="s">
        <v>74</v>
      </c>
      <c r="BM452" s="1" t="s">
        <v>74</v>
      </c>
      <c r="BN452" s="1" t="s">
        <v>74</v>
      </c>
      <c r="BO452" s="1" t="s">
        <v>74</v>
      </c>
      <c r="BP452" s="1" t="s">
        <v>74</v>
      </c>
      <c r="BQ452" s="1" t="s">
        <v>74</v>
      </c>
      <c r="BR452" s="1" t="s">
        <v>74</v>
      </c>
      <c r="BS452" s="1" t="s">
        <v>4703</v>
      </c>
      <c r="BT452" s="1" t="str">
        <f>HYPERLINK("https%3A%2F%2Fwww.webofscience.com%2Fwos%2Fwoscc%2Ffull-record%2FWOS:001028620600001","View Full Record in Web of Science")</f>
        <v>View Full Record in Web of Science</v>
      </c>
    </row>
    <row r="453" ht="12.75" customHeight="1">
      <c r="A453" s="1" t="s">
        <v>72</v>
      </c>
      <c r="B453" s="1" t="s">
        <v>4704</v>
      </c>
      <c r="C453" s="1" t="s">
        <v>74</v>
      </c>
      <c r="D453" s="1" t="s">
        <v>74</v>
      </c>
      <c r="E453" s="1" t="s">
        <v>74</v>
      </c>
      <c r="F453" s="1" t="s">
        <v>4705</v>
      </c>
      <c r="G453" s="1" t="s">
        <v>74</v>
      </c>
      <c r="H453" s="1" t="s">
        <v>74</v>
      </c>
      <c r="I453" s="1" t="s">
        <v>4706</v>
      </c>
      <c r="J453" s="1" t="s">
        <v>3350</v>
      </c>
      <c r="K453" s="1" t="s">
        <v>74</v>
      </c>
      <c r="L453" s="1" t="s">
        <v>74</v>
      </c>
      <c r="M453" s="1" t="s">
        <v>74</v>
      </c>
      <c r="N453" s="1" t="s">
        <v>74</v>
      </c>
      <c r="O453" s="1" t="s">
        <v>74</v>
      </c>
      <c r="P453" s="1" t="s">
        <v>74</v>
      </c>
      <c r="Q453" s="1" t="s">
        <v>74</v>
      </c>
      <c r="R453" s="1" t="s">
        <v>74</v>
      </c>
      <c r="S453" s="1" t="s">
        <v>74</v>
      </c>
      <c r="T453" s="1" t="s">
        <v>74</v>
      </c>
      <c r="U453" s="1" t="s">
        <v>74</v>
      </c>
      <c r="V453" s="1" t="s">
        <v>4707</v>
      </c>
      <c r="W453" s="1" t="s">
        <v>74</v>
      </c>
      <c r="X453" s="1" t="s">
        <v>74</v>
      </c>
      <c r="Y453" s="1" t="s">
        <v>74</v>
      </c>
      <c r="Z453" s="1" t="s">
        <v>74</v>
      </c>
      <c r="AA453" s="1" t="s">
        <v>4708</v>
      </c>
      <c r="AB453" s="1" t="s">
        <v>4709</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3354</v>
      </c>
      <c r="AP453" s="1" t="s">
        <v>4710</v>
      </c>
      <c r="AQ453" s="1" t="s">
        <v>74</v>
      </c>
      <c r="AR453" s="1" t="s">
        <v>74</v>
      </c>
      <c r="AS453" s="1" t="s">
        <v>74</v>
      </c>
      <c r="AT453" s="1" t="s">
        <v>4711</v>
      </c>
      <c r="AU453" s="1">
        <v>2023.0</v>
      </c>
      <c r="AV453" s="1">
        <v>34.0</v>
      </c>
      <c r="AW453" s="1">
        <v>16.0</v>
      </c>
      <c r="AX453" s="1" t="s">
        <v>74</v>
      </c>
      <c r="AY453" s="1" t="s">
        <v>74</v>
      </c>
      <c r="AZ453" s="1" t="s">
        <v>74</v>
      </c>
      <c r="BA453" s="1" t="s">
        <v>74</v>
      </c>
      <c r="BB453" s="1" t="s">
        <v>74</v>
      </c>
      <c r="BC453" s="1" t="s">
        <v>74</v>
      </c>
      <c r="BD453" s="1">
        <v>165702.0</v>
      </c>
      <c r="BE453" s="1" t="s">
        <v>4712</v>
      </c>
      <c r="BF453" s="2" t="str">
        <f>HYPERLINK("http://dx.doi.org/10.1088/1361-6528/acb557","http://dx.doi.org/10.1088/1361-6528/acb557")</f>
        <v>http://dx.doi.org/10.1088/1361-6528/acb557</v>
      </c>
      <c r="BG453" s="1" t="s">
        <v>74</v>
      </c>
      <c r="BH453" s="1" t="s">
        <v>74</v>
      </c>
      <c r="BI453" s="1" t="s">
        <v>74</v>
      </c>
      <c r="BJ453" s="1" t="s">
        <v>74</v>
      </c>
      <c r="BK453" s="1" t="s">
        <v>74</v>
      </c>
      <c r="BL453" s="1" t="s">
        <v>74</v>
      </c>
      <c r="BM453" s="1" t="s">
        <v>74</v>
      </c>
      <c r="BN453" s="1">
        <v>3.6689765E7</v>
      </c>
      <c r="BO453" s="1" t="s">
        <v>74</v>
      </c>
      <c r="BP453" s="1" t="s">
        <v>74</v>
      </c>
      <c r="BQ453" s="1" t="s">
        <v>74</v>
      </c>
      <c r="BR453" s="1" t="s">
        <v>74</v>
      </c>
      <c r="BS453" s="1" t="s">
        <v>4713</v>
      </c>
      <c r="BT453" s="1" t="str">
        <f>HYPERLINK("https%3A%2F%2Fwww.webofscience.com%2Fwos%2Fwoscc%2Ffull-record%2FWOS:000931786400001","View Full Record in Web of Science")</f>
        <v>View Full Record in Web of Science</v>
      </c>
    </row>
    <row r="454" ht="12.75" customHeight="1">
      <c r="A454" s="1" t="s">
        <v>72</v>
      </c>
      <c r="B454" s="1" t="s">
        <v>4714</v>
      </c>
      <c r="C454" s="1" t="s">
        <v>74</v>
      </c>
      <c r="D454" s="1" t="s">
        <v>74</v>
      </c>
      <c r="E454" s="1" t="s">
        <v>74</v>
      </c>
      <c r="F454" s="1" t="s">
        <v>4715</v>
      </c>
      <c r="G454" s="1" t="s">
        <v>74</v>
      </c>
      <c r="H454" s="1" t="s">
        <v>74</v>
      </c>
      <c r="I454" s="1" t="s">
        <v>4716</v>
      </c>
      <c r="J454" s="1" t="s">
        <v>2402</v>
      </c>
      <c r="K454" s="1" t="s">
        <v>74</v>
      </c>
      <c r="L454" s="1" t="s">
        <v>74</v>
      </c>
      <c r="M454" s="1" t="s">
        <v>74</v>
      </c>
      <c r="N454" s="1" t="s">
        <v>74</v>
      </c>
      <c r="O454" s="1" t="s">
        <v>74</v>
      </c>
      <c r="P454" s="1" t="s">
        <v>74</v>
      </c>
      <c r="Q454" s="1" t="s">
        <v>74</v>
      </c>
      <c r="R454" s="1" t="s">
        <v>74</v>
      </c>
      <c r="S454" s="1" t="s">
        <v>74</v>
      </c>
      <c r="T454" s="1" t="s">
        <v>74</v>
      </c>
      <c r="U454" s="1" t="s">
        <v>74</v>
      </c>
      <c r="V454" s="1" t="s">
        <v>4717</v>
      </c>
      <c r="W454" s="1" t="s">
        <v>74</v>
      </c>
      <c r="X454" s="1" t="s">
        <v>74</v>
      </c>
      <c r="Y454" s="1" t="s">
        <v>74</v>
      </c>
      <c r="Z454" s="1" t="s">
        <v>74</v>
      </c>
      <c r="AA454" s="1" t="s">
        <v>4718</v>
      </c>
      <c r="AB454" s="1" t="s">
        <v>4719</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2406</v>
      </c>
      <c r="AP454" s="1" t="s">
        <v>2407</v>
      </c>
      <c r="AQ454" s="1" t="s">
        <v>74</v>
      </c>
      <c r="AR454" s="1" t="s">
        <v>74</v>
      </c>
      <c r="AS454" s="1" t="s">
        <v>74</v>
      </c>
      <c r="AT454" s="1" t="s">
        <v>408</v>
      </c>
      <c r="AU454" s="1">
        <v>2022.0</v>
      </c>
      <c r="AV454" s="1">
        <v>23.0</v>
      </c>
      <c r="AW454" s="1">
        <v>5.0</v>
      </c>
      <c r="AX454" s="1" t="s">
        <v>74</v>
      </c>
      <c r="AY454" s="1" t="s">
        <v>74</v>
      </c>
      <c r="AZ454" s="1" t="s">
        <v>74</v>
      </c>
      <c r="BA454" s="1" t="s">
        <v>74</v>
      </c>
      <c r="BB454" s="1" t="s">
        <v>74</v>
      </c>
      <c r="BC454" s="1" t="s">
        <v>74</v>
      </c>
      <c r="BD454" s="1">
        <v>2553.0</v>
      </c>
      <c r="BE454" s="1" t="s">
        <v>4720</v>
      </c>
      <c r="BF454" s="2" t="str">
        <f>HYPERLINK("http://dx.doi.org/10.3390/ijms23052553","http://dx.doi.org/10.3390/ijms23052553")</f>
        <v>http://dx.doi.org/10.3390/ijms23052553</v>
      </c>
      <c r="BG454" s="1" t="s">
        <v>74</v>
      </c>
      <c r="BH454" s="1" t="s">
        <v>74</v>
      </c>
      <c r="BI454" s="1" t="s">
        <v>74</v>
      </c>
      <c r="BJ454" s="1" t="s">
        <v>74</v>
      </c>
      <c r="BK454" s="1" t="s">
        <v>74</v>
      </c>
      <c r="BL454" s="1" t="s">
        <v>74</v>
      </c>
      <c r="BM454" s="1" t="s">
        <v>74</v>
      </c>
      <c r="BN454" s="1">
        <v>3.5269699E7</v>
      </c>
      <c r="BO454" s="1" t="s">
        <v>74</v>
      </c>
      <c r="BP454" s="1" t="s">
        <v>74</v>
      </c>
      <c r="BQ454" s="1" t="s">
        <v>74</v>
      </c>
      <c r="BR454" s="1" t="s">
        <v>74</v>
      </c>
      <c r="BS454" s="1" t="s">
        <v>4721</v>
      </c>
      <c r="BT454" s="1" t="str">
        <f>HYPERLINK("https%3A%2F%2Fwww.webofscience.com%2Fwos%2Fwoscc%2Ffull-record%2FWOS:000768060500001","View Full Record in Web of Science")</f>
        <v>View Full Record in Web of Science</v>
      </c>
    </row>
    <row r="455" ht="12.75" customHeight="1">
      <c r="A455" s="1" t="s">
        <v>72</v>
      </c>
      <c r="B455" s="1" t="s">
        <v>4722</v>
      </c>
      <c r="C455" s="1" t="s">
        <v>74</v>
      </c>
      <c r="D455" s="1" t="s">
        <v>74</v>
      </c>
      <c r="E455" s="1" t="s">
        <v>74</v>
      </c>
      <c r="F455" s="1" t="s">
        <v>4723</v>
      </c>
      <c r="G455" s="1" t="s">
        <v>74</v>
      </c>
      <c r="H455" s="1" t="s">
        <v>74</v>
      </c>
      <c r="I455" s="1" t="s">
        <v>4724</v>
      </c>
      <c r="J455" s="1" t="s">
        <v>518</v>
      </c>
      <c r="K455" s="1" t="s">
        <v>74</v>
      </c>
      <c r="L455" s="1" t="s">
        <v>74</v>
      </c>
      <c r="M455" s="1" t="s">
        <v>74</v>
      </c>
      <c r="N455" s="1" t="s">
        <v>74</v>
      </c>
      <c r="O455" s="1" t="s">
        <v>74</v>
      </c>
      <c r="P455" s="1" t="s">
        <v>74</v>
      </c>
      <c r="Q455" s="1" t="s">
        <v>74</v>
      </c>
      <c r="R455" s="1" t="s">
        <v>74</v>
      </c>
      <c r="S455" s="1" t="s">
        <v>74</v>
      </c>
      <c r="T455" s="1" t="s">
        <v>74</v>
      </c>
      <c r="U455" s="1" t="s">
        <v>74</v>
      </c>
      <c r="V455" s="1" t="s">
        <v>4725</v>
      </c>
      <c r="W455" s="1" t="s">
        <v>74</v>
      </c>
      <c r="X455" s="1" t="s">
        <v>74</v>
      </c>
      <c r="Y455" s="1" t="s">
        <v>74</v>
      </c>
      <c r="Z455" s="1" t="s">
        <v>74</v>
      </c>
      <c r="AA455" s="1" t="s">
        <v>4726</v>
      </c>
      <c r="AB455" s="1" t="s">
        <v>4727</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74</v>
      </c>
      <c r="AP455" s="1" t="s">
        <v>521</v>
      </c>
      <c r="AQ455" s="1" t="s">
        <v>74</v>
      </c>
      <c r="AR455" s="1" t="s">
        <v>74</v>
      </c>
      <c r="AS455" s="1" t="s">
        <v>74</v>
      </c>
      <c r="AT455" s="1" t="s">
        <v>282</v>
      </c>
      <c r="AU455" s="1">
        <v>2020.0</v>
      </c>
      <c r="AV455" s="1">
        <v>10.0</v>
      </c>
      <c r="AW455" s="1">
        <v>8.0</v>
      </c>
      <c r="AX455" s="1" t="s">
        <v>74</v>
      </c>
      <c r="AY455" s="1" t="s">
        <v>74</v>
      </c>
      <c r="AZ455" s="1" t="s">
        <v>74</v>
      </c>
      <c r="BA455" s="1" t="s">
        <v>74</v>
      </c>
      <c r="BB455" s="1" t="s">
        <v>74</v>
      </c>
      <c r="BC455" s="1" t="s">
        <v>74</v>
      </c>
      <c r="BD455" s="1">
        <v>192.0</v>
      </c>
      <c r="BE455" s="1" t="s">
        <v>4728</v>
      </c>
      <c r="BF455" s="2" t="str">
        <f>HYPERLINK("http://dx.doi.org/10.3390/educsci10080192","http://dx.doi.org/10.3390/educsci10080192")</f>
        <v>http://dx.doi.org/10.3390/educsci10080192</v>
      </c>
      <c r="BG455" s="1" t="s">
        <v>74</v>
      </c>
      <c r="BH455" s="1" t="s">
        <v>74</v>
      </c>
      <c r="BI455" s="1" t="s">
        <v>74</v>
      </c>
      <c r="BJ455" s="1" t="s">
        <v>74</v>
      </c>
      <c r="BK455" s="1" t="s">
        <v>74</v>
      </c>
      <c r="BL455" s="1" t="s">
        <v>74</v>
      </c>
      <c r="BM455" s="1" t="s">
        <v>74</v>
      </c>
      <c r="BN455" s="1" t="s">
        <v>74</v>
      </c>
      <c r="BO455" s="1" t="s">
        <v>74</v>
      </c>
      <c r="BP455" s="1" t="s">
        <v>74</v>
      </c>
      <c r="BQ455" s="1" t="s">
        <v>74</v>
      </c>
      <c r="BR455" s="1" t="s">
        <v>74</v>
      </c>
      <c r="BS455" s="1" t="s">
        <v>4729</v>
      </c>
      <c r="BT455" s="1" t="str">
        <f>HYPERLINK("https%3A%2F%2Fwww.webofscience.com%2Fwos%2Fwoscc%2Ffull-record%2FWOS:000564059500001","View Full Record in Web of Science")</f>
        <v>View Full Record in Web of Science</v>
      </c>
    </row>
    <row r="456" ht="12.75" customHeight="1">
      <c r="A456" s="1" t="s">
        <v>72</v>
      </c>
      <c r="B456" s="1" t="s">
        <v>4730</v>
      </c>
      <c r="C456" s="1" t="s">
        <v>74</v>
      </c>
      <c r="D456" s="1" t="s">
        <v>74</v>
      </c>
      <c r="E456" s="1" t="s">
        <v>74</v>
      </c>
      <c r="F456" s="1" t="s">
        <v>4731</v>
      </c>
      <c r="G456" s="1" t="s">
        <v>74</v>
      </c>
      <c r="H456" s="1" t="s">
        <v>74</v>
      </c>
      <c r="I456" s="1" t="s">
        <v>4732</v>
      </c>
      <c r="J456" s="1" t="s">
        <v>4733</v>
      </c>
      <c r="K456" s="1" t="s">
        <v>74</v>
      </c>
      <c r="L456" s="1" t="s">
        <v>74</v>
      </c>
      <c r="M456" s="1" t="s">
        <v>74</v>
      </c>
      <c r="N456" s="1" t="s">
        <v>74</v>
      </c>
      <c r="O456" s="1" t="s">
        <v>74</v>
      </c>
      <c r="P456" s="1" t="s">
        <v>74</v>
      </c>
      <c r="Q456" s="1" t="s">
        <v>74</v>
      </c>
      <c r="R456" s="1" t="s">
        <v>74</v>
      </c>
      <c r="S456" s="1" t="s">
        <v>74</v>
      </c>
      <c r="T456" s="1" t="s">
        <v>74</v>
      </c>
      <c r="U456" s="1" t="s">
        <v>74</v>
      </c>
      <c r="V456" s="1" t="s">
        <v>4734</v>
      </c>
      <c r="W456" s="1" t="s">
        <v>74</v>
      </c>
      <c r="X456" s="1" t="s">
        <v>74</v>
      </c>
      <c r="Y456" s="1" t="s">
        <v>74</v>
      </c>
      <c r="Z456" s="1" t="s">
        <v>74</v>
      </c>
      <c r="AA456" s="1" t="s">
        <v>4735</v>
      </c>
      <c r="AB456" s="1" t="s">
        <v>4736</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4737</v>
      </c>
      <c r="AP456" s="1" t="s">
        <v>74</v>
      </c>
      <c r="AQ456" s="1" t="s">
        <v>74</v>
      </c>
      <c r="AR456" s="1" t="s">
        <v>74</v>
      </c>
      <c r="AS456" s="1" t="s">
        <v>74</v>
      </c>
      <c r="AT456" s="1" t="s">
        <v>282</v>
      </c>
      <c r="AU456" s="1">
        <v>2020.0</v>
      </c>
      <c r="AV456" s="1">
        <v>31.0</v>
      </c>
      <c r="AW456" s="1" t="s">
        <v>74</v>
      </c>
      <c r="AX456" s="1" t="s">
        <v>74</v>
      </c>
      <c r="AY456" s="1" t="s">
        <v>74</v>
      </c>
      <c r="AZ456" s="1" t="s">
        <v>74</v>
      </c>
      <c r="BA456" s="1" t="s">
        <v>74</v>
      </c>
      <c r="BB456" s="1" t="s">
        <v>74</v>
      </c>
      <c r="BC456" s="1" t="s">
        <v>74</v>
      </c>
      <c r="BD456" s="1">
        <v>105739.0</v>
      </c>
      <c r="BE456" s="1" t="s">
        <v>4738</v>
      </c>
      <c r="BF456" s="2" t="str">
        <f>HYPERLINK("http://dx.doi.org/10.1016/j.dib.2020.105739","http://dx.doi.org/10.1016/j.dib.2020.105739")</f>
        <v>http://dx.doi.org/10.1016/j.dib.2020.105739</v>
      </c>
      <c r="BG456" s="1" t="s">
        <v>74</v>
      </c>
      <c r="BH456" s="1" t="s">
        <v>74</v>
      </c>
      <c r="BI456" s="1" t="s">
        <v>74</v>
      </c>
      <c r="BJ456" s="1" t="s">
        <v>74</v>
      </c>
      <c r="BK456" s="1" t="s">
        <v>74</v>
      </c>
      <c r="BL456" s="1" t="s">
        <v>74</v>
      </c>
      <c r="BM456" s="1" t="s">
        <v>74</v>
      </c>
      <c r="BN456" s="1">
        <v>3.2490092E7</v>
      </c>
      <c r="BO456" s="1" t="s">
        <v>74</v>
      </c>
      <c r="BP456" s="1" t="s">
        <v>74</v>
      </c>
      <c r="BQ456" s="1" t="s">
        <v>74</v>
      </c>
      <c r="BR456" s="1" t="s">
        <v>74</v>
      </c>
      <c r="BS456" s="1" t="s">
        <v>4739</v>
      </c>
      <c r="BT456" s="1" t="str">
        <f>HYPERLINK("https%3A%2F%2Fwww.webofscience.com%2Fwos%2Fwoscc%2Ffull-record%2FWOS:000569217800005","View Full Record in Web of Science")</f>
        <v>View Full Record in Web of Science</v>
      </c>
    </row>
    <row r="457" ht="12.75" customHeight="1">
      <c r="A457" s="1" t="s">
        <v>72</v>
      </c>
      <c r="B457" s="1" t="s">
        <v>4740</v>
      </c>
      <c r="C457" s="1" t="s">
        <v>74</v>
      </c>
      <c r="D457" s="1" t="s">
        <v>74</v>
      </c>
      <c r="E457" s="1" t="s">
        <v>74</v>
      </c>
      <c r="F457" s="1" t="s">
        <v>4741</v>
      </c>
      <c r="G457" s="1" t="s">
        <v>74</v>
      </c>
      <c r="H457" s="1" t="s">
        <v>74</v>
      </c>
      <c r="I457" s="1" t="s">
        <v>4742</v>
      </c>
      <c r="J457" s="1" t="s">
        <v>2006</v>
      </c>
      <c r="K457" s="1" t="s">
        <v>74</v>
      </c>
      <c r="L457" s="1" t="s">
        <v>74</v>
      </c>
      <c r="M457" s="1" t="s">
        <v>74</v>
      </c>
      <c r="N457" s="1" t="s">
        <v>74</v>
      </c>
      <c r="O457" s="1" t="s">
        <v>74</v>
      </c>
      <c r="P457" s="1" t="s">
        <v>74</v>
      </c>
      <c r="Q457" s="1" t="s">
        <v>74</v>
      </c>
      <c r="R457" s="1" t="s">
        <v>74</v>
      </c>
      <c r="S457" s="1" t="s">
        <v>74</v>
      </c>
      <c r="T457" s="1" t="s">
        <v>74</v>
      </c>
      <c r="U457" s="1" t="s">
        <v>74</v>
      </c>
      <c r="V457" s="1" t="s">
        <v>4743</v>
      </c>
      <c r="W457" s="1" t="s">
        <v>74</v>
      </c>
      <c r="X457" s="1" t="s">
        <v>74</v>
      </c>
      <c r="Y457" s="1" t="s">
        <v>74</v>
      </c>
      <c r="Z457" s="1" t="s">
        <v>74</v>
      </c>
      <c r="AA457" s="1" t="s">
        <v>4744</v>
      </c>
      <c r="AB457" s="1" t="s">
        <v>4745</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2010</v>
      </c>
      <c r="AP457" s="1" t="s">
        <v>74</v>
      </c>
      <c r="AQ457" s="1" t="s">
        <v>74</v>
      </c>
      <c r="AR457" s="1" t="s">
        <v>74</v>
      </c>
      <c r="AS457" s="1" t="s">
        <v>74</v>
      </c>
      <c r="AT457" s="1" t="s">
        <v>177</v>
      </c>
      <c r="AU457" s="1">
        <v>2020.0</v>
      </c>
      <c r="AV457" s="1">
        <v>19.0</v>
      </c>
      <c r="AW457" s="1">
        <v>4.0</v>
      </c>
      <c r="AX457" s="1" t="s">
        <v>74</v>
      </c>
      <c r="AY457" s="1" t="s">
        <v>74</v>
      </c>
      <c r="AZ457" s="1" t="s">
        <v>74</v>
      </c>
      <c r="BA457" s="1" t="s">
        <v>74</v>
      </c>
      <c r="BB457" s="1">
        <v>420.0</v>
      </c>
      <c r="BC457" s="1">
        <v>427.0</v>
      </c>
      <c r="BD457" s="1" t="s">
        <v>74</v>
      </c>
      <c r="BE457" s="1" t="s">
        <v>4746</v>
      </c>
      <c r="BF457" s="2" t="str">
        <f>HYPERLINK("http://dx.doi.org/10.37360/blacpma.20.19.4.29","http://dx.doi.org/10.37360/blacpma.20.19.4.29")</f>
        <v>http://dx.doi.org/10.37360/blacpma.20.19.4.29</v>
      </c>
      <c r="BG457" s="1" t="s">
        <v>74</v>
      </c>
      <c r="BH457" s="1" t="s">
        <v>74</v>
      </c>
      <c r="BI457" s="1" t="s">
        <v>74</v>
      </c>
      <c r="BJ457" s="1" t="s">
        <v>74</v>
      </c>
      <c r="BK457" s="1" t="s">
        <v>74</v>
      </c>
      <c r="BL457" s="1" t="s">
        <v>74</v>
      </c>
      <c r="BM457" s="1" t="s">
        <v>74</v>
      </c>
      <c r="BN457" s="1" t="s">
        <v>74</v>
      </c>
      <c r="BO457" s="1" t="s">
        <v>74</v>
      </c>
      <c r="BP457" s="1" t="s">
        <v>74</v>
      </c>
      <c r="BQ457" s="1" t="s">
        <v>74</v>
      </c>
      <c r="BR457" s="1" t="s">
        <v>74</v>
      </c>
      <c r="BS457" s="1" t="s">
        <v>4747</v>
      </c>
      <c r="BT457" s="1" t="str">
        <f>HYPERLINK("https%3A%2F%2Fwww.webofscience.com%2Fwos%2Fwoscc%2Ffull-record%2FWOS:000592117200008","View Full Record in Web of Science")</f>
        <v>View Full Record in Web of Science</v>
      </c>
    </row>
    <row r="458" ht="12.75" customHeight="1">
      <c r="A458" s="1" t="s">
        <v>72</v>
      </c>
      <c r="B458" s="1" t="s">
        <v>4748</v>
      </c>
      <c r="C458" s="1" t="s">
        <v>74</v>
      </c>
      <c r="D458" s="1" t="s">
        <v>74</v>
      </c>
      <c r="E458" s="1" t="s">
        <v>74</v>
      </c>
      <c r="F458" s="1" t="s">
        <v>4749</v>
      </c>
      <c r="G458" s="1" t="s">
        <v>74</v>
      </c>
      <c r="H458" s="1" t="s">
        <v>74</v>
      </c>
      <c r="I458" s="1" t="s">
        <v>4750</v>
      </c>
      <c r="J458" s="1" t="s">
        <v>4751</v>
      </c>
      <c r="K458" s="1" t="s">
        <v>74</v>
      </c>
      <c r="L458" s="1" t="s">
        <v>74</v>
      </c>
      <c r="M458" s="1" t="s">
        <v>74</v>
      </c>
      <c r="N458" s="1" t="s">
        <v>74</v>
      </c>
      <c r="O458" s="1" t="s">
        <v>74</v>
      </c>
      <c r="P458" s="1" t="s">
        <v>74</v>
      </c>
      <c r="Q458" s="1" t="s">
        <v>74</v>
      </c>
      <c r="R458" s="1" t="s">
        <v>74</v>
      </c>
      <c r="S458" s="1" t="s">
        <v>74</v>
      </c>
      <c r="T458" s="1" t="s">
        <v>74</v>
      </c>
      <c r="U458" s="1" t="s">
        <v>74</v>
      </c>
      <c r="V458" s="1" t="s">
        <v>4752</v>
      </c>
      <c r="W458" s="1" t="s">
        <v>74</v>
      </c>
      <c r="X458" s="1" t="s">
        <v>74</v>
      </c>
      <c r="Y458" s="1" t="s">
        <v>74</v>
      </c>
      <c r="Z458" s="1" t="s">
        <v>74</v>
      </c>
      <c r="AA458" s="1" t="s">
        <v>4753</v>
      </c>
      <c r="AB458" s="1" t="s">
        <v>4754</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4755</v>
      </c>
      <c r="AP458" s="1" t="s">
        <v>4756</v>
      </c>
      <c r="AQ458" s="1" t="s">
        <v>74</v>
      </c>
      <c r="AR458" s="1" t="s">
        <v>74</v>
      </c>
      <c r="AS458" s="1" t="s">
        <v>74</v>
      </c>
      <c r="AT458" s="1" t="s">
        <v>408</v>
      </c>
      <c r="AU458" s="1">
        <v>2020.0</v>
      </c>
      <c r="AV458" s="1">
        <v>95.0</v>
      </c>
      <c r="AW458" s="1">
        <v>3.0</v>
      </c>
      <c r="AX458" s="1" t="s">
        <v>74</v>
      </c>
      <c r="AY458" s="1" t="s">
        <v>74</v>
      </c>
      <c r="AZ458" s="1" t="s">
        <v>74</v>
      </c>
      <c r="BA458" s="1" t="s">
        <v>74</v>
      </c>
      <c r="BB458" s="1">
        <v>631.0</v>
      </c>
      <c r="BC458" s="1">
        <v>638.0</v>
      </c>
      <c r="BD458" s="1" t="s">
        <v>74</v>
      </c>
      <c r="BE458" s="1" t="s">
        <v>4757</v>
      </c>
      <c r="BF458" s="2" t="str">
        <f>HYPERLINK("http://dx.doi.org/10.1002/jctb.6244","http://dx.doi.org/10.1002/jctb.6244")</f>
        <v>http://dx.doi.org/10.1002/jctb.6244</v>
      </c>
      <c r="BG458" s="1" t="s">
        <v>74</v>
      </c>
      <c r="BH458" s="1" t="s">
        <v>4758</v>
      </c>
      <c r="BI458" s="1" t="s">
        <v>74</v>
      </c>
      <c r="BJ458" s="1" t="s">
        <v>74</v>
      </c>
      <c r="BK458" s="1" t="s">
        <v>74</v>
      </c>
      <c r="BL458" s="1" t="s">
        <v>74</v>
      </c>
      <c r="BM458" s="1" t="s">
        <v>74</v>
      </c>
      <c r="BN458" s="1" t="s">
        <v>74</v>
      </c>
      <c r="BO458" s="1" t="s">
        <v>74</v>
      </c>
      <c r="BP458" s="1" t="s">
        <v>74</v>
      </c>
      <c r="BQ458" s="1" t="s">
        <v>74</v>
      </c>
      <c r="BR458" s="1" t="s">
        <v>74</v>
      </c>
      <c r="BS458" s="1" t="s">
        <v>4759</v>
      </c>
      <c r="BT458" s="1" t="str">
        <f>HYPERLINK("https%3A%2F%2Fwww.webofscience.com%2Fwos%2Fwoscc%2Ffull-record%2FWOS:000499643600001","View Full Record in Web of Science")</f>
        <v>View Full Record in Web of Science</v>
      </c>
    </row>
    <row r="459" ht="12.75" customHeight="1">
      <c r="A459" s="1" t="s">
        <v>72</v>
      </c>
      <c r="B459" s="1" t="s">
        <v>4760</v>
      </c>
      <c r="C459" s="1" t="s">
        <v>74</v>
      </c>
      <c r="D459" s="1" t="s">
        <v>74</v>
      </c>
      <c r="E459" s="1" t="s">
        <v>74</v>
      </c>
      <c r="F459" s="1" t="s">
        <v>4761</v>
      </c>
      <c r="G459" s="1" t="s">
        <v>74</v>
      </c>
      <c r="H459" s="1" t="s">
        <v>74</v>
      </c>
      <c r="I459" s="1" t="s">
        <v>4762</v>
      </c>
      <c r="J459" s="1" t="s">
        <v>89</v>
      </c>
      <c r="K459" s="1" t="s">
        <v>74</v>
      </c>
      <c r="L459" s="1" t="s">
        <v>74</v>
      </c>
      <c r="M459" s="1" t="s">
        <v>74</v>
      </c>
      <c r="N459" s="1" t="s">
        <v>74</v>
      </c>
      <c r="O459" s="1" t="s">
        <v>4763</v>
      </c>
      <c r="P459" s="1" t="s">
        <v>4764</v>
      </c>
      <c r="Q459" s="1" t="s">
        <v>4765</v>
      </c>
      <c r="R459" s="1" t="s">
        <v>74</v>
      </c>
      <c r="S459" s="1" t="s">
        <v>74</v>
      </c>
      <c r="T459" s="1" t="s">
        <v>74</v>
      </c>
      <c r="U459" s="1" t="s">
        <v>74</v>
      </c>
      <c r="V459" s="1" t="s">
        <v>4766</v>
      </c>
      <c r="W459" s="1" t="s">
        <v>74</v>
      </c>
      <c r="X459" s="1" t="s">
        <v>74</v>
      </c>
      <c r="Y459" s="1" t="s">
        <v>74</v>
      </c>
      <c r="Z459" s="1" t="s">
        <v>74</v>
      </c>
      <c r="AA459" s="1" t="s">
        <v>4767</v>
      </c>
      <c r="AB459" s="1" t="s">
        <v>555</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93</v>
      </c>
      <c r="AP459" s="1" t="s">
        <v>74</v>
      </c>
      <c r="AQ459" s="1" t="s">
        <v>74</v>
      </c>
      <c r="AR459" s="1" t="s">
        <v>74</v>
      </c>
      <c r="AS459" s="1" t="s">
        <v>74</v>
      </c>
      <c r="AT459" s="1" t="s">
        <v>282</v>
      </c>
      <c r="AU459" s="1">
        <v>2019.0</v>
      </c>
      <c r="AV459" s="1">
        <v>30.0</v>
      </c>
      <c r="AW459" s="1" t="s">
        <v>74</v>
      </c>
      <c r="AX459" s="1" t="s">
        <v>74</v>
      </c>
      <c r="AY459" s="1" t="s">
        <v>74</v>
      </c>
      <c r="AZ459" s="1" t="s">
        <v>569</v>
      </c>
      <c r="BA459" s="1" t="s">
        <v>74</v>
      </c>
      <c r="BB459" s="1" t="s">
        <v>74</v>
      </c>
      <c r="BC459" s="1" t="s">
        <v>74</v>
      </c>
      <c r="BD459" s="1">
        <v>100619.0</v>
      </c>
      <c r="BE459" s="1" t="s">
        <v>4768</v>
      </c>
      <c r="BF459" s="2" t="str">
        <f>HYPERLINK("http://dx.doi.org/10.1016/j.jwpe.2018.04.016","http://dx.doi.org/10.1016/j.jwpe.2018.04.016")</f>
        <v>http://dx.doi.org/10.1016/j.jwpe.2018.04.016</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4769</v>
      </c>
      <c r="BT459" s="1" t="str">
        <f>HYPERLINK("https%3A%2F%2Fwww.webofscience.com%2Fwos%2Fwoscc%2Ffull-record%2FWOS:000471238900030","View Full Record in Web of Science")</f>
        <v>View Full Record in Web of Science</v>
      </c>
    </row>
    <row r="460" ht="12.75" customHeight="1">
      <c r="A460" s="1" t="s">
        <v>72</v>
      </c>
      <c r="B460" s="1" t="s">
        <v>4770</v>
      </c>
      <c r="C460" s="1" t="s">
        <v>74</v>
      </c>
      <c r="D460" s="1" t="s">
        <v>74</v>
      </c>
      <c r="E460" s="1" t="s">
        <v>74</v>
      </c>
      <c r="F460" s="1" t="s">
        <v>4771</v>
      </c>
      <c r="G460" s="1" t="s">
        <v>74</v>
      </c>
      <c r="H460" s="1" t="s">
        <v>74</v>
      </c>
      <c r="I460" s="1" t="s">
        <v>4772</v>
      </c>
      <c r="J460" s="1" t="s">
        <v>1595</v>
      </c>
      <c r="K460" s="1" t="s">
        <v>74</v>
      </c>
      <c r="L460" s="1" t="s">
        <v>74</v>
      </c>
      <c r="M460" s="1" t="s">
        <v>74</v>
      </c>
      <c r="N460" s="1" t="s">
        <v>74</v>
      </c>
      <c r="O460" s="1" t="s">
        <v>74</v>
      </c>
      <c r="P460" s="1" t="s">
        <v>74</v>
      </c>
      <c r="Q460" s="1" t="s">
        <v>74</v>
      </c>
      <c r="R460" s="1" t="s">
        <v>74</v>
      </c>
      <c r="S460" s="1" t="s">
        <v>74</v>
      </c>
      <c r="T460" s="1" t="s">
        <v>74</v>
      </c>
      <c r="U460" s="1" t="s">
        <v>74</v>
      </c>
      <c r="V460" s="1" t="s">
        <v>4773</v>
      </c>
      <c r="W460" s="1" t="s">
        <v>74</v>
      </c>
      <c r="X460" s="1" t="s">
        <v>74</v>
      </c>
      <c r="Y460" s="1" t="s">
        <v>74</v>
      </c>
      <c r="Z460" s="1" t="s">
        <v>74</v>
      </c>
      <c r="AA460" s="1" t="s">
        <v>4774</v>
      </c>
      <c r="AB460" s="1" t="s">
        <v>4775</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1599</v>
      </c>
      <c r="AP460" s="1" t="s">
        <v>4776</v>
      </c>
      <c r="AQ460" s="1" t="s">
        <v>74</v>
      </c>
      <c r="AR460" s="1" t="s">
        <v>74</v>
      </c>
      <c r="AS460" s="1" t="s">
        <v>74</v>
      </c>
      <c r="AT460" s="1" t="s">
        <v>74</v>
      </c>
      <c r="AU460" s="1">
        <v>2017.0</v>
      </c>
      <c r="AV460" s="1">
        <v>164.0</v>
      </c>
      <c r="AW460" s="1">
        <v>6.0</v>
      </c>
      <c r="AX460" s="1" t="s">
        <v>74</v>
      </c>
      <c r="AY460" s="1" t="s">
        <v>74</v>
      </c>
      <c r="AZ460" s="1" t="s">
        <v>74</v>
      </c>
      <c r="BA460" s="1" t="s">
        <v>74</v>
      </c>
      <c r="BB460" s="1" t="s">
        <v>4777</v>
      </c>
      <c r="BC460" s="1" t="s">
        <v>4778</v>
      </c>
      <c r="BD460" s="1" t="s">
        <v>74</v>
      </c>
      <c r="BE460" s="1" t="s">
        <v>4779</v>
      </c>
      <c r="BF460" s="2" t="str">
        <f>HYPERLINK("http://dx.doi.org/10.1149/2.0821706jes","http://dx.doi.org/10.1149/2.0821706jes")</f>
        <v>http://dx.doi.org/10.1149/2.0821706jes</v>
      </c>
      <c r="BG460" s="1" t="s">
        <v>74</v>
      </c>
      <c r="BH460" s="1" t="s">
        <v>74</v>
      </c>
      <c r="BI460" s="1" t="s">
        <v>74</v>
      </c>
      <c r="BJ460" s="1" t="s">
        <v>74</v>
      </c>
      <c r="BK460" s="1" t="s">
        <v>74</v>
      </c>
      <c r="BL460" s="1" t="s">
        <v>74</v>
      </c>
      <c r="BM460" s="1" t="s">
        <v>74</v>
      </c>
      <c r="BN460" s="1" t="s">
        <v>74</v>
      </c>
      <c r="BO460" s="1" t="s">
        <v>74</v>
      </c>
      <c r="BP460" s="1" t="s">
        <v>74</v>
      </c>
      <c r="BQ460" s="1" t="s">
        <v>74</v>
      </c>
      <c r="BR460" s="1" t="s">
        <v>74</v>
      </c>
      <c r="BS460" s="1" t="s">
        <v>4780</v>
      </c>
      <c r="BT460" s="1" t="str">
        <f>HYPERLINK("https%3A%2F%2Fwww.webofscience.com%2Fwos%2Fwoscc%2Ffull-record%2FWOS:000401607500124","View Full Record in Web of Science")</f>
        <v>View Full Record in Web of Science</v>
      </c>
    </row>
    <row r="461" ht="12.75" customHeight="1">
      <c r="A461" s="1" t="s">
        <v>72</v>
      </c>
      <c r="B461" s="1" t="s">
        <v>4781</v>
      </c>
      <c r="C461" s="1" t="s">
        <v>74</v>
      </c>
      <c r="D461" s="1" t="s">
        <v>74</v>
      </c>
      <c r="E461" s="1" t="s">
        <v>74</v>
      </c>
      <c r="F461" s="1" t="s">
        <v>4782</v>
      </c>
      <c r="G461" s="1" t="s">
        <v>74</v>
      </c>
      <c r="H461" s="1" t="s">
        <v>74</v>
      </c>
      <c r="I461" s="1" t="s">
        <v>4783</v>
      </c>
      <c r="J461" s="1" t="s">
        <v>4784</v>
      </c>
      <c r="K461" s="1" t="s">
        <v>74</v>
      </c>
      <c r="L461" s="1" t="s">
        <v>74</v>
      </c>
      <c r="M461" s="1" t="s">
        <v>74</v>
      </c>
      <c r="N461" s="1" t="s">
        <v>74</v>
      </c>
      <c r="O461" s="1" t="s">
        <v>74</v>
      </c>
      <c r="P461" s="1" t="s">
        <v>74</v>
      </c>
      <c r="Q461" s="1" t="s">
        <v>74</v>
      </c>
      <c r="R461" s="1" t="s">
        <v>74</v>
      </c>
      <c r="S461" s="1" t="s">
        <v>74</v>
      </c>
      <c r="T461" s="1" t="s">
        <v>74</v>
      </c>
      <c r="U461" s="1" t="s">
        <v>74</v>
      </c>
      <c r="V461" s="1" t="s">
        <v>4785</v>
      </c>
      <c r="W461" s="1" t="s">
        <v>74</v>
      </c>
      <c r="X461" s="1" t="s">
        <v>74</v>
      </c>
      <c r="Y461" s="1" t="s">
        <v>74</v>
      </c>
      <c r="Z461" s="1" t="s">
        <v>74</v>
      </c>
      <c r="AA461" s="1" t="s">
        <v>4786</v>
      </c>
      <c r="AB461" s="1" t="s">
        <v>74</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4787</v>
      </c>
      <c r="AP461" s="1" t="s">
        <v>4788</v>
      </c>
      <c r="AQ461" s="1" t="s">
        <v>74</v>
      </c>
      <c r="AR461" s="1" t="s">
        <v>74</v>
      </c>
      <c r="AS461" s="1" t="s">
        <v>74</v>
      </c>
      <c r="AT461" s="1" t="s">
        <v>74</v>
      </c>
      <c r="AU461" s="1">
        <v>2014.0</v>
      </c>
      <c r="AV461" s="1">
        <v>23.0</v>
      </c>
      <c r="AW461" s="1" t="s">
        <v>4789</v>
      </c>
      <c r="AX461" s="1" t="s">
        <v>74</v>
      </c>
      <c r="AY461" s="1" t="s">
        <v>74</v>
      </c>
      <c r="AZ461" s="1" t="s">
        <v>74</v>
      </c>
      <c r="BA461" s="1" t="s">
        <v>74</v>
      </c>
      <c r="BB461" s="1">
        <v>159.0</v>
      </c>
      <c r="BC461" s="1">
        <v>168.0</v>
      </c>
      <c r="BD461" s="1" t="s">
        <v>74</v>
      </c>
      <c r="BE461" s="1" t="s">
        <v>74</v>
      </c>
      <c r="BF461" s="1" t="s">
        <v>74</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4790</v>
      </c>
      <c r="BT461" s="1" t="str">
        <f>HYPERLINK("https%3A%2F%2Fwww.webofscience.com%2Fwos%2Fwoscc%2Ffull-record%2FWOS:000333570200001","View Full Record in Web of Science")</f>
        <v>View Full Record in Web of Science</v>
      </c>
    </row>
    <row r="462" ht="12.75" customHeight="1">
      <c r="A462" s="1" t="s">
        <v>72</v>
      </c>
      <c r="B462" s="1" t="s">
        <v>4791</v>
      </c>
      <c r="C462" s="1" t="s">
        <v>74</v>
      </c>
      <c r="D462" s="1" t="s">
        <v>74</v>
      </c>
      <c r="E462" s="1" t="s">
        <v>74</v>
      </c>
      <c r="F462" s="1" t="s">
        <v>4792</v>
      </c>
      <c r="G462" s="1" t="s">
        <v>74</v>
      </c>
      <c r="H462" s="1" t="s">
        <v>74</v>
      </c>
      <c r="I462" s="1" t="s">
        <v>4793</v>
      </c>
      <c r="J462" s="1" t="s">
        <v>4794</v>
      </c>
      <c r="K462" s="1" t="s">
        <v>74</v>
      </c>
      <c r="L462" s="1" t="s">
        <v>74</v>
      </c>
      <c r="M462" s="1" t="s">
        <v>74</v>
      </c>
      <c r="N462" s="1" t="s">
        <v>74</v>
      </c>
      <c r="O462" s="1" t="s">
        <v>74</v>
      </c>
      <c r="P462" s="1" t="s">
        <v>74</v>
      </c>
      <c r="Q462" s="1" t="s">
        <v>74</v>
      </c>
      <c r="R462" s="1" t="s">
        <v>74</v>
      </c>
      <c r="S462" s="1" t="s">
        <v>74</v>
      </c>
      <c r="T462" s="1" t="s">
        <v>74</v>
      </c>
      <c r="U462" s="1" t="s">
        <v>74</v>
      </c>
      <c r="V462" s="1" t="s">
        <v>4795</v>
      </c>
      <c r="W462" s="1" t="s">
        <v>74</v>
      </c>
      <c r="X462" s="1" t="s">
        <v>74</v>
      </c>
      <c r="Y462" s="1" t="s">
        <v>74</v>
      </c>
      <c r="Z462" s="1" t="s">
        <v>74</v>
      </c>
      <c r="AA462" s="1" t="s">
        <v>4796</v>
      </c>
      <c r="AB462" s="1" t="s">
        <v>4797</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4798</v>
      </c>
      <c r="AP462" s="1" t="s">
        <v>74</v>
      </c>
      <c r="AQ462" s="1" t="s">
        <v>74</v>
      </c>
      <c r="AR462" s="1" t="s">
        <v>74</v>
      </c>
      <c r="AS462" s="1" t="s">
        <v>74</v>
      </c>
      <c r="AT462" s="1" t="s">
        <v>1903</v>
      </c>
      <c r="AU462" s="1">
        <v>2013.0</v>
      </c>
      <c r="AV462" s="1">
        <v>389.0</v>
      </c>
      <c r="AW462" s="1" t="s">
        <v>74</v>
      </c>
      <c r="AX462" s="1" t="s">
        <v>74</v>
      </c>
      <c r="AY462" s="1" t="s">
        <v>74</v>
      </c>
      <c r="AZ462" s="1" t="s">
        <v>74</v>
      </c>
      <c r="BA462" s="1" t="s">
        <v>74</v>
      </c>
      <c r="BB462" s="1">
        <v>42.0</v>
      </c>
      <c r="BC462" s="1">
        <v>45.0</v>
      </c>
      <c r="BD462" s="1" t="s">
        <v>74</v>
      </c>
      <c r="BE462" s="1" t="s">
        <v>4799</v>
      </c>
      <c r="BF462" s="2" t="str">
        <f>HYPERLINK("http://dx.doi.org/10.1016/j.jcis.2012.08.027","http://dx.doi.org/10.1016/j.jcis.2012.08.027")</f>
        <v>http://dx.doi.org/10.1016/j.jcis.2012.08.027</v>
      </c>
      <c r="BG462" s="1" t="s">
        <v>74</v>
      </c>
      <c r="BH462" s="1" t="s">
        <v>74</v>
      </c>
      <c r="BI462" s="1" t="s">
        <v>74</v>
      </c>
      <c r="BJ462" s="1" t="s">
        <v>74</v>
      </c>
      <c r="BK462" s="1" t="s">
        <v>74</v>
      </c>
      <c r="BL462" s="1" t="s">
        <v>74</v>
      </c>
      <c r="BM462" s="1" t="s">
        <v>74</v>
      </c>
      <c r="BN462" s="1">
        <v>2.3062962E7</v>
      </c>
      <c r="BO462" s="1" t="s">
        <v>74</v>
      </c>
      <c r="BP462" s="1" t="s">
        <v>74</v>
      </c>
      <c r="BQ462" s="1" t="s">
        <v>74</v>
      </c>
      <c r="BR462" s="1" t="s">
        <v>74</v>
      </c>
      <c r="BS462" s="1" t="s">
        <v>4800</v>
      </c>
      <c r="BT462" s="1" t="str">
        <f>HYPERLINK("https%3A%2F%2Fwww.webofscience.com%2Fwos%2Fwoscc%2Ffull-record%2FWOS:000310763900006","View Full Record in Web of Science")</f>
        <v>View Full Record in Web of Science</v>
      </c>
    </row>
    <row r="463" ht="12.75" customHeight="1">
      <c r="A463" s="1" t="s">
        <v>72</v>
      </c>
      <c r="B463" s="1" t="s">
        <v>4801</v>
      </c>
      <c r="C463" s="1" t="s">
        <v>74</v>
      </c>
      <c r="D463" s="1" t="s">
        <v>74</v>
      </c>
      <c r="E463" s="1" t="s">
        <v>74</v>
      </c>
      <c r="F463" s="1" t="s">
        <v>4802</v>
      </c>
      <c r="G463" s="1" t="s">
        <v>74</v>
      </c>
      <c r="H463" s="1" t="s">
        <v>74</v>
      </c>
      <c r="I463" s="1" t="s">
        <v>4803</v>
      </c>
      <c r="J463" s="1" t="s">
        <v>1065</v>
      </c>
      <c r="K463" s="1" t="s">
        <v>74</v>
      </c>
      <c r="L463" s="1" t="s">
        <v>74</v>
      </c>
      <c r="M463" s="1" t="s">
        <v>74</v>
      </c>
      <c r="N463" s="1" t="s">
        <v>74</v>
      </c>
      <c r="O463" s="1" t="s">
        <v>74</v>
      </c>
      <c r="P463" s="1" t="s">
        <v>74</v>
      </c>
      <c r="Q463" s="1" t="s">
        <v>74</v>
      </c>
      <c r="R463" s="1" t="s">
        <v>74</v>
      </c>
      <c r="S463" s="1" t="s">
        <v>74</v>
      </c>
      <c r="T463" s="1" t="s">
        <v>74</v>
      </c>
      <c r="U463" s="1" t="s">
        <v>74</v>
      </c>
      <c r="V463" s="1" t="s">
        <v>4804</v>
      </c>
      <c r="W463" s="1" t="s">
        <v>74</v>
      </c>
      <c r="X463" s="1" t="s">
        <v>74</v>
      </c>
      <c r="Y463" s="1" t="s">
        <v>74</v>
      </c>
      <c r="Z463" s="1" t="s">
        <v>74</v>
      </c>
      <c r="AA463" s="1" t="s">
        <v>4805</v>
      </c>
      <c r="AB463" s="1" t="s">
        <v>4806</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1068</v>
      </c>
      <c r="AP463" s="1" t="s">
        <v>2288</v>
      </c>
      <c r="AQ463" s="1" t="s">
        <v>74</v>
      </c>
      <c r="AR463" s="1" t="s">
        <v>74</v>
      </c>
      <c r="AS463" s="1" t="s">
        <v>74</v>
      </c>
      <c r="AT463" s="1" t="s">
        <v>977</v>
      </c>
      <c r="AU463" s="1">
        <v>2011.0</v>
      </c>
      <c r="AV463" s="1">
        <v>56.0</v>
      </c>
      <c r="AW463" s="1">
        <v>22.0</v>
      </c>
      <c r="AX463" s="1" t="s">
        <v>74</v>
      </c>
      <c r="AY463" s="1" t="s">
        <v>74</v>
      </c>
      <c r="AZ463" s="1" t="s">
        <v>74</v>
      </c>
      <c r="BA463" s="1" t="s">
        <v>74</v>
      </c>
      <c r="BB463" s="1">
        <v>7586.0</v>
      </c>
      <c r="BC463" s="1">
        <v>7595.0</v>
      </c>
      <c r="BD463" s="1" t="s">
        <v>74</v>
      </c>
      <c r="BE463" s="1" t="s">
        <v>4807</v>
      </c>
      <c r="BF463" s="2" t="str">
        <f>HYPERLINK("http://dx.doi.org/10.1016/j.electacta.2011.06.082","http://dx.doi.org/10.1016/j.electacta.2011.06.082")</f>
        <v>http://dx.doi.org/10.1016/j.electacta.2011.06.082</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4808</v>
      </c>
      <c r="BT463" s="1" t="str">
        <f>HYPERLINK("https%3A%2F%2Fwww.webofscience.com%2Fwos%2Fwoscc%2Ffull-record%2FWOS:000295303700023","View Full Record in Web of Science")</f>
        <v>View Full Record in Web of Science</v>
      </c>
    </row>
    <row r="464" ht="12.75" customHeight="1">
      <c r="A464" s="1" t="s">
        <v>72</v>
      </c>
      <c r="B464" s="1" t="s">
        <v>4809</v>
      </c>
      <c r="C464" s="1" t="s">
        <v>74</v>
      </c>
      <c r="D464" s="1" t="s">
        <v>74</v>
      </c>
      <c r="E464" s="1" t="s">
        <v>74</v>
      </c>
      <c r="F464" s="1" t="s">
        <v>4810</v>
      </c>
      <c r="G464" s="1" t="s">
        <v>74</v>
      </c>
      <c r="H464" s="1" t="s">
        <v>74</v>
      </c>
      <c r="I464" s="1" t="s">
        <v>4811</v>
      </c>
      <c r="J464" s="1" t="s">
        <v>3323</v>
      </c>
      <c r="K464" s="1" t="s">
        <v>74</v>
      </c>
      <c r="L464" s="1" t="s">
        <v>74</v>
      </c>
      <c r="M464" s="1" t="s">
        <v>74</v>
      </c>
      <c r="N464" s="1" t="s">
        <v>74</v>
      </c>
      <c r="O464" s="1" t="s">
        <v>74</v>
      </c>
      <c r="P464" s="1" t="s">
        <v>74</v>
      </c>
      <c r="Q464" s="1" t="s">
        <v>74</v>
      </c>
      <c r="R464" s="1" t="s">
        <v>74</v>
      </c>
      <c r="S464" s="1" t="s">
        <v>74</v>
      </c>
      <c r="T464" s="1" t="s">
        <v>74</v>
      </c>
      <c r="U464" s="1" t="s">
        <v>74</v>
      </c>
      <c r="V464" s="1" t="s">
        <v>4812</v>
      </c>
      <c r="W464" s="1" t="s">
        <v>74</v>
      </c>
      <c r="X464" s="1" t="s">
        <v>74</v>
      </c>
      <c r="Y464" s="1" t="s">
        <v>74</v>
      </c>
      <c r="Z464" s="1" t="s">
        <v>74</v>
      </c>
      <c r="AA464" s="1" t="s">
        <v>4813</v>
      </c>
      <c r="AB464" s="1" t="s">
        <v>4814</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3325</v>
      </c>
      <c r="AP464" s="1" t="s">
        <v>3326</v>
      </c>
      <c r="AQ464" s="1" t="s">
        <v>74</v>
      </c>
      <c r="AR464" s="1" t="s">
        <v>74</v>
      </c>
      <c r="AS464" s="1" t="s">
        <v>74</v>
      </c>
      <c r="AT464" s="1" t="s">
        <v>4815</v>
      </c>
      <c r="AU464" s="1">
        <v>2011.0</v>
      </c>
      <c r="AV464" s="1">
        <v>83.0</v>
      </c>
      <c r="AW464" s="1">
        <v>4.0</v>
      </c>
      <c r="AX464" s="1" t="s">
        <v>74</v>
      </c>
      <c r="AY464" s="1" t="s">
        <v>74</v>
      </c>
      <c r="AZ464" s="1" t="s">
        <v>74</v>
      </c>
      <c r="BA464" s="1" t="s">
        <v>74</v>
      </c>
      <c r="BB464" s="1" t="s">
        <v>74</v>
      </c>
      <c r="BC464" s="1" t="s">
        <v>74</v>
      </c>
      <c r="BD464" s="1">
        <v>47702.0</v>
      </c>
      <c r="BE464" s="1" t="s">
        <v>4816</v>
      </c>
      <c r="BF464" s="2" t="str">
        <f>HYPERLINK("http://dx.doi.org/10.1103/PhysRevD.83.047702","http://dx.doi.org/10.1103/PhysRevD.83.047702")</f>
        <v>http://dx.doi.org/10.1103/PhysRevD.83.047702</v>
      </c>
      <c r="BG464" s="1" t="s">
        <v>74</v>
      </c>
      <c r="BH464" s="1" t="s">
        <v>74</v>
      </c>
      <c r="BI464" s="1" t="s">
        <v>74</v>
      </c>
      <c r="BJ464" s="1" t="s">
        <v>74</v>
      </c>
      <c r="BK464" s="1" t="s">
        <v>74</v>
      </c>
      <c r="BL464" s="1" t="s">
        <v>74</v>
      </c>
      <c r="BM464" s="1" t="s">
        <v>74</v>
      </c>
      <c r="BN464" s="1" t="s">
        <v>74</v>
      </c>
      <c r="BO464" s="1" t="s">
        <v>74</v>
      </c>
      <c r="BP464" s="1" t="s">
        <v>74</v>
      </c>
      <c r="BQ464" s="1" t="s">
        <v>74</v>
      </c>
      <c r="BR464" s="1" t="s">
        <v>74</v>
      </c>
      <c r="BS464" s="1" t="s">
        <v>4817</v>
      </c>
      <c r="BT464" s="1" t="str">
        <f>HYPERLINK("https%3A%2F%2Fwww.webofscience.com%2Fwos%2Fwoscc%2Ffull-record%2FWOS:000287369400006","View Full Record in Web of Science")</f>
        <v>View Full Record in Web of Science</v>
      </c>
    </row>
    <row r="465" ht="12.75" customHeight="1">
      <c r="A465" s="1" t="s">
        <v>72</v>
      </c>
      <c r="B465" s="1" t="s">
        <v>4818</v>
      </c>
      <c r="C465" s="1" t="s">
        <v>74</v>
      </c>
      <c r="D465" s="1" t="s">
        <v>74</v>
      </c>
      <c r="E465" s="1" t="s">
        <v>74</v>
      </c>
      <c r="F465" s="1" t="s">
        <v>4819</v>
      </c>
      <c r="G465" s="1" t="s">
        <v>74</v>
      </c>
      <c r="H465" s="1" t="s">
        <v>74</v>
      </c>
      <c r="I465" s="1" t="s">
        <v>4820</v>
      </c>
      <c r="J465" s="1" t="s">
        <v>3727</v>
      </c>
      <c r="K465" s="1" t="s">
        <v>74</v>
      </c>
      <c r="L465" s="1" t="s">
        <v>74</v>
      </c>
      <c r="M465" s="1" t="s">
        <v>74</v>
      </c>
      <c r="N465" s="1" t="s">
        <v>74</v>
      </c>
      <c r="O465" s="1" t="s">
        <v>74</v>
      </c>
      <c r="P465" s="1" t="s">
        <v>74</v>
      </c>
      <c r="Q465" s="1" t="s">
        <v>74</v>
      </c>
      <c r="R465" s="1" t="s">
        <v>74</v>
      </c>
      <c r="S465" s="1" t="s">
        <v>74</v>
      </c>
      <c r="T465" s="1" t="s">
        <v>74</v>
      </c>
      <c r="U465" s="1" t="s">
        <v>74</v>
      </c>
      <c r="V465" s="1" t="s">
        <v>4821</v>
      </c>
      <c r="W465" s="1" t="s">
        <v>74</v>
      </c>
      <c r="X465" s="1" t="s">
        <v>74</v>
      </c>
      <c r="Y465" s="1" t="s">
        <v>74</v>
      </c>
      <c r="Z465" s="1" t="s">
        <v>74</v>
      </c>
      <c r="AA465" s="1" t="s">
        <v>4822</v>
      </c>
      <c r="AB465" s="1" t="s">
        <v>4823</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3731</v>
      </c>
      <c r="AP465" s="1" t="s">
        <v>3732</v>
      </c>
      <c r="AQ465" s="1" t="s">
        <v>74</v>
      </c>
      <c r="AR465" s="1" t="s">
        <v>74</v>
      </c>
      <c r="AS465" s="1" t="s">
        <v>74</v>
      </c>
      <c r="AT465" s="1" t="s">
        <v>74</v>
      </c>
      <c r="AU465" s="1">
        <v>2011.0</v>
      </c>
      <c r="AV465" s="1">
        <v>46.0</v>
      </c>
      <c r="AW465" s="1">
        <v>6.0</v>
      </c>
      <c r="AX465" s="1" t="s">
        <v>74</v>
      </c>
      <c r="AY465" s="1" t="s">
        <v>74</v>
      </c>
      <c r="AZ465" s="1" t="s">
        <v>74</v>
      </c>
      <c r="BA465" s="1" t="s">
        <v>74</v>
      </c>
      <c r="BB465" s="1">
        <v>596.0</v>
      </c>
      <c r="BC465" s="1">
        <v>600.0</v>
      </c>
      <c r="BD465" s="1" t="s">
        <v>4824</v>
      </c>
      <c r="BE465" s="1" t="s">
        <v>4825</v>
      </c>
      <c r="BF465" s="2" t="str">
        <f>HYPERLINK("http://dx.doi.org/10.1080/10934529.2011.562840","http://dx.doi.org/10.1080/10934529.2011.562840")</f>
        <v>http://dx.doi.org/10.1080/10934529.2011.562840</v>
      </c>
      <c r="BG465" s="1" t="s">
        <v>74</v>
      </c>
      <c r="BH465" s="1" t="s">
        <v>74</v>
      </c>
      <c r="BI465" s="1" t="s">
        <v>74</v>
      </c>
      <c r="BJ465" s="1" t="s">
        <v>74</v>
      </c>
      <c r="BK465" s="1" t="s">
        <v>74</v>
      </c>
      <c r="BL465" s="1" t="s">
        <v>74</v>
      </c>
      <c r="BM465" s="1" t="s">
        <v>74</v>
      </c>
      <c r="BN465" s="1">
        <v>2.1526448E7</v>
      </c>
      <c r="BO465" s="1" t="s">
        <v>74</v>
      </c>
      <c r="BP465" s="1" t="s">
        <v>74</v>
      </c>
      <c r="BQ465" s="1" t="s">
        <v>74</v>
      </c>
      <c r="BR465" s="1" t="s">
        <v>74</v>
      </c>
      <c r="BS465" s="1" t="s">
        <v>4826</v>
      </c>
      <c r="BT465" s="1" t="str">
        <f>HYPERLINK("https%3A%2F%2Fwww.webofscience.com%2Fwos%2Fwoscc%2Ffull-record%2FWOS:000290048600002","View Full Record in Web of Science")</f>
        <v>View Full Record in Web of Science</v>
      </c>
    </row>
    <row r="466" ht="12.75" customHeight="1">
      <c r="A466" s="1" t="s">
        <v>72</v>
      </c>
      <c r="B466" s="1" t="s">
        <v>4827</v>
      </c>
      <c r="C466" s="1" t="s">
        <v>74</v>
      </c>
      <c r="D466" s="1" t="s">
        <v>74</v>
      </c>
      <c r="E466" s="1" t="s">
        <v>74</v>
      </c>
      <c r="F466" s="1" t="s">
        <v>4828</v>
      </c>
      <c r="G466" s="1" t="s">
        <v>74</v>
      </c>
      <c r="H466" s="1" t="s">
        <v>74</v>
      </c>
      <c r="I466" s="1" t="s">
        <v>4829</v>
      </c>
      <c r="J466" s="1" t="s">
        <v>4830</v>
      </c>
      <c r="K466" s="1" t="s">
        <v>74</v>
      </c>
      <c r="L466" s="1" t="s">
        <v>74</v>
      </c>
      <c r="M466" s="1" t="s">
        <v>74</v>
      </c>
      <c r="N466" s="1" t="s">
        <v>74</v>
      </c>
      <c r="O466" s="1" t="s">
        <v>74</v>
      </c>
      <c r="P466" s="1" t="s">
        <v>74</v>
      </c>
      <c r="Q466" s="1" t="s">
        <v>74</v>
      </c>
      <c r="R466" s="1" t="s">
        <v>74</v>
      </c>
      <c r="S466" s="1" t="s">
        <v>74</v>
      </c>
      <c r="T466" s="1" t="s">
        <v>74</v>
      </c>
      <c r="U466" s="1" t="s">
        <v>74</v>
      </c>
      <c r="V466" s="1" t="s">
        <v>4831</v>
      </c>
      <c r="W466" s="1" t="s">
        <v>74</v>
      </c>
      <c r="X466" s="1" t="s">
        <v>74</v>
      </c>
      <c r="Y466" s="1" t="s">
        <v>74</v>
      </c>
      <c r="Z466" s="1" t="s">
        <v>74</v>
      </c>
      <c r="AA466" s="1" t="s">
        <v>74</v>
      </c>
      <c r="AB466" s="1" t="s">
        <v>74</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4832</v>
      </c>
      <c r="AP466" s="1" t="s">
        <v>74</v>
      </c>
      <c r="AQ466" s="1" t="s">
        <v>74</v>
      </c>
      <c r="AR466" s="1" t="s">
        <v>74</v>
      </c>
      <c r="AS466" s="1" t="s">
        <v>74</v>
      </c>
      <c r="AT466" s="1" t="s">
        <v>4833</v>
      </c>
      <c r="AU466" s="1">
        <v>2009.0</v>
      </c>
      <c r="AV466" s="1">
        <v>94.0</v>
      </c>
      <c r="AW466" s="1">
        <v>2.0</v>
      </c>
      <c r="AX466" s="1" t="s">
        <v>74</v>
      </c>
      <c r="AY466" s="1" t="s">
        <v>74</v>
      </c>
      <c r="AZ466" s="1" t="s">
        <v>74</v>
      </c>
      <c r="BA466" s="1" t="s">
        <v>74</v>
      </c>
      <c r="BB466" s="1">
        <v>77.0</v>
      </c>
      <c r="BC466" s="1">
        <v>81.0</v>
      </c>
      <c r="BD466" s="1" t="s">
        <v>74</v>
      </c>
      <c r="BE466" s="1" t="s">
        <v>4834</v>
      </c>
      <c r="BF466" s="2" t="str">
        <f>HYPERLINK("http://dx.doi.org/10.1016/j.jphotobiol.2008.10.007","http://dx.doi.org/10.1016/j.jphotobiol.2008.10.007")</f>
        <v>http://dx.doi.org/10.1016/j.jphotobiol.2008.10.007</v>
      </c>
      <c r="BG466" s="1" t="s">
        <v>74</v>
      </c>
      <c r="BH466" s="1" t="s">
        <v>74</v>
      </c>
      <c r="BI466" s="1" t="s">
        <v>74</v>
      </c>
      <c r="BJ466" s="1" t="s">
        <v>74</v>
      </c>
      <c r="BK466" s="1" t="s">
        <v>74</v>
      </c>
      <c r="BL466" s="1" t="s">
        <v>74</v>
      </c>
      <c r="BM466" s="1" t="s">
        <v>74</v>
      </c>
      <c r="BN466" s="1">
        <v>1.9036598E7</v>
      </c>
      <c r="BO466" s="1" t="s">
        <v>74</v>
      </c>
      <c r="BP466" s="1" t="s">
        <v>74</v>
      </c>
      <c r="BQ466" s="1" t="s">
        <v>74</v>
      </c>
      <c r="BR466" s="1" t="s">
        <v>74</v>
      </c>
      <c r="BS466" s="1" t="s">
        <v>4835</v>
      </c>
      <c r="BT466" s="1" t="str">
        <f>HYPERLINK("https%3A%2F%2Fwww.webofscience.com%2Fwos%2Fwoscc%2Ffull-record%2FWOS:000263426400001","View Full Record in Web of Science")</f>
        <v>View Full Record in Web of Science</v>
      </c>
    </row>
    <row r="467" ht="12.75" customHeight="1">
      <c r="A467" s="1" t="s">
        <v>72</v>
      </c>
      <c r="B467" s="1" t="s">
        <v>4836</v>
      </c>
      <c r="C467" s="1" t="s">
        <v>74</v>
      </c>
      <c r="D467" s="1" t="s">
        <v>74</v>
      </c>
      <c r="E467" s="1" t="s">
        <v>74</v>
      </c>
      <c r="F467" s="1" t="s">
        <v>4837</v>
      </c>
      <c r="G467" s="1" t="s">
        <v>74</v>
      </c>
      <c r="H467" s="1" t="s">
        <v>74</v>
      </c>
      <c r="I467" s="1" t="s">
        <v>4838</v>
      </c>
      <c r="J467" s="1" t="s">
        <v>4839</v>
      </c>
      <c r="K467" s="1" t="s">
        <v>74</v>
      </c>
      <c r="L467" s="1" t="s">
        <v>74</v>
      </c>
      <c r="M467" s="1" t="s">
        <v>74</v>
      </c>
      <c r="N467" s="1" t="s">
        <v>74</v>
      </c>
      <c r="O467" s="1" t="s">
        <v>74</v>
      </c>
      <c r="P467" s="1" t="s">
        <v>74</v>
      </c>
      <c r="Q467" s="1" t="s">
        <v>74</v>
      </c>
      <c r="R467" s="1" t="s">
        <v>74</v>
      </c>
      <c r="S467" s="1" t="s">
        <v>74</v>
      </c>
      <c r="T467" s="1" t="s">
        <v>74</v>
      </c>
      <c r="U467" s="1" t="s">
        <v>74</v>
      </c>
      <c r="V467" s="1" t="s">
        <v>4840</v>
      </c>
      <c r="W467" s="1" t="s">
        <v>74</v>
      </c>
      <c r="X467" s="1" t="s">
        <v>74</v>
      </c>
      <c r="Y467" s="1" t="s">
        <v>74</v>
      </c>
      <c r="Z467" s="1" t="s">
        <v>74</v>
      </c>
      <c r="AA467" s="1" t="s">
        <v>4841</v>
      </c>
      <c r="AB467" s="1" t="s">
        <v>4842</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74</v>
      </c>
      <c r="AP467" s="1" t="s">
        <v>4843</v>
      </c>
      <c r="AQ467" s="1" t="s">
        <v>74</v>
      </c>
      <c r="AR467" s="1" t="s">
        <v>74</v>
      </c>
      <c r="AS467" s="1" t="s">
        <v>74</v>
      </c>
      <c r="AT467" s="1" t="s">
        <v>74</v>
      </c>
      <c r="AU467" s="1">
        <v>2009.0</v>
      </c>
      <c r="AV467" s="1">
        <v>106.0</v>
      </c>
      <c r="AW467" s="1">
        <v>3.0</v>
      </c>
      <c r="AX467" s="1" t="s">
        <v>74</v>
      </c>
      <c r="AY467" s="1" t="s">
        <v>74</v>
      </c>
      <c r="AZ467" s="1" t="s">
        <v>74</v>
      </c>
      <c r="BA467" s="1" t="s">
        <v>74</v>
      </c>
      <c r="BB467" s="1">
        <v>357.0</v>
      </c>
      <c r="BC467" s="1" t="s">
        <v>4844</v>
      </c>
      <c r="BD467" s="1" t="s">
        <v>74</v>
      </c>
      <c r="BE467" s="1" t="s">
        <v>4845</v>
      </c>
      <c r="BF467" s="2" t="str">
        <f>HYPERLINK("http://dx.doi.org/10.14411/eje.2009.044","http://dx.doi.org/10.14411/eje.2009.044")</f>
        <v>http://dx.doi.org/10.14411/eje.2009.044</v>
      </c>
      <c r="BG467" s="1" t="s">
        <v>74</v>
      </c>
      <c r="BH467" s="1" t="s">
        <v>74</v>
      </c>
      <c r="BI467" s="1" t="s">
        <v>74</v>
      </c>
      <c r="BJ467" s="1" t="s">
        <v>74</v>
      </c>
      <c r="BK467" s="1" t="s">
        <v>74</v>
      </c>
      <c r="BL467" s="1" t="s">
        <v>74</v>
      </c>
      <c r="BM467" s="1" t="s">
        <v>74</v>
      </c>
      <c r="BN467" s="1" t="s">
        <v>74</v>
      </c>
      <c r="BO467" s="1" t="s">
        <v>74</v>
      </c>
      <c r="BP467" s="1" t="s">
        <v>74</v>
      </c>
      <c r="BQ467" s="1" t="s">
        <v>74</v>
      </c>
      <c r="BR467" s="1" t="s">
        <v>74</v>
      </c>
      <c r="BS467" s="1" t="s">
        <v>4846</v>
      </c>
      <c r="BT467" s="1" t="str">
        <f>HYPERLINK("https%3A%2F%2Fwww.webofscience.com%2Fwos%2Fwoscc%2Ffull-record%2FWOS:000268225200005","View Full Record in Web of Science")</f>
        <v>View Full Record in Web of Science</v>
      </c>
    </row>
    <row r="468" ht="12.75" customHeight="1">
      <c r="A468" s="1" t="s">
        <v>72</v>
      </c>
      <c r="B468" s="1" t="s">
        <v>4847</v>
      </c>
      <c r="C468" s="1" t="s">
        <v>74</v>
      </c>
      <c r="D468" s="1" t="s">
        <v>74</v>
      </c>
      <c r="E468" s="1" t="s">
        <v>74</v>
      </c>
      <c r="F468" s="1" t="s">
        <v>4848</v>
      </c>
      <c r="G468" s="1" t="s">
        <v>74</v>
      </c>
      <c r="H468" s="1" t="s">
        <v>74</v>
      </c>
      <c r="I468" s="1" t="s">
        <v>4849</v>
      </c>
      <c r="J468" s="1" t="s">
        <v>3350</v>
      </c>
      <c r="K468" s="1" t="s">
        <v>74</v>
      </c>
      <c r="L468" s="1" t="s">
        <v>74</v>
      </c>
      <c r="M468" s="1" t="s">
        <v>74</v>
      </c>
      <c r="N468" s="1" t="s">
        <v>74</v>
      </c>
      <c r="O468" s="1" t="s">
        <v>74</v>
      </c>
      <c r="P468" s="1" t="s">
        <v>74</v>
      </c>
      <c r="Q468" s="1" t="s">
        <v>74</v>
      </c>
      <c r="R468" s="1" t="s">
        <v>74</v>
      </c>
      <c r="S468" s="1" t="s">
        <v>74</v>
      </c>
      <c r="T468" s="1" t="s">
        <v>74</v>
      </c>
      <c r="U468" s="1" t="s">
        <v>74</v>
      </c>
      <c r="V468" s="1" t="s">
        <v>4850</v>
      </c>
      <c r="W468" s="1" t="s">
        <v>74</v>
      </c>
      <c r="X468" s="1" t="s">
        <v>74</v>
      </c>
      <c r="Y468" s="1" t="s">
        <v>74</v>
      </c>
      <c r="Z468" s="1" t="s">
        <v>74</v>
      </c>
      <c r="AA468" s="1" t="s">
        <v>4851</v>
      </c>
      <c r="AB468" s="1" t="s">
        <v>4852</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3354</v>
      </c>
      <c r="AP468" s="1" t="s">
        <v>74</v>
      </c>
      <c r="AQ468" s="1" t="s">
        <v>74</v>
      </c>
      <c r="AR468" s="1" t="s">
        <v>74</v>
      </c>
      <c r="AS468" s="1" t="s">
        <v>74</v>
      </c>
      <c r="AT468" s="1" t="s">
        <v>4853</v>
      </c>
      <c r="AU468" s="1">
        <v>2007.0</v>
      </c>
      <c r="AV468" s="1">
        <v>18.0</v>
      </c>
      <c r="AW468" s="1">
        <v>44.0</v>
      </c>
      <c r="AX468" s="1" t="s">
        <v>74</v>
      </c>
      <c r="AY468" s="1" t="s">
        <v>74</v>
      </c>
      <c r="AZ468" s="1" t="s">
        <v>74</v>
      </c>
      <c r="BA468" s="1" t="s">
        <v>74</v>
      </c>
      <c r="BB468" s="1" t="s">
        <v>74</v>
      </c>
      <c r="BC468" s="1" t="s">
        <v>74</v>
      </c>
      <c r="BD468" s="1">
        <v>445706.0</v>
      </c>
      <c r="BE468" s="1" t="s">
        <v>4854</v>
      </c>
      <c r="BF468" s="2" t="str">
        <f>HYPERLINK("http://dx.doi.org/10.1088/0957-4484/18/44/445706","http://dx.doi.org/10.1088/0957-4484/18/44/445706")</f>
        <v>http://dx.doi.org/10.1088/0957-4484/18/44/445706</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4855</v>
      </c>
      <c r="BT468" s="1" t="str">
        <f>HYPERLINK("https%3A%2F%2Fwww.webofscience.com%2Fwos%2Fwoscc%2Ffull-record%2FWOS:000250138500026","View Full Record in Web of Science")</f>
        <v>View Full Record in Web of Science</v>
      </c>
    </row>
    <row r="469" ht="12.75" customHeight="1">
      <c r="A469" s="1" t="s">
        <v>72</v>
      </c>
      <c r="B469" s="1" t="s">
        <v>4856</v>
      </c>
      <c r="C469" s="1" t="s">
        <v>74</v>
      </c>
      <c r="D469" s="1" t="s">
        <v>74</v>
      </c>
      <c r="E469" s="1" t="s">
        <v>74</v>
      </c>
      <c r="F469" s="1" t="s">
        <v>4857</v>
      </c>
      <c r="G469" s="1" t="s">
        <v>74</v>
      </c>
      <c r="H469" s="1" t="s">
        <v>74</v>
      </c>
      <c r="I469" s="1" t="s">
        <v>4858</v>
      </c>
      <c r="J469" s="1" t="s">
        <v>4859</v>
      </c>
      <c r="K469" s="1" t="s">
        <v>74</v>
      </c>
      <c r="L469" s="1" t="s">
        <v>74</v>
      </c>
      <c r="M469" s="1" t="s">
        <v>74</v>
      </c>
      <c r="N469" s="1" t="s">
        <v>74</v>
      </c>
      <c r="O469" s="1" t="s">
        <v>74</v>
      </c>
      <c r="P469" s="1" t="s">
        <v>74</v>
      </c>
      <c r="Q469" s="1" t="s">
        <v>74</v>
      </c>
      <c r="R469" s="1" t="s">
        <v>74</v>
      </c>
      <c r="S469" s="1" t="s">
        <v>74</v>
      </c>
      <c r="T469" s="1" t="s">
        <v>74</v>
      </c>
      <c r="U469" s="1" t="s">
        <v>74</v>
      </c>
      <c r="V469" s="1" t="s">
        <v>4860</v>
      </c>
      <c r="W469" s="1" t="s">
        <v>74</v>
      </c>
      <c r="X469" s="1" t="s">
        <v>74</v>
      </c>
      <c r="Y469" s="1" t="s">
        <v>74</v>
      </c>
      <c r="Z469" s="1" t="s">
        <v>74</v>
      </c>
      <c r="AA469" s="1" t="s">
        <v>4861</v>
      </c>
      <c r="AB469" s="1" t="s">
        <v>4862</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4863</v>
      </c>
      <c r="AP469" s="1" t="s">
        <v>4864</v>
      </c>
      <c r="AQ469" s="1" t="s">
        <v>74</v>
      </c>
      <c r="AR469" s="1" t="s">
        <v>74</v>
      </c>
      <c r="AS469" s="1" t="s">
        <v>74</v>
      </c>
      <c r="AT469" s="1" t="s">
        <v>3721</v>
      </c>
      <c r="AU469" s="1">
        <v>2007.0</v>
      </c>
      <c r="AV469" s="1">
        <v>382.0</v>
      </c>
      <c r="AW469" s="1">
        <v>2.0</v>
      </c>
      <c r="AX469" s="1" t="s">
        <v>74</v>
      </c>
      <c r="AY469" s="1" t="s">
        <v>74</v>
      </c>
      <c r="AZ469" s="1" t="s">
        <v>74</v>
      </c>
      <c r="BA469" s="1" t="s">
        <v>74</v>
      </c>
      <c r="BB469" s="1">
        <v>631.0</v>
      </c>
      <c r="BC469" s="1">
        <v>642.0</v>
      </c>
      <c r="BD469" s="1" t="s">
        <v>74</v>
      </c>
      <c r="BE469" s="1" t="s">
        <v>4865</v>
      </c>
      <c r="BF469" s="2" t="str">
        <f>HYPERLINK("http://dx.doi.org/10.1016/j.physa.2007.04.006","http://dx.doi.org/10.1016/j.physa.2007.04.006")</f>
        <v>http://dx.doi.org/10.1016/j.physa.2007.04.006</v>
      </c>
      <c r="BG469" s="1" t="s">
        <v>74</v>
      </c>
      <c r="BH469" s="1" t="s">
        <v>74</v>
      </c>
      <c r="BI469" s="1" t="s">
        <v>74</v>
      </c>
      <c r="BJ469" s="1" t="s">
        <v>74</v>
      </c>
      <c r="BK469" s="1" t="s">
        <v>74</v>
      </c>
      <c r="BL469" s="1" t="s">
        <v>74</v>
      </c>
      <c r="BM469" s="1" t="s">
        <v>74</v>
      </c>
      <c r="BN469" s="1" t="s">
        <v>74</v>
      </c>
      <c r="BO469" s="1" t="s">
        <v>74</v>
      </c>
      <c r="BP469" s="1" t="s">
        <v>74</v>
      </c>
      <c r="BQ469" s="1" t="s">
        <v>74</v>
      </c>
      <c r="BR469" s="1" t="s">
        <v>74</v>
      </c>
      <c r="BS469" s="1" t="s">
        <v>4866</v>
      </c>
      <c r="BT469" s="1" t="str">
        <f>HYPERLINK("https%3A%2F%2Fwww.webofscience.com%2Fwos%2Fwoscc%2Ffull-record%2FWOS:000248198800026","View Full Record in Web of Science")</f>
        <v>View Full Record in Web of Science</v>
      </c>
    </row>
    <row r="470" ht="12.75" customHeight="1">
      <c r="A470" s="1" t="s">
        <v>72</v>
      </c>
      <c r="B470" s="1" t="s">
        <v>4867</v>
      </c>
      <c r="C470" s="1" t="s">
        <v>74</v>
      </c>
      <c r="D470" s="1" t="s">
        <v>74</v>
      </c>
      <c r="E470" s="1" t="s">
        <v>74</v>
      </c>
      <c r="F470" s="1" t="s">
        <v>4868</v>
      </c>
      <c r="G470" s="1" t="s">
        <v>74</v>
      </c>
      <c r="H470" s="1" t="s">
        <v>74</v>
      </c>
      <c r="I470" s="1" t="s">
        <v>4869</v>
      </c>
      <c r="J470" s="1" t="s">
        <v>4870</v>
      </c>
      <c r="K470" s="1" t="s">
        <v>74</v>
      </c>
      <c r="L470" s="1" t="s">
        <v>74</v>
      </c>
      <c r="M470" s="1" t="s">
        <v>74</v>
      </c>
      <c r="N470" s="1" t="s">
        <v>74</v>
      </c>
      <c r="O470" s="1" t="s">
        <v>74</v>
      </c>
      <c r="P470" s="1" t="s">
        <v>74</v>
      </c>
      <c r="Q470" s="1" t="s">
        <v>74</v>
      </c>
      <c r="R470" s="1" t="s">
        <v>74</v>
      </c>
      <c r="S470" s="1" t="s">
        <v>74</v>
      </c>
      <c r="T470" s="1" t="s">
        <v>74</v>
      </c>
      <c r="U470" s="1" t="s">
        <v>74</v>
      </c>
      <c r="V470" s="1" t="s">
        <v>4871</v>
      </c>
      <c r="W470" s="1" t="s">
        <v>74</v>
      </c>
      <c r="X470" s="1" t="s">
        <v>74</v>
      </c>
      <c r="Y470" s="1" t="s">
        <v>74</v>
      </c>
      <c r="Z470" s="1" t="s">
        <v>74</v>
      </c>
      <c r="AA470" s="1" t="s">
        <v>4872</v>
      </c>
      <c r="AB470" s="1" t="s">
        <v>4873</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4874</v>
      </c>
      <c r="AP470" s="1" t="s">
        <v>74</v>
      </c>
      <c r="AQ470" s="1" t="s">
        <v>74</v>
      </c>
      <c r="AR470" s="1" t="s">
        <v>74</v>
      </c>
      <c r="AS470" s="1" t="s">
        <v>74</v>
      </c>
      <c r="AT470" s="1" t="s">
        <v>4875</v>
      </c>
      <c r="AU470" s="1">
        <v>2007.0</v>
      </c>
      <c r="AV470" s="1">
        <v>201.0</v>
      </c>
      <c r="AW470" s="1">
        <v>12.0</v>
      </c>
      <c r="AX470" s="1" t="s">
        <v>74</v>
      </c>
      <c r="AY470" s="1" t="s">
        <v>74</v>
      </c>
      <c r="AZ470" s="1" t="s">
        <v>74</v>
      </c>
      <c r="BA470" s="1" t="s">
        <v>74</v>
      </c>
      <c r="BB470" s="1">
        <v>5973.0</v>
      </c>
      <c r="BC470" s="1">
        <v>5978.0</v>
      </c>
      <c r="BD470" s="1" t="s">
        <v>74</v>
      </c>
      <c r="BE470" s="1" t="s">
        <v>4876</v>
      </c>
      <c r="BF470" s="2" t="str">
        <f>HYPERLINK("http://dx.doi.org/10.1016/j.surfcoat.2006.11.005","http://dx.doi.org/10.1016/j.surfcoat.2006.11.005")</f>
        <v>http://dx.doi.org/10.1016/j.surfcoat.2006.11.005</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4877</v>
      </c>
      <c r="BT470" s="1" t="str">
        <f>HYPERLINK("https%3A%2F%2Fwww.webofscience.com%2Fwos%2Fwoscc%2Ffull-record%2FWOS:000244578100034","View Full Record in Web of Science")</f>
        <v>View Full Record in Web of Science</v>
      </c>
    </row>
    <row r="471" ht="12.75" customHeight="1">
      <c r="A471" s="1" t="s">
        <v>72</v>
      </c>
      <c r="B471" s="1" t="s">
        <v>4878</v>
      </c>
      <c r="C471" s="1" t="s">
        <v>74</v>
      </c>
      <c r="D471" s="1" t="s">
        <v>74</v>
      </c>
      <c r="E471" s="1" t="s">
        <v>74</v>
      </c>
      <c r="F471" s="1" t="s">
        <v>4879</v>
      </c>
      <c r="G471" s="1" t="s">
        <v>74</v>
      </c>
      <c r="H471" s="1" t="s">
        <v>74</v>
      </c>
      <c r="I471" s="1" t="s">
        <v>4880</v>
      </c>
      <c r="J471" s="1" t="s">
        <v>4881</v>
      </c>
      <c r="K471" s="1" t="s">
        <v>74</v>
      </c>
      <c r="L471" s="1" t="s">
        <v>74</v>
      </c>
      <c r="M471" s="1" t="s">
        <v>74</v>
      </c>
      <c r="N471" s="1" t="s">
        <v>74</v>
      </c>
      <c r="O471" s="1" t="s">
        <v>74</v>
      </c>
      <c r="P471" s="1" t="s">
        <v>74</v>
      </c>
      <c r="Q471" s="1" t="s">
        <v>74</v>
      </c>
      <c r="R471" s="1" t="s">
        <v>74</v>
      </c>
      <c r="S471" s="1" t="s">
        <v>74</v>
      </c>
      <c r="T471" s="1" t="s">
        <v>74</v>
      </c>
      <c r="U471" s="1" t="s">
        <v>74</v>
      </c>
      <c r="V471" s="1" t="s">
        <v>4882</v>
      </c>
      <c r="W471" s="1" t="s">
        <v>74</v>
      </c>
      <c r="X471" s="1" t="s">
        <v>74</v>
      </c>
      <c r="Y471" s="1" t="s">
        <v>74</v>
      </c>
      <c r="Z471" s="1" t="s">
        <v>74</v>
      </c>
      <c r="AA471" s="1" t="s">
        <v>74</v>
      </c>
      <c r="AB471" s="1" t="s">
        <v>74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4883</v>
      </c>
      <c r="AP471" s="1" t="s">
        <v>74</v>
      </c>
      <c r="AQ471" s="1" t="s">
        <v>74</v>
      </c>
      <c r="AR471" s="1" t="s">
        <v>74</v>
      </c>
      <c r="AS471" s="1" t="s">
        <v>74</v>
      </c>
      <c r="AT471" s="1" t="s">
        <v>745</v>
      </c>
      <c r="AU471" s="1">
        <v>2006.0</v>
      </c>
      <c r="AV471" s="1">
        <v>67.0</v>
      </c>
      <c r="AW471" s="1">
        <v>10.0</v>
      </c>
      <c r="AX471" s="1" t="s">
        <v>74</v>
      </c>
      <c r="AY471" s="1" t="s">
        <v>74</v>
      </c>
      <c r="AZ471" s="1" t="s">
        <v>74</v>
      </c>
      <c r="BA471" s="1" t="s">
        <v>74</v>
      </c>
      <c r="BB471" s="1">
        <v>984.0</v>
      </c>
      <c r="BC471" s="1">
        <v>987.0</v>
      </c>
      <c r="BD471" s="1" t="s">
        <v>74</v>
      </c>
      <c r="BE471" s="1" t="s">
        <v>4884</v>
      </c>
      <c r="BF471" s="2" t="str">
        <f>HYPERLINK("http://dx.doi.org/10.1016/j.phytochem.2006.03.016","http://dx.doi.org/10.1016/j.phytochem.2006.03.016")</f>
        <v>http://dx.doi.org/10.1016/j.phytochem.2006.03.016</v>
      </c>
      <c r="BG471" s="1" t="s">
        <v>74</v>
      </c>
      <c r="BH471" s="1" t="s">
        <v>74</v>
      </c>
      <c r="BI471" s="1" t="s">
        <v>74</v>
      </c>
      <c r="BJ471" s="1" t="s">
        <v>74</v>
      </c>
      <c r="BK471" s="1" t="s">
        <v>74</v>
      </c>
      <c r="BL471" s="1" t="s">
        <v>74</v>
      </c>
      <c r="BM471" s="1" t="s">
        <v>74</v>
      </c>
      <c r="BN471" s="1">
        <v>1.6684545E7</v>
      </c>
      <c r="BO471" s="1" t="s">
        <v>74</v>
      </c>
      <c r="BP471" s="1" t="s">
        <v>74</v>
      </c>
      <c r="BQ471" s="1" t="s">
        <v>74</v>
      </c>
      <c r="BR471" s="1" t="s">
        <v>74</v>
      </c>
      <c r="BS471" s="1" t="s">
        <v>4885</v>
      </c>
      <c r="BT471" s="1" t="str">
        <f>HYPERLINK("https%3A%2F%2Fwww.webofscience.com%2Fwos%2Fwoscc%2Ffull-record%2FWOS:000238456200006","View Full Record in Web of Science")</f>
        <v>View Full Record in Web of Science</v>
      </c>
    </row>
    <row r="472" ht="12.75" customHeight="1">
      <c r="A472" s="1" t="s">
        <v>72</v>
      </c>
      <c r="B472" s="1" t="s">
        <v>4886</v>
      </c>
      <c r="C472" s="1" t="s">
        <v>74</v>
      </c>
      <c r="D472" s="1" t="s">
        <v>74</v>
      </c>
      <c r="E472" s="1" t="s">
        <v>74</v>
      </c>
      <c r="F472" s="1" t="s">
        <v>4886</v>
      </c>
      <c r="G472" s="1" t="s">
        <v>74</v>
      </c>
      <c r="H472" s="1" t="s">
        <v>74</v>
      </c>
      <c r="I472" s="1" t="s">
        <v>4887</v>
      </c>
      <c r="J472" s="1" t="s">
        <v>4363</v>
      </c>
      <c r="K472" s="1" t="s">
        <v>74</v>
      </c>
      <c r="L472" s="1" t="s">
        <v>74</v>
      </c>
      <c r="M472" s="1" t="s">
        <v>74</v>
      </c>
      <c r="N472" s="1" t="s">
        <v>74</v>
      </c>
      <c r="O472" s="1" t="s">
        <v>74</v>
      </c>
      <c r="P472" s="1" t="s">
        <v>74</v>
      </c>
      <c r="Q472" s="1" t="s">
        <v>74</v>
      </c>
      <c r="R472" s="1" t="s">
        <v>74</v>
      </c>
      <c r="S472" s="1" t="s">
        <v>74</v>
      </c>
      <c r="T472" s="1" t="s">
        <v>74</v>
      </c>
      <c r="U472" s="1" t="s">
        <v>74</v>
      </c>
      <c r="V472" s="1" t="s">
        <v>4888</v>
      </c>
      <c r="W472" s="1" t="s">
        <v>74</v>
      </c>
      <c r="X472" s="1" t="s">
        <v>74</v>
      </c>
      <c r="Y472" s="1" t="s">
        <v>74</v>
      </c>
      <c r="Z472" s="1" t="s">
        <v>74</v>
      </c>
      <c r="AA472" s="1" t="s">
        <v>4889</v>
      </c>
      <c r="AB472" s="1" t="s">
        <v>4890</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4367</v>
      </c>
      <c r="AP472" s="1" t="s">
        <v>4368</v>
      </c>
      <c r="AQ472" s="1" t="s">
        <v>74</v>
      </c>
      <c r="AR472" s="1" t="s">
        <v>74</v>
      </c>
      <c r="AS472" s="1" t="s">
        <v>74</v>
      </c>
      <c r="AT472" s="1" t="s">
        <v>74</v>
      </c>
      <c r="AU472" s="1">
        <v>2005.0</v>
      </c>
      <c r="AV472" s="1">
        <v>98.0</v>
      </c>
      <c r="AW472" s="1">
        <v>5.0</v>
      </c>
      <c r="AX472" s="1" t="s">
        <v>74</v>
      </c>
      <c r="AY472" s="1" t="s">
        <v>74</v>
      </c>
      <c r="AZ472" s="1" t="s">
        <v>74</v>
      </c>
      <c r="BA472" s="1" t="s">
        <v>74</v>
      </c>
      <c r="BB472" s="1">
        <v>1055.0</v>
      </c>
      <c r="BC472" s="1">
        <v>1061.0</v>
      </c>
      <c r="BD472" s="1" t="s">
        <v>74</v>
      </c>
      <c r="BE472" s="1" t="s">
        <v>4891</v>
      </c>
      <c r="BF472" s="2" t="str">
        <f>HYPERLINK("http://dx.doi.org/10.1111/j.1365-2672.2005.02540.x","http://dx.doi.org/10.1111/j.1365-2672.2005.02540.x")</f>
        <v>http://dx.doi.org/10.1111/j.1365-2672.2005.02540.x</v>
      </c>
      <c r="BG472" s="1" t="s">
        <v>74</v>
      </c>
      <c r="BH472" s="1" t="s">
        <v>74</v>
      </c>
      <c r="BI472" s="1" t="s">
        <v>74</v>
      </c>
      <c r="BJ472" s="1" t="s">
        <v>74</v>
      </c>
      <c r="BK472" s="1" t="s">
        <v>74</v>
      </c>
      <c r="BL472" s="1" t="s">
        <v>74</v>
      </c>
      <c r="BM472" s="1" t="s">
        <v>74</v>
      </c>
      <c r="BN472" s="1">
        <v>1.5836474E7</v>
      </c>
      <c r="BO472" s="1" t="s">
        <v>74</v>
      </c>
      <c r="BP472" s="1" t="s">
        <v>74</v>
      </c>
      <c r="BQ472" s="1" t="s">
        <v>74</v>
      </c>
      <c r="BR472" s="1" t="s">
        <v>74</v>
      </c>
      <c r="BS472" s="1" t="s">
        <v>4892</v>
      </c>
      <c r="BT472" s="1" t="str">
        <f>HYPERLINK("https%3A%2F%2Fwww.webofscience.com%2Fwos%2Fwoscc%2Ffull-record%2FWOS:000228292100006","View Full Record in Web of Science")</f>
        <v>View Full Record in Web of Science</v>
      </c>
    </row>
    <row r="473" ht="12.75" customHeight="1">
      <c r="A473" s="1" t="s">
        <v>72</v>
      </c>
      <c r="B473" s="1" t="s">
        <v>4893</v>
      </c>
      <c r="C473" s="1" t="s">
        <v>74</v>
      </c>
      <c r="D473" s="1" t="s">
        <v>74</v>
      </c>
      <c r="E473" s="1" t="s">
        <v>74</v>
      </c>
      <c r="F473" s="1" t="s">
        <v>4893</v>
      </c>
      <c r="G473" s="1" t="s">
        <v>74</v>
      </c>
      <c r="H473" s="1" t="s">
        <v>74</v>
      </c>
      <c r="I473" s="1" t="s">
        <v>4894</v>
      </c>
      <c r="J473" s="1" t="s">
        <v>4895</v>
      </c>
      <c r="K473" s="1" t="s">
        <v>74</v>
      </c>
      <c r="L473" s="1" t="s">
        <v>74</v>
      </c>
      <c r="M473" s="1" t="s">
        <v>74</v>
      </c>
      <c r="N473" s="1" t="s">
        <v>74</v>
      </c>
      <c r="O473" s="1" t="s">
        <v>74</v>
      </c>
      <c r="P473" s="1" t="s">
        <v>74</v>
      </c>
      <c r="Q473" s="1" t="s">
        <v>74</v>
      </c>
      <c r="R473" s="1" t="s">
        <v>74</v>
      </c>
      <c r="S473" s="1" t="s">
        <v>74</v>
      </c>
      <c r="T473" s="1" t="s">
        <v>74</v>
      </c>
      <c r="U473" s="1" t="s">
        <v>74</v>
      </c>
      <c r="V473" s="1" t="s">
        <v>4896</v>
      </c>
      <c r="W473" s="1" t="s">
        <v>74</v>
      </c>
      <c r="X473" s="1" t="s">
        <v>74</v>
      </c>
      <c r="Y473" s="1" t="s">
        <v>74</v>
      </c>
      <c r="Z473" s="1" t="s">
        <v>74</v>
      </c>
      <c r="AA473" s="1" t="s">
        <v>4897</v>
      </c>
      <c r="AB473" s="1" t="s">
        <v>74</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4898</v>
      </c>
      <c r="AP473" s="1" t="s">
        <v>74</v>
      </c>
      <c r="AQ473" s="1" t="s">
        <v>74</v>
      </c>
      <c r="AR473" s="1" t="s">
        <v>74</v>
      </c>
      <c r="AS473" s="1" t="s">
        <v>74</v>
      </c>
      <c r="AT473" s="1" t="s">
        <v>374</v>
      </c>
      <c r="AU473" s="1">
        <v>2003.0</v>
      </c>
      <c r="AV473" s="1">
        <v>102.0</v>
      </c>
      <c r="AW473" s="1">
        <v>5.0</v>
      </c>
      <c r="AX473" s="1">
        <v>1.0</v>
      </c>
      <c r="AY473" s="1" t="s">
        <v>74</v>
      </c>
      <c r="AZ473" s="1" t="s">
        <v>74</v>
      </c>
      <c r="BA473" s="1" t="s">
        <v>74</v>
      </c>
      <c r="BB473" s="1">
        <v>1028.0</v>
      </c>
      <c r="BC473" s="1">
        <v>1033.0</v>
      </c>
      <c r="BD473" s="1" t="s">
        <v>74</v>
      </c>
      <c r="BE473" s="1" t="s">
        <v>4899</v>
      </c>
      <c r="BF473" s="2" t="str">
        <f>HYPERLINK("http://dx.doi.org/10.1016/S0029-7844(03)00859-7","http://dx.doi.org/10.1016/S0029-7844(03)00859-7")</f>
        <v>http://dx.doi.org/10.1016/S0029-7844(03)00859-7</v>
      </c>
      <c r="BG473" s="1" t="s">
        <v>74</v>
      </c>
      <c r="BH473" s="1" t="s">
        <v>74</v>
      </c>
      <c r="BI473" s="1" t="s">
        <v>74</v>
      </c>
      <c r="BJ473" s="1" t="s">
        <v>74</v>
      </c>
      <c r="BK473" s="1" t="s">
        <v>74</v>
      </c>
      <c r="BL473" s="1" t="s">
        <v>74</v>
      </c>
      <c r="BM473" s="1" t="s">
        <v>74</v>
      </c>
      <c r="BN473" s="1">
        <v>1.4672481E7</v>
      </c>
      <c r="BO473" s="1" t="s">
        <v>74</v>
      </c>
      <c r="BP473" s="1" t="s">
        <v>74</v>
      </c>
      <c r="BQ473" s="1" t="s">
        <v>74</v>
      </c>
      <c r="BR473" s="1" t="s">
        <v>74</v>
      </c>
      <c r="BS473" s="1" t="s">
        <v>4900</v>
      </c>
      <c r="BT473" s="1" t="str">
        <f>HYPERLINK("https%3A%2F%2Fwww.webofscience.com%2Fwos%2Fwoscc%2Ffull-record%2FWOS:000186294400025","View Full Record in Web of Science")</f>
        <v>View Full Record in Web of Science</v>
      </c>
    </row>
    <row r="474" ht="12.75" customHeight="1">
      <c r="A474" s="1" t="s">
        <v>72</v>
      </c>
      <c r="B474" s="1" t="s">
        <v>4901</v>
      </c>
      <c r="C474" s="1" t="s">
        <v>74</v>
      </c>
      <c r="D474" s="1" t="s">
        <v>74</v>
      </c>
      <c r="E474" s="1" t="s">
        <v>74</v>
      </c>
      <c r="F474" s="1" t="s">
        <v>4901</v>
      </c>
      <c r="G474" s="1" t="s">
        <v>74</v>
      </c>
      <c r="H474" s="1" t="s">
        <v>74</v>
      </c>
      <c r="I474" s="1" t="s">
        <v>4902</v>
      </c>
      <c r="J474" s="1" t="s">
        <v>4064</v>
      </c>
      <c r="K474" s="1" t="s">
        <v>74</v>
      </c>
      <c r="L474" s="1" t="s">
        <v>74</v>
      </c>
      <c r="M474" s="1" t="s">
        <v>74</v>
      </c>
      <c r="N474" s="1" t="s">
        <v>74</v>
      </c>
      <c r="O474" s="1" t="s">
        <v>74</v>
      </c>
      <c r="P474" s="1" t="s">
        <v>74</v>
      </c>
      <c r="Q474" s="1" t="s">
        <v>74</v>
      </c>
      <c r="R474" s="1" t="s">
        <v>74</v>
      </c>
      <c r="S474" s="1" t="s">
        <v>74</v>
      </c>
      <c r="T474" s="1" t="s">
        <v>74</v>
      </c>
      <c r="U474" s="1" t="s">
        <v>74</v>
      </c>
      <c r="V474" s="1" t="s">
        <v>4903</v>
      </c>
      <c r="W474" s="1" t="s">
        <v>74</v>
      </c>
      <c r="X474" s="1" t="s">
        <v>74</v>
      </c>
      <c r="Y474" s="1" t="s">
        <v>74</v>
      </c>
      <c r="Z474" s="1" t="s">
        <v>74</v>
      </c>
      <c r="AA474" s="1" t="s">
        <v>4904</v>
      </c>
      <c r="AB474" s="1" t="s">
        <v>4905</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4068</v>
      </c>
      <c r="AP474" s="1" t="s">
        <v>4069</v>
      </c>
      <c r="AQ474" s="1" t="s">
        <v>74</v>
      </c>
      <c r="AR474" s="1" t="s">
        <v>74</v>
      </c>
      <c r="AS474" s="1" t="s">
        <v>74</v>
      </c>
      <c r="AT474" s="1" t="s">
        <v>4906</v>
      </c>
      <c r="AU474" s="1">
        <v>2003.0</v>
      </c>
      <c r="AV474" s="1">
        <v>68.0</v>
      </c>
      <c r="AW474" s="1">
        <v>15.0</v>
      </c>
      <c r="AX474" s="1" t="s">
        <v>74</v>
      </c>
      <c r="AY474" s="1" t="s">
        <v>74</v>
      </c>
      <c r="AZ474" s="1" t="s">
        <v>74</v>
      </c>
      <c r="BA474" s="1" t="s">
        <v>74</v>
      </c>
      <c r="BB474" s="1" t="s">
        <v>74</v>
      </c>
      <c r="BC474" s="1" t="s">
        <v>74</v>
      </c>
      <c r="BD474" s="1">
        <v>155306.0</v>
      </c>
      <c r="BE474" s="1" t="s">
        <v>4907</v>
      </c>
      <c r="BF474" s="2" t="str">
        <f>HYPERLINK("http://dx.doi.org/10.1103/PhysRevB.68.155306","http://dx.doi.org/10.1103/PhysRevB.68.155306")</f>
        <v>http://dx.doi.org/10.1103/PhysRevB.68.155306</v>
      </c>
      <c r="BG474" s="1" t="s">
        <v>74</v>
      </c>
      <c r="BH474" s="1" t="s">
        <v>74</v>
      </c>
      <c r="BI474" s="1" t="s">
        <v>74</v>
      </c>
      <c r="BJ474" s="1" t="s">
        <v>74</v>
      </c>
      <c r="BK474" s="1" t="s">
        <v>74</v>
      </c>
      <c r="BL474" s="1" t="s">
        <v>74</v>
      </c>
      <c r="BM474" s="1" t="s">
        <v>74</v>
      </c>
      <c r="BN474" s="1" t="s">
        <v>74</v>
      </c>
      <c r="BO474" s="1" t="s">
        <v>74</v>
      </c>
      <c r="BP474" s="1" t="s">
        <v>74</v>
      </c>
      <c r="BQ474" s="1" t="s">
        <v>74</v>
      </c>
      <c r="BR474" s="1" t="s">
        <v>74</v>
      </c>
      <c r="BS474" s="1" t="s">
        <v>4908</v>
      </c>
      <c r="BT474" s="1" t="str">
        <f>HYPERLINK("https%3A%2F%2Fwww.webofscience.com%2Fwos%2Fwoscc%2Ffull-record%2FWOS:000186422600066","View Full Record in Web of Science")</f>
        <v>View Full Record in Web of Science</v>
      </c>
    </row>
    <row r="475" ht="12.75" customHeight="1">
      <c r="A475" s="1" t="s">
        <v>72</v>
      </c>
      <c r="B475" s="1" t="s">
        <v>4909</v>
      </c>
      <c r="C475" s="1" t="s">
        <v>74</v>
      </c>
      <c r="D475" s="1" t="s">
        <v>74</v>
      </c>
      <c r="E475" s="1" t="s">
        <v>74</v>
      </c>
      <c r="F475" s="1" t="s">
        <v>4909</v>
      </c>
      <c r="G475" s="1" t="s">
        <v>74</v>
      </c>
      <c r="H475" s="1" t="s">
        <v>74</v>
      </c>
      <c r="I475" s="1" t="s">
        <v>4910</v>
      </c>
      <c r="J475" s="1" t="s">
        <v>1654</v>
      </c>
      <c r="K475" s="1" t="s">
        <v>74</v>
      </c>
      <c r="L475" s="1" t="s">
        <v>74</v>
      </c>
      <c r="M475" s="1" t="s">
        <v>74</v>
      </c>
      <c r="N475" s="1" t="s">
        <v>74</v>
      </c>
      <c r="O475" s="1" t="s">
        <v>74</v>
      </c>
      <c r="P475" s="1" t="s">
        <v>74</v>
      </c>
      <c r="Q475" s="1" t="s">
        <v>74</v>
      </c>
      <c r="R475" s="1" t="s">
        <v>74</v>
      </c>
      <c r="S475" s="1" t="s">
        <v>74</v>
      </c>
      <c r="T475" s="1" t="s">
        <v>74</v>
      </c>
      <c r="U475" s="1" t="s">
        <v>74</v>
      </c>
      <c r="V475" s="1" t="s">
        <v>4911</v>
      </c>
      <c r="W475" s="1" t="s">
        <v>74</v>
      </c>
      <c r="X475" s="1" t="s">
        <v>74</v>
      </c>
      <c r="Y475" s="1" t="s">
        <v>74</v>
      </c>
      <c r="Z475" s="1" t="s">
        <v>74</v>
      </c>
      <c r="AA475" s="1" t="s">
        <v>4912</v>
      </c>
      <c r="AB475" s="1" t="s">
        <v>4913</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1656</v>
      </c>
      <c r="AP475" s="1" t="s">
        <v>74</v>
      </c>
      <c r="AQ475" s="1" t="s">
        <v>74</v>
      </c>
      <c r="AR475" s="1" t="s">
        <v>74</v>
      </c>
      <c r="AS475" s="1" t="s">
        <v>74</v>
      </c>
      <c r="AT475" s="1" t="s">
        <v>4914</v>
      </c>
      <c r="AU475" s="1">
        <v>2003.0</v>
      </c>
      <c r="AV475" s="1">
        <v>155.0</v>
      </c>
      <c r="AW475" s="1" t="s">
        <v>988</v>
      </c>
      <c r="AX475" s="1" t="s">
        <v>74</v>
      </c>
      <c r="AY475" s="1" t="s">
        <v>74</v>
      </c>
      <c r="AZ475" s="1" t="s">
        <v>74</v>
      </c>
      <c r="BA475" s="1" t="s">
        <v>74</v>
      </c>
      <c r="BB475" s="1">
        <v>63.0</v>
      </c>
      <c r="BC475" s="1">
        <v>68.0</v>
      </c>
      <c r="BD475" s="1" t="s">
        <v>4915</v>
      </c>
      <c r="BE475" s="1" t="s">
        <v>4916</v>
      </c>
      <c r="BF475" s="2" t="str">
        <f>HYPERLINK("http://dx.doi.org/10.1016/S1010-6030(02)00356-8","http://dx.doi.org/10.1016/S1010-6030(02)00356-8")</f>
        <v>http://dx.doi.org/10.1016/S1010-6030(02)00356-8</v>
      </c>
      <c r="BG475" s="1" t="s">
        <v>74</v>
      </c>
      <c r="BH475" s="1" t="s">
        <v>74</v>
      </c>
      <c r="BI475" s="1" t="s">
        <v>74</v>
      </c>
      <c r="BJ475" s="1" t="s">
        <v>74</v>
      </c>
      <c r="BK475" s="1" t="s">
        <v>74</v>
      </c>
      <c r="BL475" s="1" t="s">
        <v>74</v>
      </c>
      <c r="BM475" s="1" t="s">
        <v>74</v>
      </c>
      <c r="BN475" s="1" t="s">
        <v>74</v>
      </c>
      <c r="BO475" s="1" t="s">
        <v>74</v>
      </c>
      <c r="BP475" s="1" t="s">
        <v>74</v>
      </c>
      <c r="BQ475" s="1" t="s">
        <v>74</v>
      </c>
      <c r="BR475" s="1" t="s">
        <v>74</v>
      </c>
      <c r="BS475" s="1" t="s">
        <v>4917</v>
      </c>
      <c r="BT475" s="1" t="str">
        <f>HYPERLINK("https%3A%2F%2Fwww.webofscience.com%2Fwos%2Fwoscc%2Ffull-record%2FWOS:000181246300008","View Full Record in Web of Science")</f>
        <v>View Full Record in Web of Science</v>
      </c>
    </row>
    <row r="476" ht="12.75" customHeight="1">
      <c r="A476" s="1" t="s">
        <v>72</v>
      </c>
      <c r="B476" s="1" t="s">
        <v>4918</v>
      </c>
      <c r="C476" s="1" t="s">
        <v>74</v>
      </c>
      <c r="D476" s="1" t="s">
        <v>74</v>
      </c>
      <c r="E476" s="1" t="s">
        <v>74</v>
      </c>
      <c r="F476" s="1" t="s">
        <v>4918</v>
      </c>
      <c r="G476" s="1" t="s">
        <v>74</v>
      </c>
      <c r="H476" s="1" t="s">
        <v>74</v>
      </c>
      <c r="I476" s="1" t="s">
        <v>4919</v>
      </c>
      <c r="J476" s="1" t="s">
        <v>4920</v>
      </c>
      <c r="K476" s="1" t="s">
        <v>74</v>
      </c>
      <c r="L476" s="1" t="s">
        <v>74</v>
      </c>
      <c r="M476" s="1" t="s">
        <v>74</v>
      </c>
      <c r="N476" s="1" t="s">
        <v>74</v>
      </c>
      <c r="O476" s="1" t="s">
        <v>74</v>
      </c>
      <c r="P476" s="1" t="s">
        <v>74</v>
      </c>
      <c r="Q476" s="1" t="s">
        <v>74</v>
      </c>
      <c r="R476" s="1" t="s">
        <v>74</v>
      </c>
      <c r="S476" s="1" t="s">
        <v>74</v>
      </c>
      <c r="T476" s="1" t="s">
        <v>74</v>
      </c>
      <c r="U476" s="1" t="s">
        <v>74</v>
      </c>
      <c r="V476" s="1" t="s">
        <v>4921</v>
      </c>
      <c r="W476" s="1" t="s">
        <v>74</v>
      </c>
      <c r="X476" s="1" t="s">
        <v>74</v>
      </c>
      <c r="Y476" s="1" t="s">
        <v>74</v>
      </c>
      <c r="Z476" s="1" t="s">
        <v>74</v>
      </c>
      <c r="AA476" s="1" t="s">
        <v>4922</v>
      </c>
      <c r="AB476" s="1" t="s">
        <v>4923</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4863</v>
      </c>
      <c r="AP476" s="1" t="s">
        <v>74</v>
      </c>
      <c r="AQ476" s="1" t="s">
        <v>74</v>
      </c>
      <c r="AR476" s="1" t="s">
        <v>74</v>
      </c>
      <c r="AS476" s="1" t="s">
        <v>74</v>
      </c>
      <c r="AT476" s="1" t="s">
        <v>1363</v>
      </c>
      <c r="AU476" s="1">
        <v>2001.0</v>
      </c>
      <c r="AV476" s="1">
        <v>290.0</v>
      </c>
      <c r="AW476" s="1" t="s">
        <v>409</v>
      </c>
      <c r="AX476" s="1" t="s">
        <v>74</v>
      </c>
      <c r="AY476" s="1" t="s">
        <v>74</v>
      </c>
      <c r="AZ476" s="1" t="s">
        <v>74</v>
      </c>
      <c r="BA476" s="1" t="s">
        <v>74</v>
      </c>
      <c r="BB476" s="1">
        <v>92.0</v>
      </c>
      <c r="BC476" s="1">
        <v>100.0</v>
      </c>
      <c r="BD476" s="1" t="s">
        <v>74</v>
      </c>
      <c r="BE476" s="1" t="s">
        <v>4924</v>
      </c>
      <c r="BF476" s="2" t="str">
        <f>HYPERLINK("http://dx.doi.org/10.1016/S0378-4371(00)00362-9","http://dx.doi.org/10.1016/S0378-4371(00)00362-9")</f>
        <v>http://dx.doi.org/10.1016/S0378-4371(00)00362-9</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4925</v>
      </c>
      <c r="BT476" s="1" t="str">
        <f>HYPERLINK("https%3A%2F%2Fwww.webofscience.com%2Fwos%2Fwoscc%2Ffull-record%2FWOS:000166438000008","View Full Record in Web of Science")</f>
        <v>View Full Record in Web of Science</v>
      </c>
    </row>
    <row r="477" ht="12.75" customHeight="1">
      <c r="A477" s="1" t="s">
        <v>72</v>
      </c>
      <c r="B477" s="1" t="s">
        <v>4926</v>
      </c>
      <c r="C477" s="1" t="s">
        <v>74</v>
      </c>
      <c r="D477" s="1" t="s">
        <v>74</v>
      </c>
      <c r="E477" s="1" t="s">
        <v>74</v>
      </c>
      <c r="F477" s="1" t="s">
        <v>4926</v>
      </c>
      <c r="G477" s="1" t="s">
        <v>74</v>
      </c>
      <c r="H477" s="1" t="s">
        <v>74</v>
      </c>
      <c r="I477" s="1" t="s">
        <v>4927</v>
      </c>
      <c r="J477" s="1" t="s">
        <v>4928</v>
      </c>
      <c r="K477" s="1" t="s">
        <v>74</v>
      </c>
      <c r="L477" s="1" t="s">
        <v>74</v>
      </c>
      <c r="M477" s="1" t="s">
        <v>74</v>
      </c>
      <c r="N477" s="1" t="s">
        <v>74</v>
      </c>
      <c r="O477" s="1" t="s">
        <v>4929</v>
      </c>
      <c r="P477" s="1" t="s">
        <v>4930</v>
      </c>
      <c r="Q477" s="1" t="s">
        <v>4931</v>
      </c>
      <c r="R477" s="1" t="s">
        <v>74</v>
      </c>
      <c r="S477" s="1" t="s">
        <v>74</v>
      </c>
      <c r="T477" s="1" t="s">
        <v>74</v>
      </c>
      <c r="U477" s="1" t="s">
        <v>74</v>
      </c>
      <c r="V477" s="1" t="s">
        <v>4932</v>
      </c>
      <c r="W477" s="1" t="s">
        <v>74</v>
      </c>
      <c r="X477" s="1" t="s">
        <v>74</v>
      </c>
      <c r="Y477" s="1" t="s">
        <v>74</v>
      </c>
      <c r="Z477" s="1" t="s">
        <v>74</v>
      </c>
      <c r="AA477" s="1" t="s">
        <v>74</v>
      </c>
      <c r="AB477" s="1" t="s">
        <v>4933</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4934</v>
      </c>
      <c r="AP477" s="1" t="s">
        <v>74</v>
      </c>
      <c r="AQ477" s="1" t="s">
        <v>74</v>
      </c>
      <c r="AR477" s="1" t="s">
        <v>74</v>
      </c>
      <c r="AS477" s="1" t="s">
        <v>74</v>
      </c>
      <c r="AT477" s="1" t="s">
        <v>3327</v>
      </c>
      <c r="AU477" s="1">
        <v>1999.0</v>
      </c>
      <c r="AV477" s="1">
        <v>23.0</v>
      </c>
      <c r="AW477" s="1" t="s">
        <v>74</v>
      </c>
      <c r="AX477" s="1" t="s">
        <v>74</v>
      </c>
      <c r="AY477" s="1" t="s">
        <v>311</v>
      </c>
      <c r="AZ477" s="1" t="s">
        <v>74</v>
      </c>
      <c r="BA477" s="1" t="s">
        <v>74</v>
      </c>
      <c r="BB477" s="1" t="s">
        <v>4935</v>
      </c>
      <c r="BC477" s="1" t="s">
        <v>4936</v>
      </c>
      <c r="BD477" s="1" t="s">
        <v>74</v>
      </c>
      <c r="BE477" s="1" t="s">
        <v>4937</v>
      </c>
      <c r="BF477" s="2" t="str">
        <f>HYPERLINK("http://dx.doi.org/10.1016/S0098-1354(99)80138-0","http://dx.doi.org/10.1016/S0098-1354(99)80138-0")</f>
        <v>http://dx.doi.org/10.1016/S0098-1354(99)80138-0</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4938</v>
      </c>
      <c r="BT477" s="1" t="str">
        <f>HYPERLINK("https%3A%2F%2Fwww.webofscience.com%2Fwos%2Fwoscc%2Ffull-record%2FWOS:000167562300138","View Full Record in Web of Science")</f>
        <v>View Full Record in Web of Science</v>
      </c>
    </row>
    <row r="478" ht="12.75" customHeight="1">
      <c r="A478" s="1" t="s">
        <v>72</v>
      </c>
      <c r="B478" s="1" t="s">
        <v>4939</v>
      </c>
      <c r="C478" s="1" t="s">
        <v>74</v>
      </c>
      <c r="D478" s="1" t="s">
        <v>74</v>
      </c>
      <c r="E478" s="1" t="s">
        <v>74</v>
      </c>
      <c r="F478" s="1" t="s">
        <v>4939</v>
      </c>
      <c r="G478" s="1" t="s">
        <v>74</v>
      </c>
      <c r="H478" s="1" t="s">
        <v>74</v>
      </c>
      <c r="I478" s="1" t="s">
        <v>4940</v>
      </c>
      <c r="J478" s="1" t="s">
        <v>2220</v>
      </c>
      <c r="K478" s="1" t="s">
        <v>74</v>
      </c>
      <c r="L478" s="1" t="s">
        <v>74</v>
      </c>
      <c r="M478" s="1" t="s">
        <v>74</v>
      </c>
      <c r="N478" s="1" t="s">
        <v>74</v>
      </c>
      <c r="O478" s="1" t="s">
        <v>74</v>
      </c>
      <c r="P478" s="1" t="s">
        <v>74</v>
      </c>
      <c r="Q478" s="1" t="s">
        <v>74</v>
      </c>
      <c r="R478" s="1" t="s">
        <v>74</v>
      </c>
      <c r="S478" s="1" t="s">
        <v>74</v>
      </c>
      <c r="T478" s="1" t="s">
        <v>74</v>
      </c>
      <c r="U478" s="1" t="s">
        <v>74</v>
      </c>
      <c r="V478" s="1" t="s">
        <v>4941</v>
      </c>
      <c r="W478" s="1" t="s">
        <v>74</v>
      </c>
      <c r="X478" s="1" t="s">
        <v>74</v>
      </c>
      <c r="Y478" s="1" t="s">
        <v>74</v>
      </c>
      <c r="Z478" s="1" t="s">
        <v>74</v>
      </c>
      <c r="AA478" s="1" t="s">
        <v>4942</v>
      </c>
      <c r="AB478" s="1" t="s">
        <v>4943</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2224</v>
      </c>
      <c r="AP478" s="1" t="s">
        <v>4944</v>
      </c>
      <c r="AQ478" s="1" t="s">
        <v>74</v>
      </c>
      <c r="AR478" s="1" t="s">
        <v>74</v>
      </c>
      <c r="AS478" s="1" t="s">
        <v>74</v>
      </c>
      <c r="AT478" s="1" t="s">
        <v>374</v>
      </c>
      <c r="AU478" s="1">
        <v>1998.0</v>
      </c>
      <c r="AV478" s="1">
        <v>61.0</v>
      </c>
      <c r="AW478" s="1">
        <v>11.0</v>
      </c>
      <c r="AX478" s="1" t="s">
        <v>74</v>
      </c>
      <c r="AY478" s="1" t="s">
        <v>74</v>
      </c>
      <c r="AZ478" s="1" t="s">
        <v>74</v>
      </c>
      <c r="BA478" s="1" t="s">
        <v>74</v>
      </c>
      <c r="BB478" s="1">
        <v>1418.0</v>
      </c>
      <c r="BC478" s="1">
        <v>1420.0</v>
      </c>
      <c r="BD478" s="1" t="s">
        <v>74</v>
      </c>
      <c r="BE478" s="1" t="s">
        <v>4945</v>
      </c>
      <c r="BF478" s="2" t="str">
        <f>HYPERLINK("http://dx.doi.org/10.1021/np980175a","http://dx.doi.org/10.1021/np980175a")</f>
        <v>http://dx.doi.org/10.1021/np980175a</v>
      </c>
      <c r="BG478" s="1" t="s">
        <v>74</v>
      </c>
      <c r="BH478" s="1" t="s">
        <v>74</v>
      </c>
      <c r="BI478" s="1" t="s">
        <v>74</v>
      </c>
      <c r="BJ478" s="1" t="s">
        <v>74</v>
      </c>
      <c r="BK478" s="1" t="s">
        <v>74</v>
      </c>
      <c r="BL478" s="1" t="s">
        <v>74</v>
      </c>
      <c r="BM478" s="1" t="s">
        <v>74</v>
      </c>
      <c r="BN478" s="1">
        <v>9834169.0</v>
      </c>
      <c r="BO478" s="1" t="s">
        <v>74</v>
      </c>
      <c r="BP478" s="1" t="s">
        <v>74</v>
      </c>
      <c r="BQ478" s="1" t="s">
        <v>74</v>
      </c>
      <c r="BR478" s="1" t="s">
        <v>74</v>
      </c>
      <c r="BS478" s="1" t="s">
        <v>4946</v>
      </c>
      <c r="BT478" s="1" t="str">
        <f>HYPERLINK("https%3A%2F%2Fwww.webofscience.com%2Fwos%2Fwoscc%2Ffull-record%2FWOS:000077358200026","View Full Record in Web of Science")</f>
        <v>View Full Record in Web of Science</v>
      </c>
    </row>
    <row r="479" ht="12.75" customHeight="1">
      <c r="A479" s="1" t="s">
        <v>72</v>
      </c>
      <c r="B479" s="1" t="s">
        <v>4947</v>
      </c>
      <c r="C479" s="1" t="s">
        <v>74</v>
      </c>
      <c r="D479" s="1" t="s">
        <v>74</v>
      </c>
      <c r="E479" s="1" t="s">
        <v>74</v>
      </c>
      <c r="F479" s="1" t="s">
        <v>4948</v>
      </c>
      <c r="G479" s="1" t="s">
        <v>74</v>
      </c>
      <c r="H479" s="1" t="s">
        <v>74</v>
      </c>
      <c r="I479" s="1" t="s">
        <v>4949</v>
      </c>
      <c r="J479" s="1" t="s">
        <v>4950</v>
      </c>
      <c r="K479" s="1" t="s">
        <v>74</v>
      </c>
      <c r="L479" s="1" t="s">
        <v>74</v>
      </c>
      <c r="M479" s="1" t="s">
        <v>74</v>
      </c>
      <c r="N479" s="1" t="s">
        <v>74</v>
      </c>
      <c r="O479" s="1" t="s">
        <v>74</v>
      </c>
      <c r="P479" s="1" t="s">
        <v>74</v>
      </c>
      <c r="Q479" s="1" t="s">
        <v>74</v>
      </c>
      <c r="R479" s="1" t="s">
        <v>74</v>
      </c>
      <c r="S479" s="1" t="s">
        <v>74</v>
      </c>
      <c r="T479" s="1" t="s">
        <v>74</v>
      </c>
      <c r="U479" s="1" t="s">
        <v>74</v>
      </c>
      <c r="V479" s="1" t="s">
        <v>4951</v>
      </c>
      <c r="W479" s="1" t="s">
        <v>74</v>
      </c>
      <c r="X479" s="1" t="s">
        <v>74</v>
      </c>
      <c r="Y479" s="1" t="s">
        <v>74</v>
      </c>
      <c r="Z479" s="1" t="s">
        <v>74</v>
      </c>
      <c r="AA479" s="1" t="s">
        <v>4952</v>
      </c>
      <c r="AB479" s="1" t="s">
        <v>4953</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4954</v>
      </c>
      <c r="AP479" s="1" t="s">
        <v>4955</v>
      </c>
      <c r="AQ479" s="1" t="s">
        <v>74</v>
      </c>
      <c r="AR479" s="1" t="s">
        <v>74</v>
      </c>
      <c r="AS479" s="1" t="s">
        <v>74</v>
      </c>
      <c r="AT479" s="1" t="s">
        <v>4956</v>
      </c>
      <c r="AU479" s="1">
        <v>2024.0</v>
      </c>
      <c r="AV479" s="1">
        <v>621.0</v>
      </c>
      <c r="AW479" s="1" t="s">
        <v>74</v>
      </c>
      <c r="AX479" s="1" t="s">
        <v>74</v>
      </c>
      <c r="AY479" s="1" t="s">
        <v>74</v>
      </c>
      <c r="AZ479" s="1" t="s">
        <v>74</v>
      </c>
      <c r="BA479" s="1" t="s">
        <v>74</v>
      </c>
      <c r="BB479" s="1" t="s">
        <v>74</v>
      </c>
      <c r="BC479" s="1" t="s">
        <v>74</v>
      </c>
      <c r="BD479" s="1">
        <v>235295.0</v>
      </c>
      <c r="BE479" s="1" t="s">
        <v>4957</v>
      </c>
      <c r="BF479" s="2" t="str">
        <f>HYPERLINK("http://dx.doi.org/10.1016/j.jpowsour.2024.235295","http://dx.doi.org/10.1016/j.jpowsour.2024.235295")</f>
        <v>http://dx.doi.org/10.1016/j.jpowsour.2024.235295</v>
      </c>
      <c r="BG479" s="1" t="s">
        <v>74</v>
      </c>
      <c r="BH479" s="1" t="s">
        <v>548</v>
      </c>
      <c r="BI479" s="1" t="s">
        <v>74</v>
      </c>
      <c r="BJ479" s="1" t="s">
        <v>74</v>
      </c>
      <c r="BK479" s="1" t="s">
        <v>74</v>
      </c>
      <c r="BL479" s="1" t="s">
        <v>74</v>
      </c>
      <c r="BM479" s="1" t="s">
        <v>74</v>
      </c>
      <c r="BN479" s="1" t="s">
        <v>74</v>
      </c>
      <c r="BO479" s="1" t="s">
        <v>74</v>
      </c>
      <c r="BP479" s="1" t="s">
        <v>74</v>
      </c>
      <c r="BQ479" s="1" t="s">
        <v>74</v>
      </c>
      <c r="BR479" s="1" t="s">
        <v>74</v>
      </c>
      <c r="BS479" s="1" t="s">
        <v>4958</v>
      </c>
      <c r="BT479" s="1" t="str">
        <f>HYPERLINK("https%3A%2F%2Fwww.webofscience.com%2Fwos%2Fwoscc%2Ffull-record%2FWOS:001303061400001","View Full Record in Web of Science")</f>
        <v>View Full Record in Web of Science</v>
      </c>
    </row>
    <row r="480" ht="12.75" customHeight="1">
      <c r="A480" s="1" t="s">
        <v>72</v>
      </c>
      <c r="B480" s="1" t="s">
        <v>4959</v>
      </c>
      <c r="C480" s="1" t="s">
        <v>74</v>
      </c>
      <c r="D480" s="1" t="s">
        <v>74</v>
      </c>
      <c r="E480" s="1" t="s">
        <v>74</v>
      </c>
      <c r="F480" s="1" t="s">
        <v>4960</v>
      </c>
      <c r="G480" s="1" t="s">
        <v>74</v>
      </c>
      <c r="H480" s="1" t="s">
        <v>74</v>
      </c>
      <c r="I480" s="1" t="s">
        <v>4961</v>
      </c>
      <c r="J480" s="1" t="s">
        <v>4962</v>
      </c>
      <c r="K480" s="1" t="s">
        <v>74</v>
      </c>
      <c r="L480" s="1" t="s">
        <v>74</v>
      </c>
      <c r="M480" s="1" t="s">
        <v>74</v>
      </c>
      <c r="N480" s="1" t="s">
        <v>74</v>
      </c>
      <c r="O480" s="1" t="s">
        <v>74</v>
      </c>
      <c r="P480" s="1" t="s">
        <v>74</v>
      </c>
      <c r="Q480" s="1" t="s">
        <v>74</v>
      </c>
      <c r="R480" s="1" t="s">
        <v>74</v>
      </c>
      <c r="S480" s="1" t="s">
        <v>74</v>
      </c>
      <c r="T480" s="1" t="s">
        <v>74</v>
      </c>
      <c r="U480" s="1" t="s">
        <v>74</v>
      </c>
      <c r="V480" s="1" t="s">
        <v>4963</v>
      </c>
      <c r="W480" s="1" t="s">
        <v>74</v>
      </c>
      <c r="X480" s="1" t="s">
        <v>74</v>
      </c>
      <c r="Y480" s="1" t="s">
        <v>74</v>
      </c>
      <c r="Z480" s="1" t="s">
        <v>74</v>
      </c>
      <c r="AA480" s="1" t="s">
        <v>4964</v>
      </c>
      <c r="AB480" s="1" t="s">
        <v>4965</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4966</v>
      </c>
      <c r="AP480" s="1" t="s">
        <v>4967</v>
      </c>
      <c r="AQ480" s="1" t="s">
        <v>74</v>
      </c>
      <c r="AR480" s="1" t="s">
        <v>74</v>
      </c>
      <c r="AS480" s="1" t="s">
        <v>74</v>
      </c>
      <c r="AT480" s="1" t="s">
        <v>4968</v>
      </c>
      <c r="AU480" s="1">
        <v>2024.0</v>
      </c>
      <c r="AV480" s="1">
        <v>24.0</v>
      </c>
      <c r="AW480" s="1">
        <v>13.0</v>
      </c>
      <c r="AX480" s="1" t="s">
        <v>74</v>
      </c>
      <c r="AY480" s="1" t="s">
        <v>74</v>
      </c>
      <c r="AZ480" s="1" t="s">
        <v>74</v>
      </c>
      <c r="BA480" s="1" t="s">
        <v>74</v>
      </c>
      <c r="BB480" s="1">
        <v>5656.0</v>
      </c>
      <c r="BC480" s="1">
        <v>5669.0</v>
      </c>
      <c r="BD480" s="1" t="s">
        <v>74</v>
      </c>
      <c r="BE480" s="1" t="s">
        <v>4969</v>
      </c>
      <c r="BF480" s="2" t="str">
        <f>HYPERLINK("http://dx.doi.org/10.1021/acs.cgd.4c00445","http://dx.doi.org/10.1021/acs.cgd.4c00445")</f>
        <v>http://dx.doi.org/10.1021/acs.cgd.4c00445</v>
      </c>
      <c r="BG480" s="1" t="s">
        <v>74</v>
      </c>
      <c r="BH480" s="1" t="s">
        <v>4970</v>
      </c>
      <c r="BI480" s="1" t="s">
        <v>74</v>
      </c>
      <c r="BJ480" s="1" t="s">
        <v>74</v>
      </c>
      <c r="BK480" s="1" t="s">
        <v>74</v>
      </c>
      <c r="BL480" s="1" t="s">
        <v>74</v>
      </c>
      <c r="BM480" s="1" t="s">
        <v>74</v>
      </c>
      <c r="BN480" s="1" t="s">
        <v>74</v>
      </c>
      <c r="BO480" s="1" t="s">
        <v>74</v>
      </c>
      <c r="BP480" s="1" t="s">
        <v>74</v>
      </c>
      <c r="BQ480" s="1" t="s">
        <v>74</v>
      </c>
      <c r="BR480" s="1" t="s">
        <v>74</v>
      </c>
      <c r="BS480" s="1" t="s">
        <v>4971</v>
      </c>
      <c r="BT480" s="1" t="str">
        <f>HYPERLINK("https%3A%2F%2Fwww.webofscience.com%2Fwos%2Fwoscc%2Ffull-record%2FWOS:001252891600001","View Full Record in Web of Science")</f>
        <v>View Full Record in Web of Science</v>
      </c>
    </row>
    <row r="481" ht="12.75" customHeight="1">
      <c r="A481" s="1" t="s">
        <v>72</v>
      </c>
      <c r="B481" s="1" t="s">
        <v>4972</v>
      </c>
      <c r="C481" s="1" t="s">
        <v>74</v>
      </c>
      <c r="D481" s="1" t="s">
        <v>74</v>
      </c>
      <c r="E481" s="1" t="s">
        <v>74</v>
      </c>
      <c r="F481" s="1" t="s">
        <v>4973</v>
      </c>
      <c r="G481" s="1" t="s">
        <v>74</v>
      </c>
      <c r="H481" s="1" t="s">
        <v>74</v>
      </c>
      <c r="I481" s="1" t="s">
        <v>4974</v>
      </c>
      <c r="J481" s="1" t="s">
        <v>2470</v>
      </c>
      <c r="K481" s="1" t="s">
        <v>74</v>
      </c>
      <c r="L481" s="1" t="s">
        <v>74</v>
      </c>
      <c r="M481" s="1" t="s">
        <v>74</v>
      </c>
      <c r="N481" s="1" t="s">
        <v>74</v>
      </c>
      <c r="O481" s="1" t="s">
        <v>74</v>
      </c>
      <c r="P481" s="1" t="s">
        <v>74</v>
      </c>
      <c r="Q481" s="1" t="s">
        <v>74</v>
      </c>
      <c r="R481" s="1" t="s">
        <v>74</v>
      </c>
      <c r="S481" s="1" t="s">
        <v>74</v>
      </c>
      <c r="T481" s="1" t="s">
        <v>74</v>
      </c>
      <c r="U481" s="1" t="s">
        <v>74</v>
      </c>
      <c r="V481" s="1" t="s">
        <v>4975</v>
      </c>
      <c r="W481" s="1" t="s">
        <v>74</v>
      </c>
      <c r="X481" s="1" t="s">
        <v>74</v>
      </c>
      <c r="Y481" s="1" t="s">
        <v>74</v>
      </c>
      <c r="Z481" s="1" t="s">
        <v>74</v>
      </c>
      <c r="AA481" s="1" t="s">
        <v>4976</v>
      </c>
      <c r="AB481" s="1" t="s">
        <v>74</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2474</v>
      </c>
      <c r="AP481" s="1" t="s">
        <v>2475</v>
      </c>
      <c r="AQ481" s="1" t="s">
        <v>74</v>
      </c>
      <c r="AR481" s="1" t="s">
        <v>74</v>
      </c>
      <c r="AS481" s="1" t="s">
        <v>74</v>
      </c>
      <c r="AT481" s="1" t="s">
        <v>74</v>
      </c>
      <c r="AU481" s="1">
        <v>2024.0</v>
      </c>
      <c r="AV481" s="1" t="s">
        <v>74</v>
      </c>
      <c r="AW481" s="1">
        <v>56.0</v>
      </c>
      <c r="AX481" s="1" t="s">
        <v>74</v>
      </c>
      <c r="AY481" s="1" t="s">
        <v>74</v>
      </c>
      <c r="AZ481" s="1" t="s">
        <v>74</v>
      </c>
      <c r="BA481" s="1" t="s">
        <v>74</v>
      </c>
      <c r="BB481" s="1">
        <v>779.0</v>
      </c>
      <c r="BC481" s="1">
        <v>796.0</v>
      </c>
      <c r="BD481" s="1" t="s">
        <v>74</v>
      </c>
      <c r="BE481" s="1" t="s">
        <v>74</v>
      </c>
      <c r="BF481" s="1" t="s">
        <v>74</v>
      </c>
      <c r="BG481" s="1" t="s">
        <v>74</v>
      </c>
      <c r="BH481" s="1" t="s">
        <v>74</v>
      </c>
      <c r="BI481" s="1" t="s">
        <v>74</v>
      </c>
      <c r="BJ481" s="1" t="s">
        <v>74</v>
      </c>
      <c r="BK481" s="1" t="s">
        <v>74</v>
      </c>
      <c r="BL481" s="1" t="s">
        <v>74</v>
      </c>
      <c r="BM481" s="1" t="s">
        <v>74</v>
      </c>
      <c r="BN481" s="1" t="s">
        <v>74</v>
      </c>
      <c r="BO481" s="1" t="s">
        <v>74</v>
      </c>
      <c r="BP481" s="1" t="s">
        <v>74</v>
      </c>
      <c r="BQ481" s="1" t="s">
        <v>74</v>
      </c>
      <c r="BR481" s="1" t="s">
        <v>74</v>
      </c>
      <c r="BS481" s="1" t="s">
        <v>4977</v>
      </c>
      <c r="BT481" s="1" t="str">
        <f>HYPERLINK("https%3A%2F%2Fwww.webofscience.com%2Fwos%2Fwoscc%2Ffull-record%2FWOS:001235947100001","View Full Record in Web of Science")</f>
        <v>View Full Record in Web of Science</v>
      </c>
    </row>
    <row r="482" ht="12.75" customHeight="1">
      <c r="A482" s="1" t="s">
        <v>72</v>
      </c>
      <c r="B482" s="1" t="s">
        <v>4978</v>
      </c>
      <c r="C482" s="1" t="s">
        <v>74</v>
      </c>
      <c r="D482" s="1" t="s">
        <v>74</v>
      </c>
      <c r="E482" s="1" t="s">
        <v>74</v>
      </c>
      <c r="F482" s="1" t="s">
        <v>4979</v>
      </c>
      <c r="G482" s="1" t="s">
        <v>74</v>
      </c>
      <c r="H482" s="1" t="s">
        <v>74</v>
      </c>
      <c r="I482" s="1" t="s">
        <v>4980</v>
      </c>
      <c r="J482" s="1" t="s">
        <v>4981</v>
      </c>
      <c r="K482" s="1" t="s">
        <v>74</v>
      </c>
      <c r="L482" s="1" t="s">
        <v>74</v>
      </c>
      <c r="M482" s="1" t="s">
        <v>74</v>
      </c>
      <c r="N482" s="1" t="s">
        <v>74</v>
      </c>
      <c r="O482" s="1" t="s">
        <v>74</v>
      </c>
      <c r="P482" s="1" t="s">
        <v>74</v>
      </c>
      <c r="Q482" s="1" t="s">
        <v>74</v>
      </c>
      <c r="R482" s="1" t="s">
        <v>74</v>
      </c>
      <c r="S482" s="1" t="s">
        <v>74</v>
      </c>
      <c r="T482" s="1" t="s">
        <v>74</v>
      </c>
      <c r="U482" s="1" t="s">
        <v>74</v>
      </c>
      <c r="V482" s="1" t="s">
        <v>4982</v>
      </c>
      <c r="W482" s="1" t="s">
        <v>74</v>
      </c>
      <c r="X482" s="1" t="s">
        <v>74</v>
      </c>
      <c r="Y482" s="1" t="s">
        <v>74</v>
      </c>
      <c r="Z482" s="1" t="s">
        <v>74</v>
      </c>
      <c r="AA482" s="1" t="s">
        <v>4983</v>
      </c>
      <c r="AB482" s="1" t="s">
        <v>4984</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4985</v>
      </c>
      <c r="AP482" s="1" t="s">
        <v>4986</v>
      </c>
      <c r="AQ482" s="1" t="s">
        <v>74</v>
      </c>
      <c r="AR482" s="1" t="s">
        <v>74</v>
      </c>
      <c r="AS482" s="1" t="s">
        <v>74</v>
      </c>
      <c r="AT482" s="1" t="s">
        <v>4987</v>
      </c>
      <c r="AU482" s="1">
        <v>2023.0</v>
      </c>
      <c r="AV482" s="1">
        <v>423.0</v>
      </c>
      <c r="AW482" s="1" t="s">
        <v>74</v>
      </c>
      <c r="AX482" s="1" t="s">
        <v>74</v>
      </c>
      <c r="AY482" s="1" t="s">
        <v>74</v>
      </c>
      <c r="AZ482" s="1" t="s">
        <v>74</v>
      </c>
      <c r="BA482" s="1" t="s">
        <v>74</v>
      </c>
      <c r="BB482" s="1" t="s">
        <v>74</v>
      </c>
      <c r="BC482" s="1" t="s">
        <v>74</v>
      </c>
      <c r="BD482" s="1">
        <v>113862.0</v>
      </c>
      <c r="BE482" s="1" t="s">
        <v>4988</v>
      </c>
      <c r="BF482" s="2" t="str">
        <f>HYPERLINK("http://dx.doi.org/10.1016/j.cattod.2022.08.004","http://dx.doi.org/10.1016/j.cattod.2022.08.004")</f>
        <v>http://dx.doi.org/10.1016/j.cattod.2022.08.004</v>
      </c>
      <c r="BG482" s="1" t="s">
        <v>74</v>
      </c>
      <c r="BH482" s="1" t="s">
        <v>1177</v>
      </c>
      <c r="BI482" s="1" t="s">
        <v>74</v>
      </c>
      <c r="BJ482" s="1" t="s">
        <v>74</v>
      </c>
      <c r="BK482" s="1" t="s">
        <v>74</v>
      </c>
      <c r="BL482" s="1" t="s">
        <v>74</v>
      </c>
      <c r="BM482" s="1" t="s">
        <v>74</v>
      </c>
      <c r="BN482" s="1" t="s">
        <v>74</v>
      </c>
      <c r="BO482" s="1" t="s">
        <v>74</v>
      </c>
      <c r="BP482" s="1" t="s">
        <v>74</v>
      </c>
      <c r="BQ482" s="1" t="s">
        <v>74</v>
      </c>
      <c r="BR482" s="1" t="s">
        <v>74</v>
      </c>
      <c r="BS482" s="1" t="s">
        <v>4989</v>
      </c>
      <c r="BT482" s="1" t="str">
        <f>HYPERLINK("https%3A%2F%2Fwww.webofscience.com%2Fwos%2Fwoscc%2Ffull-record%2FWOS:001063534400001","View Full Record in Web of Science")</f>
        <v>View Full Record in Web of Science</v>
      </c>
    </row>
    <row r="483" ht="12.75" customHeight="1">
      <c r="A483" s="1" t="s">
        <v>72</v>
      </c>
      <c r="B483" s="1" t="s">
        <v>4990</v>
      </c>
      <c r="C483" s="1" t="s">
        <v>74</v>
      </c>
      <c r="D483" s="1" t="s">
        <v>74</v>
      </c>
      <c r="E483" s="1" t="s">
        <v>74</v>
      </c>
      <c r="F483" s="1" t="s">
        <v>4991</v>
      </c>
      <c r="G483" s="1" t="s">
        <v>74</v>
      </c>
      <c r="H483" s="1" t="s">
        <v>74</v>
      </c>
      <c r="I483" s="1" t="s">
        <v>4992</v>
      </c>
      <c r="J483" s="1" t="s">
        <v>686</v>
      </c>
      <c r="K483" s="1" t="s">
        <v>74</v>
      </c>
      <c r="L483" s="1" t="s">
        <v>74</v>
      </c>
      <c r="M483" s="1" t="s">
        <v>74</v>
      </c>
      <c r="N483" s="1" t="s">
        <v>74</v>
      </c>
      <c r="O483" s="1" t="s">
        <v>74</v>
      </c>
      <c r="P483" s="1" t="s">
        <v>74</v>
      </c>
      <c r="Q483" s="1" t="s">
        <v>74</v>
      </c>
      <c r="R483" s="1" t="s">
        <v>74</v>
      </c>
      <c r="S483" s="1" t="s">
        <v>74</v>
      </c>
      <c r="T483" s="1" t="s">
        <v>74</v>
      </c>
      <c r="U483" s="1" t="s">
        <v>74</v>
      </c>
      <c r="V483" s="1" t="s">
        <v>4993</v>
      </c>
      <c r="W483" s="1" t="s">
        <v>74</v>
      </c>
      <c r="X483" s="1" t="s">
        <v>74</v>
      </c>
      <c r="Y483" s="1" t="s">
        <v>74</v>
      </c>
      <c r="Z483" s="1" t="s">
        <v>74</v>
      </c>
      <c r="AA483" s="1" t="s">
        <v>4994</v>
      </c>
      <c r="AB483" s="1" t="s">
        <v>4995</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690</v>
      </c>
      <c r="AP483" s="1" t="s">
        <v>74</v>
      </c>
      <c r="AQ483" s="1" t="s">
        <v>74</v>
      </c>
      <c r="AR483" s="1" t="s">
        <v>74</v>
      </c>
      <c r="AS483" s="1" t="s">
        <v>74</v>
      </c>
      <c r="AT483" s="1" t="s">
        <v>4996</v>
      </c>
      <c r="AU483" s="1">
        <v>2023.0</v>
      </c>
      <c r="AV483" s="1">
        <v>7.0</v>
      </c>
      <c r="AW483" s="1">
        <v>3.0</v>
      </c>
      <c r="AX483" s="1" t="s">
        <v>74</v>
      </c>
      <c r="AY483" s="1" t="s">
        <v>74</v>
      </c>
      <c r="AZ483" s="1" t="s">
        <v>74</v>
      </c>
      <c r="BA483" s="1" t="s">
        <v>74</v>
      </c>
      <c r="BB483" s="1" t="s">
        <v>74</v>
      </c>
      <c r="BC483" s="1" t="s">
        <v>74</v>
      </c>
      <c r="BD483" s="1">
        <v>36001.0</v>
      </c>
      <c r="BE483" s="1" t="s">
        <v>4997</v>
      </c>
      <c r="BF483" s="2" t="str">
        <f>HYPERLINK("http://dx.doi.org/10.1103/PhysRevMaterials.7.036001","http://dx.doi.org/10.1103/PhysRevMaterials.7.036001")</f>
        <v>http://dx.doi.org/10.1103/PhysRevMaterials.7.036001</v>
      </c>
      <c r="BG483" s="1" t="s">
        <v>74</v>
      </c>
      <c r="BH483" s="1" t="s">
        <v>74</v>
      </c>
      <c r="BI483" s="1" t="s">
        <v>74</v>
      </c>
      <c r="BJ483" s="1" t="s">
        <v>74</v>
      </c>
      <c r="BK483" s="1" t="s">
        <v>74</v>
      </c>
      <c r="BL483" s="1" t="s">
        <v>74</v>
      </c>
      <c r="BM483" s="1" t="s">
        <v>74</v>
      </c>
      <c r="BN483" s="1" t="s">
        <v>74</v>
      </c>
      <c r="BO483" s="1" t="s">
        <v>74</v>
      </c>
      <c r="BP483" s="1" t="s">
        <v>74</v>
      </c>
      <c r="BQ483" s="1" t="s">
        <v>74</v>
      </c>
      <c r="BR483" s="1" t="s">
        <v>74</v>
      </c>
      <c r="BS483" s="1" t="s">
        <v>4998</v>
      </c>
      <c r="BT483" s="1" t="str">
        <f>HYPERLINK("https%3A%2F%2Fwww.webofscience.com%2Fwos%2Fwoscc%2Ffull-record%2FWOS:000957708700001","View Full Record in Web of Science")</f>
        <v>View Full Record in Web of Science</v>
      </c>
    </row>
    <row r="484" ht="12.75" customHeight="1">
      <c r="A484" s="1" t="s">
        <v>72</v>
      </c>
      <c r="B484" s="1" t="s">
        <v>4999</v>
      </c>
      <c r="C484" s="1" t="s">
        <v>74</v>
      </c>
      <c r="D484" s="1" t="s">
        <v>74</v>
      </c>
      <c r="E484" s="1" t="s">
        <v>74</v>
      </c>
      <c r="F484" s="1" t="s">
        <v>5000</v>
      </c>
      <c r="G484" s="1" t="s">
        <v>74</v>
      </c>
      <c r="H484" s="1" t="s">
        <v>74</v>
      </c>
      <c r="I484" s="1" t="s">
        <v>5001</v>
      </c>
      <c r="J484" s="1" t="s">
        <v>5002</v>
      </c>
      <c r="K484" s="1" t="s">
        <v>74</v>
      </c>
      <c r="L484" s="1" t="s">
        <v>74</v>
      </c>
      <c r="M484" s="1" t="s">
        <v>74</v>
      </c>
      <c r="N484" s="1" t="s">
        <v>74</v>
      </c>
      <c r="O484" s="1" t="s">
        <v>74</v>
      </c>
      <c r="P484" s="1" t="s">
        <v>74</v>
      </c>
      <c r="Q484" s="1" t="s">
        <v>74</v>
      </c>
      <c r="R484" s="1" t="s">
        <v>74</v>
      </c>
      <c r="S484" s="1" t="s">
        <v>74</v>
      </c>
      <c r="T484" s="1" t="s">
        <v>74</v>
      </c>
      <c r="U484" s="1" t="s">
        <v>74</v>
      </c>
      <c r="V484" s="1" t="s">
        <v>5003</v>
      </c>
      <c r="W484" s="1" t="s">
        <v>74</v>
      </c>
      <c r="X484" s="1" t="s">
        <v>74</v>
      </c>
      <c r="Y484" s="1" t="s">
        <v>74</v>
      </c>
      <c r="Z484" s="1" t="s">
        <v>74</v>
      </c>
      <c r="AA484" s="1" t="s">
        <v>5004</v>
      </c>
      <c r="AB484" s="1" t="s">
        <v>5005</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5006</v>
      </c>
      <c r="AP484" s="1" t="s">
        <v>5007</v>
      </c>
      <c r="AQ484" s="1" t="s">
        <v>74</v>
      </c>
      <c r="AR484" s="1" t="s">
        <v>74</v>
      </c>
      <c r="AS484" s="1" t="s">
        <v>74</v>
      </c>
      <c r="AT484" s="1" t="s">
        <v>282</v>
      </c>
      <c r="AU484" s="1">
        <v>2022.0</v>
      </c>
      <c r="AV484" s="1">
        <v>51.0</v>
      </c>
      <c r="AW484" s="1">
        <v>6.0</v>
      </c>
      <c r="AX484" s="1" t="s">
        <v>74</v>
      </c>
      <c r="AY484" s="1" t="s">
        <v>74</v>
      </c>
      <c r="AZ484" s="1" t="s">
        <v>74</v>
      </c>
      <c r="BA484" s="1" t="s">
        <v>74</v>
      </c>
      <c r="BB484" s="1">
        <v>2867.0</v>
      </c>
      <c r="BC484" s="1">
        <v>2877.0</v>
      </c>
      <c r="BD484" s="1" t="s">
        <v>74</v>
      </c>
      <c r="BE484" s="1" t="s">
        <v>5008</v>
      </c>
      <c r="BF484" s="2" t="str">
        <f>HYPERLINK("http://dx.doi.org/10.1007/s10508-022-02341-4","http://dx.doi.org/10.1007/s10508-022-02341-4")</f>
        <v>http://dx.doi.org/10.1007/s10508-022-02341-4</v>
      </c>
      <c r="BG484" s="1" t="s">
        <v>74</v>
      </c>
      <c r="BH484" s="1" t="s">
        <v>4101</v>
      </c>
      <c r="BI484" s="1" t="s">
        <v>74</v>
      </c>
      <c r="BJ484" s="1" t="s">
        <v>74</v>
      </c>
      <c r="BK484" s="1" t="s">
        <v>74</v>
      </c>
      <c r="BL484" s="1" t="s">
        <v>74</v>
      </c>
      <c r="BM484" s="1" t="s">
        <v>74</v>
      </c>
      <c r="BN484" s="1">
        <v>3.5859261E7</v>
      </c>
      <c r="BO484" s="1" t="s">
        <v>74</v>
      </c>
      <c r="BP484" s="1" t="s">
        <v>74</v>
      </c>
      <c r="BQ484" s="1" t="s">
        <v>74</v>
      </c>
      <c r="BR484" s="1" t="s">
        <v>74</v>
      </c>
      <c r="BS484" s="1" t="s">
        <v>5009</v>
      </c>
      <c r="BT484" s="1" t="str">
        <f>HYPERLINK("https%3A%2F%2Fwww.webofscience.com%2Fwos%2Fwoscc%2Ffull-record%2FWOS:000827914700002","View Full Record in Web of Science")</f>
        <v>View Full Record in Web of Science</v>
      </c>
    </row>
    <row r="485" ht="12.75" customHeight="1">
      <c r="A485" s="1" t="s">
        <v>72</v>
      </c>
      <c r="B485" s="1" t="s">
        <v>5010</v>
      </c>
      <c r="C485" s="1" t="s">
        <v>74</v>
      </c>
      <c r="D485" s="1" t="s">
        <v>74</v>
      </c>
      <c r="E485" s="1" t="s">
        <v>74</v>
      </c>
      <c r="F485" s="1" t="s">
        <v>5011</v>
      </c>
      <c r="G485" s="1" t="s">
        <v>74</v>
      </c>
      <c r="H485" s="1" t="s">
        <v>74</v>
      </c>
      <c r="I485" s="1" t="s">
        <v>5012</v>
      </c>
      <c r="J485" s="1" t="s">
        <v>5013</v>
      </c>
      <c r="K485" s="1" t="s">
        <v>74</v>
      </c>
      <c r="L485" s="1" t="s">
        <v>74</v>
      </c>
      <c r="M485" s="1" t="s">
        <v>74</v>
      </c>
      <c r="N485" s="1" t="s">
        <v>74</v>
      </c>
      <c r="O485" s="1" t="s">
        <v>74</v>
      </c>
      <c r="P485" s="1" t="s">
        <v>74</v>
      </c>
      <c r="Q485" s="1" t="s">
        <v>74</v>
      </c>
      <c r="R485" s="1" t="s">
        <v>74</v>
      </c>
      <c r="S485" s="1" t="s">
        <v>74</v>
      </c>
      <c r="T485" s="1" t="s">
        <v>74</v>
      </c>
      <c r="U485" s="1" t="s">
        <v>74</v>
      </c>
      <c r="V485" s="1" t="s">
        <v>5014</v>
      </c>
      <c r="W485" s="1" t="s">
        <v>74</v>
      </c>
      <c r="X485" s="1" t="s">
        <v>74</v>
      </c>
      <c r="Y485" s="1" t="s">
        <v>74</v>
      </c>
      <c r="Z485" s="1" t="s">
        <v>74</v>
      </c>
      <c r="AA485" s="1" t="s">
        <v>5015</v>
      </c>
      <c r="AB485" s="1" t="s">
        <v>5016</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5017</v>
      </c>
      <c r="AP485" s="1" t="s">
        <v>5018</v>
      </c>
      <c r="AQ485" s="1" t="s">
        <v>74</v>
      </c>
      <c r="AR485" s="1" t="s">
        <v>74</v>
      </c>
      <c r="AS485" s="1" t="s">
        <v>74</v>
      </c>
      <c r="AT485" s="1" t="s">
        <v>5019</v>
      </c>
      <c r="AU485" s="1">
        <v>2021.0</v>
      </c>
      <c r="AV485" s="1">
        <v>2021.0</v>
      </c>
      <c r="AW485" s="1" t="s">
        <v>74</v>
      </c>
      <c r="AX485" s="1" t="s">
        <v>74</v>
      </c>
      <c r="AY485" s="1" t="s">
        <v>74</v>
      </c>
      <c r="AZ485" s="1" t="s">
        <v>74</v>
      </c>
      <c r="BA485" s="1" t="s">
        <v>74</v>
      </c>
      <c r="BB485" s="1" t="s">
        <v>74</v>
      </c>
      <c r="BC485" s="1" t="s">
        <v>74</v>
      </c>
      <c r="BD485" s="1">
        <v>6664577.0</v>
      </c>
      <c r="BE485" s="1" t="s">
        <v>5020</v>
      </c>
      <c r="BF485" s="2" t="str">
        <f>HYPERLINK("http://dx.doi.org/10.1155/2021/6664577","http://dx.doi.org/10.1155/2021/6664577")</f>
        <v>http://dx.doi.org/10.1155/2021/6664577</v>
      </c>
      <c r="BG485" s="1" t="s">
        <v>74</v>
      </c>
      <c r="BH485" s="1" t="s">
        <v>74</v>
      </c>
      <c r="BI485" s="1" t="s">
        <v>74</v>
      </c>
      <c r="BJ485" s="1" t="s">
        <v>74</v>
      </c>
      <c r="BK485" s="1" t="s">
        <v>74</v>
      </c>
      <c r="BL485" s="1" t="s">
        <v>74</v>
      </c>
      <c r="BM485" s="1" t="s">
        <v>74</v>
      </c>
      <c r="BN485" s="1" t="s">
        <v>74</v>
      </c>
      <c r="BO485" s="1" t="s">
        <v>74</v>
      </c>
      <c r="BP485" s="1" t="s">
        <v>74</v>
      </c>
      <c r="BQ485" s="1" t="s">
        <v>74</v>
      </c>
      <c r="BR485" s="1" t="s">
        <v>74</v>
      </c>
      <c r="BS485" s="1" t="s">
        <v>5021</v>
      </c>
      <c r="BT485" s="1" t="str">
        <f>HYPERLINK("https%3A%2F%2Fwww.webofscience.com%2Fwos%2Fwoscc%2Ffull-record%2FWOS:000637367800001","View Full Record in Web of Science")</f>
        <v>View Full Record in Web of Science</v>
      </c>
    </row>
    <row r="486" ht="12.75" customHeight="1">
      <c r="A486" s="1" t="s">
        <v>748</v>
      </c>
      <c r="B486" s="1" t="s">
        <v>5022</v>
      </c>
      <c r="C486" s="1" t="s">
        <v>74</v>
      </c>
      <c r="D486" s="1" t="s">
        <v>5023</v>
      </c>
      <c r="E486" s="1" t="s">
        <v>74</v>
      </c>
      <c r="F486" s="1" t="s">
        <v>5024</v>
      </c>
      <c r="G486" s="1" t="s">
        <v>74</v>
      </c>
      <c r="H486" s="1" t="s">
        <v>74</v>
      </c>
      <c r="I486" s="1" t="s">
        <v>5025</v>
      </c>
      <c r="J486" s="1" t="s">
        <v>5026</v>
      </c>
      <c r="K486" s="1" t="s">
        <v>74</v>
      </c>
      <c r="L486" s="1" t="s">
        <v>74</v>
      </c>
      <c r="M486" s="1" t="s">
        <v>74</v>
      </c>
      <c r="N486" s="1" t="s">
        <v>74</v>
      </c>
      <c r="O486" s="1" t="s">
        <v>74</v>
      </c>
      <c r="P486" s="1" t="s">
        <v>74</v>
      </c>
      <c r="Q486" s="1" t="s">
        <v>74</v>
      </c>
      <c r="R486" s="1" t="s">
        <v>74</v>
      </c>
      <c r="S486" s="1" t="s">
        <v>74</v>
      </c>
      <c r="T486" s="1" t="s">
        <v>74</v>
      </c>
      <c r="U486" s="1" t="s">
        <v>74</v>
      </c>
      <c r="V486" s="1" t="s">
        <v>5027</v>
      </c>
      <c r="W486" s="1" t="s">
        <v>74</v>
      </c>
      <c r="X486" s="1" t="s">
        <v>74</v>
      </c>
      <c r="Y486" s="1" t="s">
        <v>74</v>
      </c>
      <c r="Z486" s="1" t="s">
        <v>74</v>
      </c>
      <c r="AA486" s="1" t="s">
        <v>5028</v>
      </c>
      <c r="AB486" s="1" t="s">
        <v>74</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74</v>
      </c>
      <c r="AP486" s="1" t="s">
        <v>74</v>
      </c>
      <c r="AQ486" s="1" t="s">
        <v>5029</v>
      </c>
      <c r="AR486" s="1" t="s">
        <v>74</v>
      </c>
      <c r="AS486" s="1" t="s">
        <v>74</v>
      </c>
      <c r="AT486" s="1" t="s">
        <v>74</v>
      </c>
      <c r="AU486" s="1">
        <v>2021.0</v>
      </c>
      <c r="AV486" s="1" t="s">
        <v>74</v>
      </c>
      <c r="AW486" s="1" t="s">
        <v>74</v>
      </c>
      <c r="AX486" s="1" t="s">
        <v>74</v>
      </c>
      <c r="AY486" s="1" t="s">
        <v>74</v>
      </c>
      <c r="AZ486" s="1" t="s">
        <v>74</v>
      </c>
      <c r="BA486" s="1" t="s">
        <v>74</v>
      </c>
      <c r="BB486" s="1">
        <v>77.0</v>
      </c>
      <c r="BC486" s="1">
        <v>101.0</v>
      </c>
      <c r="BD486" s="1" t="s">
        <v>74</v>
      </c>
      <c r="BE486" s="1" t="s">
        <v>74</v>
      </c>
      <c r="BF486" s="1" t="s">
        <v>74</v>
      </c>
      <c r="BG486" s="1" t="s">
        <v>5030</v>
      </c>
      <c r="BH486" s="1" t="s">
        <v>74</v>
      </c>
      <c r="BI486" s="1" t="s">
        <v>74</v>
      </c>
      <c r="BJ486" s="1" t="s">
        <v>74</v>
      </c>
      <c r="BK486" s="1" t="s">
        <v>74</v>
      </c>
      <c r="BL486" s="1" t="s">
        <v>74</v>
      </c>
      <c r="BM486" s="1" t="s">
        <v>74</v>
      </c>
      <c r="BN486" s="1" t="s">
        <v>74</v>
      </c>
      <c r="BO486" s="1" t="s">
        <v>74</v>
      </c>
      <c r="BP486" s="1" t="s">
        <v>74</v>
      </c>
      <c r="BQ486" s="1" t="s">
        <v>74</v>
      </c>
      <c r="BR486" s="1" t="s">
        <v>74</v>
      </c>
      <c r="BS486" s="1" t="s">
        <v>5031</v>
      </c>
      <c r="BT486" s="1" t="str">
        <f>HYPERLINK("https%3A%2F%2Fwww.webofscience.com%2Fwos%2Fwoscc%2Ffull-record%2FWOS:000762368600004","View Full Record in Web of Science")</f>
        <v>View Full Record in Web of Science</v>
      </c>
    </row>
    <row r="487" ht="12.75" customHeight="1">
      <c r="A487" s="1" t="s">
        <v>72</v>
      </c>
      <c r="B487" s="1" t="s">
        <v>5032</v>
      </c>
      <c r="C487" s="1" t="s">
        <v>74</v>
      </c>
      <c r="D487" s="1" t="s">
        <v>74</v>
      </c>
      <c r="E487" s="1" t="s">
        <v>74</v>
      </c>
      <c r="F487" s="1" t="s">
        <v>5033</v>
      </c>
      <c r="G487" s="1" t="s">
        <v>74</v>
      </c>
      <c r="H487" s="1" t="s">
        <v>74</v>
      </c>
      <c r="I487" s="1" t="s">
        <v>5034</v>
      </c>
      <c r="J487" s="1" t="s">
        <v>3473</v>
      </c>
      <c r="K487" s="1" t="s">
        <v>74</v>
      </c>
      <c r="L487" s="1" t="s">
        <v>74</v>
      </c>
      <c r="M487" s="1" t="s">
        <v>74</v>
      </c>
      <c r="N487" s="1" t="s">
        <v>74</v>
      </c>
      <c r="O487" s="1" t="s">
        <v>74</v>
      </c>
      <c r="P487" s="1" t="s">
        <v>74</v>
      </c>
      <c r="Q487" s="1" t="s">
        <v>74</v>
      </c>
      <c r="R487" s="1" t="s">
        <v>74</v>
      </c>
      <c r="S487" s="1" t="s">
        <v>74</v>
      </c>
      <c r="T487" s="1" t="s">
        <v>74</v>
      </c>
      <c r="U487" s="1" t="s">
        <v>74</v>
      </c>
      <c r="V487" s="1" t="s">
        <v>5035</v>
      </c>
      <c r="W487" s="1" t="s">
        <v>74</v>
      </c>
      <c r="X487" s="1" t="s">
        <v>74</v>
      </c>
      <c r="Y487" s="1" t="s">
        <v>74</v>
      </c>
      <c r="Z487" s="1" t="s">
        <v>74</v>
      </c>
      <c r="AA487" s="1" t="s">
        <v>5036</v>
      </c>
      <c r="AB487" s="1" t="s">
        <v>5037</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3477</v>
      </c>
      <c r="AP487" s="1" t="s">
        <v>3478</v>
      </c>
      <c r="AQ487" s="1" t="s">
        <v>74</v>
      </c>
      <c r="AR487" s="1" t="s">
        <v>74</v>
      </c>
      <c r="AS487" s="1" t="s">
        <v>74</v>
      </c>
      <c r="AT487" s="1" t="s">
        <v>374</v>
      </c>
      <c r="AU487" s="1">
        <v>2020.0</v>
      </c>
      <c r="AV487" s="1">
        <v>125.0</v>
      </c>
      <c r="AW487" s="1">
        <v>11.0</v>
      </c>
      <c r="AX487" s="1" t="s">
        <v>74</v>
      </c>
      <c r="AY487" s="1" t="s">
        <v>74</v>
      </c>
      <c r="AZ487" s="1" t="s">
        <v>74</v>
      </c>
      <c r="BA487" s="1" t="s">
        <v>74</v>
      </c>
      <c r="BB487" s="1" t="s">
        <v>74</v>
      </c>
      <c r="BC487" s="1" t="s">
        <v>74</v>
      </c>
      <c r="BD487" s="1" t="s">
        <v>5038</v>
      </c>
      <c r="BE487" s="1" t="s">
        <v>5039</v>
      </c>
      <c r="BF487" s="2" t="str">
        <f>HYPERLINK("http://dx.doi.org/10.1029/2020JA028625","http://dx.doi.org/10.1029/2020JA028625")</f>
        <v>http://dx.doi.org/10.1029/2020JA028625</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5040</v>
      </c>
      <c r="BT487" s="1" t="str">
        <f>HYPERLINK("https%3A%2F%2Fwww.webofscience.com%2Fwos%2Fwoscc%2Ffull-record%2FWOS:000595859400005","View Full Record in Web of Science")</f>
        <v>View Full Record in Web of Science</v>
      </c>
    </row>
    <row r="488" ht="12.75" customHeight="1">
      <c r="A488" s="1" t="s">
        <v>72</v>
      </c>
      <c r="B488" s="1" t="s">
        <v>5041</v>
      </c>
      <c r="C488" s="1" t="s">
        <v>74</v>
      </c>
      <c r="D488" s="1" t="s">
        <v>74</v>
      </c>
      <c r="E488" s="1" t="s">
        <v>74</v>
      </c>
      <c r="F488" s="1" t="s">
        <v>5042</v>
      </c>
      <c r="G488" s="1" t="s">
        <v>74</v>
      </c>
      <c r="H488" s="1" t="s">
        <v>74</v>
      </c>
      <c r="I488" s="1" t="s">
        <v>5043</v>
      </c>
      <c r="J488" s="1" t="s">
        <v>5044</v>
      </c>
      <c r="K488" s="1" t="s">
        <v>74</v>
      </c>
      <c r="L488" s="1" t="s">
        <v>74</v>
      </c>
      <c r="M488" s="1" t="s">
        <v>74</v>
      </c>
      <c r="N488" s="1" t="s">
        <v>74</v>
      </c>
      <c r="O488" s="1" t="s">
        <v>74</v>
      </c>
      <c r="P488" s="1" t="s">
        <v>74</v>
      </c>
      <c r="Q488" s="1" t="s">
        <v>74</v>
      </c>
      <c r="R488" s="1" t="s">
        <v>74</v>
      </c>
      <c r="S488" s="1" t="s">
        <v>74</v>
      </c>
      <c r="T488" s="1" t="s">
        <v>74</v>
      </c>
      <c r="U488" s="1" t="s">
        <v>74</v>
      </c>
      <c r="V488" s="1" t="s">
        <v>5045</v>
      </c>
      <c r="W488" s="1" t="s">
        <v>74</v>
      </c>
      <c r="X488" s="1" t="s">
        <v>74</v>
      </c>
      <c r="Y488" s="1" t="s">
        <v>74</v>
      </c>
      <c r="Z488" s="1" t="s">
        <v>74</v>
      </c>
      <c r="AA488" s="1" t="s">
        <v>5046</v>
      </c>
      <c r="AB488" s="1" t="s">
        <v>5047</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5048</v>
      </c>
      <c r="AP488" s="1" t="s">
        <v>5049</v>
      </c>
      <c r="AQ488" s="1" t="s">
        <v>74</v>
      </c>
      <c r="AR488" s="1" t="s">
        <v>74</v>
      </c>
      <c r="AS488" s="1" t="s">
        <v>74</v>
      </c>
      <c r="AT488" s="1" t="s">
        <v>5050</v>
      </c>
      <c r="AU488" s="1">
        <v>2020.0</v>
      </c>
      <c r="AV488" s="1">
        <v>2020.0</v>
      </c>
      <c r="AW488" s="1" t="s">
        <v>74</v>
      </c>
      <c r="AX488" s="1" t="s">
        <v>74</v>
      </c>
      <c r="AY488" s="1" t="s">
        <v>74</v>
      </c>
      <c r="AZ488" s="1" t="s">
        <v>74</v>
      </c>
      <c r="BA488" s="1" t="s">
        <v>74</v>
      </c>
      <c r="BB488" s="1" t="s">
        <v>74</v>
      </c>
      <c r="BC488" s="1" t="s">
        <v>74</v>
      </c>
      <c r="BD488" s="1">
        <v>1617805.0</v>
      </c>
      <c r="BE488" s="1" t="s">
        <v>5051</v>
      </c>
      <c r="BF488" s="2" t="str">
        <f>HYPERLINK("http://dx.doi.org/10.1155/2020/1617805","http://dx.doi.org/10.1155/2020/1617805")</f>
        <v>http://dx.doi.org/10.1155/2020/1617805</v>
      </c>
      <c r="BG488" s="1" t="s">
        <v>74</v>
      </c>
      <c r="BH488" s="1" t="s">
        <v>74</v>
      </c>
      <c r="BI488" s="1" t="s">
        <v>74</v>
      </c>
      <c r="BJ488" s="1" t="s">
        <v>74</v>
      </c>
      <c r="BK488" s="1" t="s">
        <v>74</v>
      </c>
      <c r="BL488" s="1" t="s">
        <v>74</v>
      </c>
      <c r="BM488" s="1" t="s">
        <v>74</v>
      </c>
      <c r="BN488" s="1">
        <v>3.3149804E7</v>
      </c>
      <c r="BO488" s="1" t="s">
        <v>74</v>
      </c>
      <c r="BP488" s="1" t="s">
        <v>74</v>
      </c>
      <c r="BQ488" s="1" t="s">
        <v>74</v>
      </c>
      <c r="BR488" s="1" t="s">
        <v>74</v>
      </c>
      <c r="BS488" s="1" t="s">
        <v>5052</v>
      </c>
      <c r="BT488" s="1" t="str">
        <f>HYPERLINK("https%3A%2F%2Fwww.webofscience.com%2Fwos%2Fwoscc%2Ffull-record%2FWOS:000591559800005","View Full Record in Web of Science")</f>
        <v>View Full Record in Web of Science</v>
      </c>
    </row>
    <row r="489" ht="12.75" customHeight="1">
      <c r="A489" s="1" t="s">
        <v>72</v>
      </c>
      <c r="B489" s="1" t="s">
        <v>5053</v>
      </c>
      <c r="C489" s="1" t="s">
        <v>74</v>
      </c>
      <c r="D489" s="1" t="s">
        <v>74</v>
      </c>
      <c r="E489" s="1" t="s">
        <v>74</v>
      </c>
      <c r="F489" s="1" t="s">
        <v>5054</v>
      </c>
      <c r="G489" s="1" t="s">
        <v>74</v>
      </c>
      <c r="H489" s="1" t="s">
        <v>74</v>
      </c>
      <c r="I489" s="1" t="s">
        <v>5055</v>
      </c>
      <c r="J489" s="1" t="s">
        <v>5056</v>
      </c>
      <c r="K489" s="1" t="s">
        <v>74</v>
      </c>
      <c r="L489" s="1" t="s">
        <v>74</v>
      </c>
      <c r="M489" s="1" t="s">
        <v>74</v>
      </c>
      <c r="N489" s="1" t="s">
        <v>74</v>
      </c>
      <c r="O489" s="1" t="s">
        <v>74</v>
      </c>
      <c r="P489" s="1" t="s">
        <v>74</v>
      </c>
      <c r="Q489" s="1" t="s">
        <v>74</v>
      </c>
      <c r="R489" s="1" t="s">
        <v>74</v>
      </c>
      <c r="S489" s="1" t="s">
        <v>74</v>
      </c>
      <c r="T489" s="1" t="s">
        <v>74</v>
      </c>
      <c r="U489" s="1" t="s">
        <v>74</v>
      </c>
      <c r="V489" s="1" t="s">
        <v>5057</v>
      </c>
      <c r="W489" s="1" t="s">
        <v>74</v>
      </c>
      <c r="X489" s="1" t="s">
        <v>74</v>
      </c>
      <c r="Y489" s="1" t="s">
        <v>74</v>
      </c>
      <c r="Z489" s="1" t="s">
        <v>74</v>
      </c>
      <c r="AA489" s="1" t="s">
        <v>5058</v>
      </c>
      <c r="AB489" s="1" t="s">
        <v>5059</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5060</v>
      </c>
      <c r="AP489" s="1" t="s">
        <v>5061</v>
      </c>
      <c r="AQ489" s="1" t="s">
        <v>74</v>
      </c>
      <c r="AR489" s="1" t="s">
        <v>74</v>
      </c>
      <c r="AS489" s="1" t="s">
        <v>74</v>
      </c>
      <c r="AT489" s="1" t="s">
        <v>4968</v>
      </c>
      <c r="AU489" s="1">
        <v>2020.0</v>
      </c>
      <c r="AV489" s="1">
        <v>152.0</v>
      </c>
      <c r="AW489" s="1">
        <v>23.0</v>
      </c>
      <c r="AX489" s="1" t="s">
        <v>74</v>
      </c>
      <c r="AY489" s="1" t="s">
        <v>74</v>
      </c>
      <c r="AZ489" s="1" t="s">
        <v>74</v>
      </c>
      <c r="BA489" s="1" t="s">
        <v>74</v>
      </c>
      <c r="BB489" s="1" t="s">
        <v>74</v>
      </c>
      <c r="BC489" s="1" t="s">
        <v>74</v>
      </c>
      <c r="BD489" s="1" t="s">
        <v>74</v>
      </c>
      <c r="BE489" s="1" t="s">
        <v>5062</v>
      </c>
      <c r="BF489" s="2" t="str">
        <f>HYPERLINK("http://dx.doi.org/10.1063/5.0009869","http://dx.doi.org/10.1063/5.0009869")</f>
        <v>http://dx.doi.org/10.1063/5.0009869</v>
      </c>
      <c r="BG489" s="1" t="s">
        <v>74</v>
      </c>
      <c r="BH489" s="1" t="s">
        <v>74</v>
      </c>
      <c r="BI489" s="1" t="s">
        <v>74</v>
      </c>
      <c r="BJ489" s="1" t="s">
        <v>74</v>
      </c>
      <c r="BK489" s="1" t="s">
        <v>74</v>
      </c>
      <c r="BL489" s="1" t="s">
        <v>74</v>
      </c>
      <c r="BM489" s="1" t="s">
        <v>74</v>
      </c>
      <c r="BN489" s="1">
        <v>3.257105E7</v>
      </c>
      <c r="BO489" s="1" t="s">
        <v>74</v>
      </c>
      <c r="BP489" s="1" t="s">
        <v>74</v>
      </c>
      <c r="BQ489" s="1" t="s">
        <v>74</v>
      </c>
      <c r="BR489" s="1" t="s">
        <v>74</v>
      </c>
      <c r="BS489" s="1" t="s">
        <v>5063</v>
      </c>
      <c r="BT489" s="1" t="str">
        <f>HYPERLINK("https%3A%2F%2Fwww.webofscience.com%2Fwos%2Fwoscc%2Ffull-record%2FWOS:000542991800003","View Full Record in Web of Science")</f>
        <v>View Full Record in Web of Science</v>
      </c>
    </row>
    <row r="490" ht="12.75" customHeight="1">
      <c r="A490" s="1" t="s">
        <v>72</v>
      </c>
      <c r="B490" s="1" t="s">
        <v>5064</v>
      </c>
      <c r="C490" s="1" t="s">
        <v>74</v>
      </c>
      <c r="D490" s="1" t="s">
        <v>74</v>
      </c>
      <c r="E490" s="1" t="s">
        <v>74</v>
      </c>
      <c r="F490" s="1" t="s">
        <v>5065</v>
      </c>
      <c r="G490" s="1" t="s">
        <v>74</v>
      </c>
      <c r="H490" s="1" t="s">
        <v>74</v>
      </c>
      <c r="I490" s="1" t="s">
        <v>5066</v>
      </c>
      <c r="J490" s="1" t="s">
        <v>2402</v>
      </c>
      <c r="K490" s="1" t="s">
        <v>74</v>
      </c>
      <c r="L490" s="1" t="s">
        <v>74</v>
      </c>
      <c r="M490" s="1" t="s">
        <v>74</v>
      </c>
      <c r="N490" s="1" t="s">
        <v>74</v>
      </c>
      <c r="O490" s="1" t="s">
        <v>74</v>
      </c>
      <c r="P490" s="1" t="s">
        <v>74</v>
      </c>
      <c r="Q490" s="1" t="s">
        <v>74</v>
      </c>
      <c r="R490" s="1" t="s">
        <v>74</v>
      </c>
      <c r="S490" s="1" t="s">
        <v>74</v>
      </c>
      <c r="T490" s="1" t="s">
        <v>74</v>
      </c>
      <c r="U490" s="1" t="s">
        <v>74</v>
      </c>
      <c r="V490" s="1" t="s">
        <v>5067</v>
      </c>
      <c r="W490" s="1" t="s">
        <v>74</v>
      </c>
      <c r="X490" s="1" t="s">
        <v>74</v>
      </c>
      <c r="Y490" s="1" t="s">
        <v>74</v>
      </c>
      <c r="Z490" s="1" t="s">
        <v>74</v>
      </c>
      <c r="AA490" s="1" t="s">
        <v>5068</v>
      </c>
      <c r="AB490" s="1" t="s">
        <v>5069</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74</v>
      </c>
      <c r="AP490" s="1" t="s">
        <v>2407</v>
      </c>
      <c r="AQ490" s="1" t="s">
        <v>74</v>
      </c>
      <c r="AR490" s="1" t="s">
        <v>74</v>
      </c>
      <c r="AS490" s="1" t="s">
        <v>74</v>
      </c>
      <c r="AT490" s="1" t="s">
        <v>94</v>
      </c>
      <c r="AU490" s="1">
        <v>2020.0</v>
      </c>
      <c r="AV490" s="1">
        <v>21.0</v>
      </c>
      <c r="AW490" s="1">
        <v>12.0</v>
      </c>
      <c r="AX490" s="1" t="s">
        <v>74</v>
      </c>
      <c r="AY490" s="1" t="s">
        <v>74</v>
      </c>
      <c r="AZ490" s="1" t="s">
        <v>74</v>
      </c>
      <c r="BA490" s="1" t="s">
        <v>74</v>
      </c>
      <c r="BB490" s="1" t="s">
        <v>74</v>
      </c>
      <c r="BC490" s="1" t="s">
        <v>74</v>
      </c>
      <c r="BD490" s="1">
        <v>4420.0</v>
      </c>
      <c r="BE490" s="1" t="s">
        <v>5070</v>
      </c>
      <c r="BF490" s="2" t="str">
        <f>HYPERLINK("http://dx.doi.org/10.3390/ijms21124420","http://dx.doi.org/10.3390/ijms21124420")</f>
        <v>http://dx.doi.org/10.3390/ijms21124420</v>
      </c>
      <c r="BG490" s="1" t="s">
        <v>74</v>
      </c>
      <c r="BH490" s="1" t="s">
        <v>74</v>
      </c>
      <c r="BI490" s="1" t="s">
        <v>74</v>
      </c>
      <c r="BJ490" s="1" t="s">
        <v>74</v>
      </c>
      <c r="BK490" s="1" t="s">
        <v>74</v>
      </c>
      <c r="BL490" s="1" t="s">
        <v>74</v>
      </c>
      <c r="BM490" s="1" t="s">
        <v>74</v>
      </c>
      <c r="BN490" s="1">
        <v>3.2580281E7</v>
      </c>
      <c r="BO490" s="1" t="s">
        <v>74</v>
      </c>
      <c r="BP490" s="1" t="s">
        <v>74</v>
      </c>
      <c r="BQ490" s="1" t="s">
        <v>74</v>
      </c>
      <c r="BR490" s="1" t="s">
        <v>74</v>
      </c>
      <c r="BS490" s="1" t="s">
        <v>5071</v>
      </c>
      <c r="BT490" s="1" t="str">
        <f>HYPERLINK("https%3A%2F%2Fwww.webofscience.com%2Fwos%2Fwoscc%2Ffull-record%2FWOS:000549484500001","View Full Record in Web of Science")</f>
        <v>View Full Record in Web of Science</v>
      </c>
    </row>
    <row r="491" ht="12.75" customHeight="1">
      <c r="A491" s="1" t="s">
        <v>72</v>
      </c>
      <c r="B491" s="1" t="s">
        <v>5072</v>
      </c>
      <c r="C491" s="1" t="s">
        <v>74</v>
      </c>
      <c r="D491" s="1" t="s">
        <v>74</v>
      </c>
      <c r="E491" s="1" t="s">
        <v>74</v>
      </c>
      <c r="F491" s="1" t="s">
        <v>5073</v>
      </c>
      <c r="G491" s="1" t="s">
        <v>74</v>
      </c>
      <c r="H491" s="1" t="s">
        <v>74</v>
      </c>
      <c r="I491" s="1" t="s">
        <v>5074</v>
      </c>
      <c r="J491" s="1" t="s">
        <v>2402</v>
      </c>
      <c r="K491" s="1" t="s">
        <v>74</v>
      </c>
      <c r="L491" s="1" t="s">
        <v>74</v>
      </c>
      <c r="M491" s="1" t="s">
        <v>74</v>
      </c>
      <c r="N491" s="1" t="s">
        <v>74</v>
      </c>
      <c r="O491" s="1" t="s">
        <v>74</v>
      </c>
      <c r="P491" s="1" t="s">
        <v>74</v>
      </c>
      <c r="Q491" s="1" t="s">
        <v>74</v>
      </c>
      <c r="R491" s="1" t="s">
        <v>74</v>
      </c>
      <c r="S491" s="1" t="s">
        <v>74</v>
      </c>
      <c r="T491" s="1" t="s">
        <v>74</v>
      </c>
      <c r="U491" s="1" t="s">
        <v>74</v>
      </c>
      <c r="V491" s="1" t="s">
        <v>5075</v>
      </c>
      <c r="W491" s="1" t="s">
        <v>74</v>
      </c>
      <c r="X491" s="1" t="s">
        <v>74</v>
      </c>
      <c r="Y491" s="1" t="s">
        <v>74</v>
      </c>
      <c r="Z491" s="1" t="s">
        <v>74</v>
      </c>
      <c r="AA491" s="1" t="s">
        <v>4143</v>
      </c>
      <c r="AB491" s="1" t="s">
        <v>5076</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74</v>
      </c>
      <c r="AP491" s="1" t="s">
        <v>2407</v>
      </c>
      <c r="AQ491" s="1" t="s">
        <v>74</v>
      </c>
      <c r="AR491" s="1" t="s">
        <v>74</v>
      </c>
      <c r="AS491" s="1" t="s">
        <v>74</v>
      </c>
      <c r="AT491" s="1" t="s">
        <v>294</v>
      </c>
      <c r="AU491" s="1">
        <v>2020.0</v>
      </c>
      <c r="AV491" s="1">
        <v>21.0</v>
      </c>
      <c r="AW491" s="1">
        <v>3.0</v>
      </c>
      <c r="AX491" s="1" t="s">
        <v>74</v>
      </c>
      <c r="AY491" s="1" t="s">
        <v>74</v>
      </c>
      <c r="AZ491" s="1" t="s">
        <v>74</v>
      </c>
      <c r="BA491" s="1" t="s">
        <v>74</v>
      </c>
      <c r="BB491" s="1" t="s">
        <v>74</v>
      </c>
      <c r="BC491" s="1" t="s">
        <v>74</v>
      </c>
      <c r="BD491" s="1">
        <v>1167.0</v>
      </c>
      <c r="BE491" s="1" t="s">
        <v>5077</v>
      </c>
      <c r="BF491" s="2" t="str">
        <f>HYPERLINK("http://dx.doi.org/10.3390/ijms21031167","http://dx.doi.org/10.3390/ijms21031167")</f>
        <v>http://dx.doi.org/10.3390/ijms21031167</v>
      </c>
      <c r="BG491" s="1" t="s">
        <v>74</v>
      </c>
      <c r="BH491" s="1" t="s">
        <v>74</v>
      </c>
      <c r="BI491" s="1" t="s">
        <v>74</v>
      </c>
      <c r="BJ491" s="1" t="s">
        <v>74</v>
      </c>
      <c r="BK491" s="1" t="s">
        <v>74</v>
      </c>
      <c r="BL491" s="1" t="s">
        <v>74</v>
      </c>
      <c r="BM491" s="1" t="s">
        <v>74</v>
      </c>
      <c r="BN491" s="1">
        <v>3.2050585E7</v>
      </c>
      <c r="BO491" s="1" t="s">
        <v>74</v>
      </c>
      <c r="BP491" s="1" t="s">
        <v>74</v>
      </c>
      <c r="BQ491" s="1" t="s">
        <v>74</v>
      </c>
      <c r="BR491" s="1" t="s">
        <v>74</v>
      </c>
      <c r="BS491" s="1" t="s">
        <v>5078</v>
      </c>
      <c r="BT491" s="1" t="str">
        <f>HYPERLINK("https%3A%2F%2Fwww.webofscience.com%2Fwos%2Fwoscc%2Ffull-record%2FWOS:000522551608038","View Full Record in Web of Science")</f>
        <v>View Full Record in Web of Science</v>
      </c>
    </row>
    <row r="492" ht="12.75" customHeight="1">
      <c r="A492" s="1" t="s">
        <v>72</v>
      </c>
      <c r="B492" s="1" t="s">
        <v>5079</v>
      </c>
      <c r="C492" s="1" t="s">
        <v>74</v>
      </c>
      <c r="D492" s="1" t="s">
        <v>74</v>
      </c>
      <c r="E492" s="1" t="s">
        <v>74</v>
      </c>
      <c r="F492" s="1" t="s">
        <v>5080</v>
      </c>
      <c r="G492" s="1" t="s">
        <v>74</v>
      </c>
      <c r="H492" s="1" t="s">
        <v>74</v>
      </c>
      <c r="I492" s="1" t="s">
        <v>5081</v>
      </c>
      <c r="J492" s="1" t="s">
        <v>2083</v>
      </c>
      <c r="K492" s="1" t="s">
        <v>74</v>
      </c>
      <c r="L492" s="1" t="s">
        <v>74</v>
      </c>
      <c r="M492" s="1" t="s">
        <v>74</v>
      </c>
      <c r="N492" s="1" t="s">
        <v>74</v>
      </c>
      <c r="O492" s="1" t="s">
        <v>74</v>
      </c>
      <c r="P492" s="1" t="s">
        <v>74</v>
      </c>
      <c r="Q492" s="1" t="s">
        <v>74</v>
      </c>
      <c r="R492" s="1" t="s">
        <v>74</v>
      </c>
      <c r="S492" s="1" t="s">
        <v>74</v>
      </c>
      <c r="T492" s="1" t="s">
        <v>74</v>
      </c>
      <c r="U492" s="1" t="s">
        <v>74</v>
      </c>
      <c r="V492" s="1" t="s">
        <v>5082</v>
      </c>
      <c r="W492" s="1" t="s">
        <v>74</v>
      </c>
      <c r="X492" s="1" t="s">
        <v>74</v>
      </c>
      <c r="Y492" s="1" t="s">
        <v>74</v>
      </c>
      <c r="Z492" s="1" t="s">
        <v>74</v>
      </c>
      <c r="AA492" s="1" t="s">
        <v>5083</v>
      </c>
      <c r="AB492" s="1" t="s">
        <v>5084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2087</v>
      </c>
      <c r="AP492" s="1" t="s">
        <v>2088</v>
      </c>
      <c r="AQ492" s="1" t="s">
        <v>74</v>
      </c>
      <c r="AR492" s="1" t="s">
        <v>74</v>
      </c>
      <c r="AS492" s="1" t="s">
        <v>74</v>
      </c>
      <c r="AT492" s="1" t="s">
        <v>164</v>
      </c>
      <c r="AU492" s="1">
        <v>2019.0</v>
      </c>
      <c r="AV492" s="1">
        <v>37.0</v>
      </c>
      <c r="AW492" s="1">
        <v>4.0</v>
      </c>
      <c r="AX492" s="1" t="s">
        <v>74</v>
      </c>
      <c r="AY492" s="1" t="s">
        <v>74</v>
      </c>
      <c r="AZ492" s="1" t="s">
        <v>74</v>
      </c>
      <c r="BA492" s="1" t="s">
        <v>74</v>
      </c>
      <c r="BB492" s="1">
        <v>1557.0</v>
      </c>
      <c r="BC492" s="1">
        <v>1563.0</v>
      </c>
      <c r="BD492" s="1" t="s">
        <v>74</v>
      </c>
      <c r="BE492" s="1" t="s">
        <v>5085</v>
      </c>
      <c r="BF492" s="2" t="str">
        <f>HYPERLINK("http://dx.doi.org/10.4067/S0717-95022019000401557","http://dx.doi.org/10.4067/S0717-95022019000401557")</f>
        <v>http://dx.doi.org/10.4067/S0717-95022019000401557</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5086</v>
      </c>
      <c r="BT492" s="1" t="str">
        <f>HYPERLINK("https%3A%2F%2Fwww.webofscience.com%2Fwos%2Fwoscc%2Ffull-record%2FWOS:000485134100058","View Full Record in Web of Science")</f>
        <v>View Full Record in Web of Science</v>
      </c>
    </row>
    <row r="493" ht="12.75" customHeight="1">
      <c r="A493" s="1" t="s">
        <v>72</v>
      </c>
      <c r="B493" s="1" t="s">
        <v>5087</v>
      </c>
      <c r="C493" s="1" t="s">
        <v>74</v>
      </c>
      <c r="D493" s="1" t="s">
        <v>74</v>
      </c>
      <c r="E493" s="1" t="s">
        <v>74</v>
      </c>
      <c r="F493" s="1" t="s">
        <v>5088</v>
      </c>
      <c r="G493" s="1" t="s">
        <v>74</v>
      </c>
      <c r="H493" s="1" t="s">
        <v>74</v>
      </c>
      <c r="I493" s="1" t="s">
        <v>5089</v>
      </c>
      <c r="J493" s="1" t="s">
        <v>5090</v>
      </c>
      <c r="K493" s="1" t="s">
        <v>74</v>
      </c>
      <c r="L493" s="1" t="s">
        <v>74</v>
      </c>
      <c r="M493" s="1" t="s">
        <v>74</v>
      </c>
      <c r="N493" s="1" t="s">
        <v>74</v>
      </c>
      <c r="O493" s="1" t="s">
        <v>74</v>
      </c>
      <c r="P493" s="1" t="s">
        <v>74</v>
      </c>
      <c r="Q493" s="1" t="s">
        <v>74</v>
      </c>
      <c r="R493" s="1" t="s">
        <v>74</v>
      </c>
      <c r="S493" s="1" t="s">
        <v>74</v>
      </c>
      <c r="T493" s="1" t="s">
        <v>74</v>
      </c>
      <c r="U493" s="1" t="s">
        <v>74</v>
      </c>
      <c r="V493" s="1" t="s">
        <v>5091</v>
      </c>
      <c r="W493" s="1" t="s">
        <v>74</v>
      </c>
      <c r="X493" s="1" t="s">
        <v>74</v>
      </c>
      <c r="Y493" s="1" t="s">
        <v>74</v>
      </c>
      <c r="Z493" s="1" t="s">
        <v>74</v>
      </c>
      <c r="AA493" s="1" t="s">
        <v>5092</v>
      </c>
      <c r="AB493" s="1" t="s">
        <v>5093</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5094</v>
      </c>
      <c r="AP493" s="1" t="s">
        <v>5095</v>
      </c>
      <c r="AQ493" s="1" t="s">
        <v>74</v>
      </c>
      <c r="AR493" s="1" t="s">
        <v>74</v>
      </c>
      <c r="AS493" s="1" t="s">
        <v>74</v>
      </c>
      <c r="AT493" s="1" t="s">
        <v>164</v>
      </c>
      <c r="AU493" s="1">
        <v>2019.0</v>
      </c>
      <c r="AV493" s="1">
        <v>97.0</v>
      </c>
      <c r="AW493" s="1" t="s">
        <v>74</v>
      </c>
      <c r="AX493" s="1" t="s">
        <v>74</v>
      </c>
      <c r="AY493" s="1" t="s">
        <v>74</v>
      </c>
      <c r="AZ493" s="1" t="s">
        <v>74</v>
      </c>
      <c r="BA493" s="1" t="s">
        <v>74</v>
      </c>
      <c r="BB493" s="1" t="s">
        <v>74</v>
      </c>
      <c r="BC493" s="1" t="s">
        <v>74</v>
      </c>
      <c r="BD493" s="1">
        <v>105207.0</v>
      </c>
      <c r="BE493" s="1" t="s">
        <v>5096</v>
      </c>
      <c r="BF493" s="2" t="str">
        <f>HYPERLINK("http://dx.doi.org/10.1016/j.foodhyd.2019.105207","http://dx.doi.org/10.1016/j.foodhyd.2019.105207")</f>
        <v>http://dx.doi.org/10.1016/j.foodhyd.2019.105207</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5097</v>
      </c>
      <c r="BT493" s="1" t="str">
        <f>HYPERLINK("https%3A%2F%2Fwww.webofscience.com%2Fwos%2Fwoscc%2Ffull-record%2FWOS:000481572000038","View Full Record in Web of Science")</f>
        <v>View Full Record in Web of Science</v>
      </c>
    </row>
    <row r="494" ht="12.75" customHeight="1">
      <c r="A494" s="1" t="s">
        <v>207</v>
      </c>
      <c r="B494" s="1" t="s">
        <v>5098</v>
      </c>
      <c r="C494" s="1" t="s">
        <v>74</v>
      </c>
      <c r="D494" s="1" t="s">
        <v>209</v>
      </c>
      <c r="E494" s="1" t="s">
        <v>74</v>
      </c>
      <c r="F494" s="1" t="s">
        <v>5099</v>
      </c>
      <c r="G494" s="1" t="s">
        <v>74</v>
      </c>
      <c r="H494" s="1" t="s">
        <v>74</v>
      </c>
      <c r="I494" s="1" t="s">
        <v>5100</v>
      </c>
      <c r="J494" s="1" t="s">
        <v>212</v>
      </c>
      <c r="K494" s="1" t="s">
        <v>213</v>
      </c>
      <c r="L494" s="1" t="s">
        <v>74</v>
      </c>
      <c r="M494" s="1" t="s">
        <v>74</v>
      </c>
      <c r="N494" s="1" t="s">
        <v>74</v>
      </c>
      <c r="O494" s="1" t="s">
        <v>214</v>
      </c>
      <c r="P494" s="1" t="s">
        <v>215</v>
      </c>
      <c r="Q494" s="1" t="s">
        <v>216</v>
      </c>
      <c r="R494" s="1" t="s">
        <v>217</v>
      </c>
      <c r="S494" s="1" t="s">
        <v>74</v>
      </c>
      <c r="T494" s="1" t="s">
        <v>74</v>
      </c>
      <c r="U494" s="1" t="s">
        <v>74</v>
      </c>
      <c r="V494" s="1" t="s">
        <v>5101</v>
      </c>
      <c r="W494" s="1" t="s">
        <v>74</v>
      </c>
      <c r="X494" s="1" t="s">
        <v>74</v>
      </c>
      <c r="Y494" s="1" t="s">
        <v>74</v>
      </c>
      <c r="Z494" s="1" t="s">
        <v>74</v>
      </c>
      <c r="AA494" s="1" t="s">
        <v>5102</v>
      </c>
      <c r="AB494" s="1" t="s">
        <v>5103</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220</v>
      </c>
      <c r="AP494" s="1" t="s">
        <v>74</v>
      </c>
      <c r="AQ494" s="1" t="s">
        <v>74</v>
      </c>
      <c r="AR494" s="1" t="s">
        <v>74</v>
      </c>
      <c r="AS494" s="1" t="s">
        <v>74</v>
      </c>
      <c r="AT494" s="1" t="s">
        <v>74</v>
      </c>
      <c r="AU494" s="1">
        <v>2019.0</v>
      </c>
      <c r="AV494" s="1">
        <v>162.0</v>
      </c>
      <c r="AW494" s="1" t="s">
        <v>74</v>
      </c>
      <c r="AX494" s="1" t="s">
        <v>74</v>
      </c>
      <c r="AY494" s="1" t="s">
        <v>74</v>
      </c>
      <c r="AZ494" s="1" t="s">
        <v>74</v>
      </c>
      <c r="BA494" s="1" t="s">
        <v>74</v>
      </c>
      <c r="BB494" s="1">
        <v>982.0</v>
      </c>
      <c r="BC494" s="1">
        <v>989.0</v>
      </c>
      <c r="BD494" s="1" t="s">
        <v>74</v>
      </c>
      <c r="BE494" s="1" t="s">
        <v>5104</v>
      </c>
      <c r="BF494" s="2" t="str">
        <f>HYPERLINK("http://dx.doi.org/10.1016/j.procs.2019.12.076","http://dx.doi.org/10.1016/j.procs.2019.12.076")</f>
        <v>http://dx.doi.org/10.1016/j.procs.2019.12.076</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5105</v>
      </c>
      <c r="BT494" s="1" t="str">
        <f>HYPERLINK("https%3A%2F%2Fwww.webofscience.com%2Fwos%2Fwoscc%2Ffull-record%2FWOS:000514081500124","View Full Record in Web of Science")</f>
        <v>View Full Record in Web of Science</v>
      </c>
    </row>
    <row r="495" ht="12.75" customHeight="1">
      <c r="A495" s="1" t="s">
        <v>72</v>
      </c>
      <c r="B495" s="1" t="s">
        <v>5106</v>
      </c>
      <c r="C495" s="1" t="s">
        <v>74</v>
      </c>
      <c r="D495" s="1" t="s">
        <v>74</v>
      </c>
      <c r="E495" s="1" t="s">
        <v>74</v>
      </c>
      <c r="F495" s="1" t="s">
        <v>5107</v>
      </c>
      <c r="G495" s="1" t="s">
        <v>74</v>
      </c>
      <c r="H495" s="1" t="s">
        <v>74</v>
      </c>
      <c r="I495" s="1" t="s">
        <v>5108</v>
      </c>
      <c r="J495" s="1" t="s">
        <v>5109</v>
      </c>
      <c r="K495" s="1" t="s">
        <v>74</v>
      </c>
      <c r="L495" s="1" t="s">
        <v>74</v>
      </c>
      <c r="M495" s="1" t="s">
        <v>74</v>
      </c>
      <c r="N495" s="1" t="s">
        <v>74</v>
      </c>
      <c r="O495" s="1" t="s">
        <v>74</v>
      </c>
      <c r="P495" s="1" t="s">
        <v>74</v>
      </c>
      <c r="Q495" s="1" t="s">
        <v>74</v>
      </c>
      <c r="R495" s="1" t="s">
        <v>74</v>
      </c>
      <c r="S495" s="1" t="s">
        <v>74</v>
      </c>
      <c r="T495" s="1" t="s">
        <v>74</v>
      </c>
      <c r="U495" s="1" t="s">
        <v>74</v>
      </c>
      <c r="V495" s="1" t="s">
        <v>5110</v>
      </c>
      <c r="W495" s="1" t="s">
        <v>74</v>
      </c>
      <c r="X495" s="1" t="s">
        <v>74</v>
      </c>
      <c r="Y495" s="1" t="s">
        <v>74</v>
      </c>
      <c r="Z495" s="1" t="s">
        <v>74</v>
      </c>
      <c r="AA495" s="1" t="s">
        <v>5111</v>
      </c>
      <c r="AB495" s="1" t="s">
        <v>5112</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5113</v>
      </c>
      <c r="AP495" s="1" t="s">
        <v>5114</v>
      </c>
      <c r="AQ495" s="1" t="s">
        <v>74</v>
      </c>
      <c r="AR495" s="1" t="s">
        <v>74</v>
      </c>
      <c r="AS495" s="1" t="s">
        <v>74</v>
      </c>
      <c r="AT495" s="1" t="s">
        <v>82</v>
      </c>
      <c r="AU495" s="1">
        <v>2018.0</v>
      </c>
      <c r="AV495" s="1">
        <v>52.0</v>
      </c>
      <c r="AW495" s="1">
        <v>19.0</v>
      </c>
      <c r="AX495" s="1" t="s">
        <v>74</v>
      </c>
      <c r="AY495" s="1" t="s">
        <v>74</v>
      </c>
      <c r="AZ495" s="1" t="s">
        <v>74</v>
      </c>
      <c r="BA495" s="1" t="s">
        <v>74</v>
      </c>
      <c r="BB495" s="1">
        <v>1234.0</v>
      </c>
      <c r="BC495" s="1" t="s">
        <v>906</v>
      </c>
      <c r="BD495" s="1" t="s">
        <v>74</v>
      </c>
      <c r="BE495" s="1" t="s">
        <v>5115</v>
      </c>
      <c r="BF495" s="2" t="str">
        <f>HYPERLINK("http://dx.doi.org/10.1136/bjsports-2017-097600","http://dx.doi.org/10.1136/bjsports-2017-097600")</f>
        <v>http://dx.doi.org/10.1136/bjsports-2017-097600</v>
      </c>
      <c r="BG495" s="1" t="s">
        <v>74</v>
      </c>
      <c r="BH495" s="1" t="s">
        <v>74</v>
      </c>
      <c r="BI495" s="1" t="s">
        <v>74</v>
      </c>
      <c r="BJ495" s="1" t="s">
        <v>74</v>
      </c>
      <c r="BK495" s="1" t="s">
        <v>74</v>
      </c>
      <c r="BL495" s="1" t="s">
        <v>74</v>
      </c>
      <c r="BM495" s="1" t="s">
        <v>74</v>
      </c>
      <c r="BN495" s="1">
        <v>2.9074475E7</v>
      </c>
      <c r="BO495" s="1" t="s">
        <v>74</v>
      </c>
      <c r="BP495" s="1" t="s">
        <v>74</v>
      </c>
      <c r="BQ495" s="1" t="s">
        <v>74</v>
      </c>
      <c r="BR495" s="1" t="s">
        <v>74</v>
      </c>
      <c r="BS495" s="1" t="s">
        <v>5116</v>
      </c>
      <c r="BT495" s="1" t="str">
        <f>HYPERLINK("https%3A%2F%2Fwww.webofscience.com%2Fwos%2Fwoscc%2Ffull-record%2FWOS:000446083400013","View Full Record in Web of Science")</f>
        <v>View Full Record in Web of Science</v>
      </c>
    </row>
    <row r="496" ht="12.75" customHeight="1">
      <c r="A496" s="1" t="s">
        <v>72</v>
      </c>
      <c r="B496" s="1" t="s">
        <v>5117</v>
      </c>
      <c r="C496" s="1" t="s">
        <v>74</v>
      </c>
      <c r="D496" s="1" t="s">
        <v>74</v>
      </c>
      <c r="E496" s="1" t="s">
        <v>74</v>
      </c>
      <c r="F496" s="1" t="s">
        <v>5118</v>
      </c>
      <c r="G496" s="1" t="s">
        <v>74</v>
      </c>
      <c r="H496" s="1" t="s">
        <v>74</v>
      </c>
      <c r="I496" s="1" t="s">
        <v>5119</v>
      </c>
      <c r="J496" s="1" t="s">
        <v>5120</v>
      </c>
      <c r="K496" s="1" t="s">
        <v>74</v>
      </c>
      <c r="L496" s="1" t="s">
        <v>74</v>
      </c>
      <c r="M496" s="1" t="s">
        <v>74</v>
      </c>
      <c r="N496" s="1" t="s">
        <v>74</v>
      </c>
      <c r="O496" s="1" t="s">
        <v>74</v>
      </c>
      <c r="P496" s="1" t="s">
        <v>74</v>
      </c>
      <c r="Q496" s="1" t="s">
        <v>74</v>
      </c>
      <c r="R496" s="1" t="s">
        <v>74</v>
      </c>
      <c r="S496" s="1" t="s">
        <v>74</v>
      </c>
      <c r="T496" s="1" t="s">
        <v>74</v>
      </c>
      <c r="U496" s="1" t="s">
        <v>74</v>
      </c>
      <c r="V496" s="1" t="s">
        <v>5121</v>
      </c>
      <c r="W496" s="1" t="s">
        <v>74</v>
      </c>
      <c r="X496" s="1" t="s">
        <v>74</v>
      </c>
      <c r="Y496" s="1" t="s">
        <v>74</v>
      </c>
      <c r="Z496" s="1" t="s">
        <v>74</v>
      </c>
      <c r="AA496" s="1" t="s">
        <v>5122</v>
      </c>
      <c r="AB496" s="1" t="s">
        <v>5123</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5124</v>
      </c>
      <c r="AP496" s="1" t="s">
        <v>5125</v>
      </c>
      <c r="AQ496" s="1" t="s">
        <v>74</v>
      </c>
      <c r="AR496" s="1" t="s">
        <v>74</v>
      </c>
      <c r="AS496" s="1" t="s">
        <v>74</v>
      </c>
      <c r="AT496" s="1" t="s">
        <v>294</v>
      </c>
      <c r="AU496" s="1">
        <v>2018.0</v>
      </c>
      <c r="AV496" s="1">
        <v>89.0</v>
      </c>
      <c r="AW496" s="1" t="s">
        <v>409</v>
      </c>
      <c r="AX496" s="1" t="s">
        <v>74</v>
      </c>
      <c r="AY496" s="1" t="s">
        <v>74</v>
      </c>
      <c r="AZ496" s="1" t="s">
        <v>74</v>
      </c>
      <c r="BA496" s="1" t="s">
        <v>74</v>
      </c>
      <c r="BB496" s="1">
        <v>33.0</v>
      </c>
      <c r="BC496" s="1">
        <v>48.0</v>
      </c>
      <c r="BD496" s="1" t="s">
        <v>74</v>
      </c>
      <c r="BE496" s="1" t="s">
        <v>5126</v>
      </c>
      <c r="BF496" s="2" t="str">
        <f>HYPERLINK("http://dx.doi.org/10.1007/s11085-017-9832-3","http://dx.doi.org/10.1007/s11085-017-9832-3")</f>
        <v>http://dx.doi.org/10.1007/s11085-017-9832-3</v>
      </c>
      <c r="BG496" s="1" t="s">
        <v>74</v>
      </c>
      <c r="BH496" s="1" t="s">
        <v>74</v>
      </c>
      <c r="BI496" s="1" t="s">
        <v>74</v>
      </c>
      <c r="BJ496" s="1" t="s">
        <v>74</v>
      </c>
      <c r="BK496" s="1" t="s">
        <v>74</v>
      </c>
      <c r="BL496" s="1" t="s">
        <v>74</v>
      </c>
      <c r="BM496" s="1" t="s">
        <v>74</v>
      </c>
      <c r="BN496" s="1" t="s">
        <v>74</v>
      </c>
      <c r="BO496" s="1" t="s">
        <v>74</v>
      </c>
      <c r="BP496" s="1" t="s">
        <v>74</v>
      </c>
      <c r="BQ496" s="1" t="s">
        <v>74</v>
      </c>
      <c r="BR496" s="1" t="s">
        <v>74</v>
      </c>
      <c r="BS496" s="1" t="s">
        <v>5127</v>
      </c>
      <c r="BT496" s="1" t="str">
        <f>HYPERLINK("https%3A%2F%2Fwww.webofscience.com%2Fwos%2Fwoscc%2Ffull-record%2FWOS:000423728300002","View Full Record in Web of Science")</f>
        <v>View Full Record in Web of Science</v>
      </c>
    </row>
    <row r="497" ht="12.75" customHeight="1">
      <c r="A497" s="1" t="s">
        <v>207</v>
      </c>
      <c r="B497" s="1" t="s">
        <v>5128</v>
      </c>
      <c r="C497" s="1" t="s">
        <v>74</v>
      </c>
      <c r="D497" s="1" t="s">
        <v>74</v>
      </c>
      <c r="E497" s="1" t="s">
        <v>224</v>
      </c>
      <c r="F497" s="1" t="s">
        <v>5129</v>
      </c>
      <c r="G497" s="1" t="s">
        <v>74</v>
      </c>
      <c r="H497" s="1" t="s">
        <v>74</v>
      </c>
      <c r="I497" s="1" t="s">
        <v>5130</v>
      </c>
      <c r="J497" s="1" t="s">
        <v>5131</v>
      </c>
      <c r="K497" s="1" t="s">
        <v>5132</v>
      </c>
      <c r="L497" s="1" t="s">
        <v>74</v>
      </c>
      <c r="M497" s="1" t="s">
        <v>74</v>
      </c>
      <c r="N497" s="1" t="s">
        <v>74</v>
      </c>
      <c r="O497" s="1" t="s">
        <v>5133</v>
      </c>
      <c r="P497" s="1" t="s">
        <v>5134</v>
      </c>
      <c r="Q497" s="1" t="s">
        <v>5135</v>
      </c>
      <c r="R497" s="1" t="s">
        <v>5136</v>
      </c>
      <c r="S497" s="1" t="s">
        <v>74</v>
      </c>
      <c r="T497" s="1" t="s">
        <v>74</v>
      </c>
      <c r="U497" s="1" t="s">
        <v>74</v>
      </c>
      <c r="V497" s="1" t="s">
        <v>5137</v>
      </c>
      <c r="W497" s="1" t="s">
        <v>74</v>
      </c>
      <c r="X497" s="1" t="s">
        <v>74</v>
      </c>
      <c r="Y497" s="1" t="s">
        <v>74</v>
      </c>
      <c r="Z497" s="1" t="s">
        <v>74</v>
      </c>
      <c r="AA497" s="1" t="s">
        <v>5138</v>
      </c>
      <c r="AB497" s="1" t="s">
        <v>5139</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5140</v>
      </c>
      <c r="AP497" s="1" t="s">
        <v>74</v>
      </c>
      <c r="AQ497" s="1" t="s">
        <v>5141</v>
      </c>
      <c r="AR497" s="1" t="s">
        <v>74</v>
      </c>
      <c r="AS497" s="1" t="s">
        <v>74</v>
      </c>
      <c r="AT497" s="1" t="s">
        <v>74</v>
      </c>
      <c r="AU497" s="1">
        <v>2018.0</v>
      </c>
      <c r="AV497" s="1" t="s">
        <v>74</v>
      </c>
      <c r="AW497" s="1" t="s">
        <v>74</v>
      </c>
      <c r="AX497" s="1" t="s">
        <v>74</v>
      </c>
      <c r="AY497" s="1" t="s">
        <v>74</v>
      </c>
      <c r="AZ497" s="1" t="s">
        <v>74</v>
      </c>
      <c r="BA497" s="1" t="s">
        <v>74</v>
      </c>
      <c r="BB497" s="1">
        <v>5185.0</v>
      </c>
      <c r="BC497" s="1">
        <v>5189.0</v>
      </c>
      <c r="BD497" s="1" t="s">
        <v>74</v>
      </c>
      <c r="BE497" s="1" t="s">
        <v>74</v>
      </c>
      <c r="BF497" s="1" t="s">
        <v>74</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5142</v>
      </c>
      <c r="BT497" s="1" t="str">
        <f>HYPERLINK("https%3A%2F%2Fwww.webofscience.com%2Fwos%2Fwoscc%2Ffull-record%2FWOS:000455187605084","View Full Record in Web of Science")</f>
        <v>View Full Record in Web of Science</v>
      </c>
    </row>
    <row r="498" ht="12.75" customHeight="1">
      <c r="A498" s="1" t="s">
        <v>72</v>
      </c>
      <c r="B498" s="1" t="s">
        <v>5143</v>
      </c>
      <c r="C498" s="1" t="s">
        <v>74</v>
      </c>
      <c r="D498" s="1" t="s">
        <v>74</v>
      </c>
      <c r="E498" s="1" t="s">
        <v>74</v>
      </c>
      <c r="F498" s="1" t="s">
        <v>5144</v>
      </c>
      <c r="G498" s="1" t="s">
        <v>74</v>
      </c>
      <c r="H498" s="1" t="s">
        <v>74</v>
      </c>
      <c r="I498" s="1" t="s">
        <v>5145</v>
      </c>
      <c r="J498" s="1" t="s">
        <v>5146</v>
      </c>
      <c r="K498" s="1" t="s">
        <v>74</v>
      </c>
      <c r="L498" s="1" t="s">
        <v>74</v>
      </c>
      <c r="M498" s="1" t="s">
        <v>74</v>
      </c>
      <c r="N498" s="1" t="s">
        <v>74</v>
      </c>
      <c r="O498" s="1" t="s">
        <v>74</v>
      </c>
      <c r="P498" s="1" t="s">
        <v>74</v>
      </c>
      <c r="Q498" s="1" t="s">
        <v>74</v>
      </c>
      <c r="R498" s="1" t="s">
        <v>74</v>
      </c>
      <c r="S498" s="1" t="s">
        <v>74</v>
      </c>
      <c r="T498" s="1" t="s">
        <v>74</v>
      </c>
      <c r="U498" s="1" t="s">
        <v>74</v>
      </c>
      <c r="V498" s="1" t="s">
        <v>5147</v>
      </c>
      <c r="W498" s="1" t="s">
        <v>74</v>
      </c>
      <c r="X498" s="1" t="s">
        <v>74</v>
      </c>
      <c r="Y498" s="1" t="s">
        <v>74</v>
      </c>
      <c r="Z498" s="1" t="s">
        <v>74</v>
      </c>
      <c r="AA498" s="1" t="s">
        <v>5148</v>
      </c>
      <c r="AB498" s="1" t="s">
        <v>5149</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5150</v>
      </c>
      <c r="AP498" s="1" t="s">
        <v>74</v>
      </c>
      <c r="AQ498" s="1" t="s">
        <v>74</v>
      </c>
      <c r="AR498" s="1" t="s">
        <v>74</v>
      </c>
      <c r="AS498" s="1" t="s">
        <v>74</v>
      </c>
      <c r="AT498" s="1" t="s">
        <v>5151</v>
      </c>
      <c r="AU498" s="1">
        <v>2017.0</v>
      </c>
      <c r="AV498" s="1">
        <v>8.0</v>
      </c>
      <c r="AW498" s="1" t="s">
        <v>74</v>
      </c>
      <c r="AX498" s="1" t="s">
        <v>74</v>
      </c>
      <c r="AY498" s="1" t="s">
        <v>74</v>
      </c>
      <c r="AZ498" s="1" t="s">
        <v>74</v>
      </c>
      <c r="BA498" s="1" t="s">
        <v>74</v>
      </c>
      <c r="BB498" s="1" t="s">
        <v>74</v>
      </c>
      <c r="BC498" s="1" t="s">
        <v>74</v>
      </c>
      <c r="BD498" s="1">
        <v>1170.0</v>
      </c>
      <c r="BE498" s="1" t="s">
        <v>5152</v>
      </c>
      <c r="BF498" s="2" t="str">
        <f>HYPERLINK("http://dx.doi.org/10.3389/fimmu.2017.01170","http://dx.doi.org/10.3389/fimmu.2017.01170")</f>
        <v>http://dx.doi.org/10.3389/fimmu.2017.01170</v>
      </c>
      <c r="BG498" s="1" t="s">
        <v>74</v>
      </c>
      <c r="BH498" s="1" t="s">
        <v>74</v>
      </c>
      <c r="BI498" s="1" t="s">
        <v>74</v>
      </c>
      <c r="BJ498" s="1" t="s">
        <v>74</v>
      </c>
      <c r="BK498" s="1" t="s">
        <v>74</v>
      </c>
      <c r="BL498" s="1" t="s">
        <v>74</v>
      </c>
      <c r="BM498" s="1" t="s">
        <v>74</v>
      </c>
      <c r="BN498" s="1">
        <v>2.9062313E7</v>
      </c>
      <c r="BO498" s="1" t="s">
        <v>74</v>
      </c>
      <c r="BP498" s="1" t="s">
        <v>74</v>
      </c>
      <c r="BQ498" s="1" t="s">
        <v>74</v>
      </c>
      <c r="BR498" s="1" t="s">
        <v>74</v>
      </c>
      <c r="BS498" s="1" t="s">
        <v>5153</v>
      </c>
      <c r="BT498" s="1" t="str">
        <f>HYPERLINK("https%3A%2F%2Fwww.webofscience.com%2Fwos%2Fwoscc%2Ffull-record%2FWOS:000412508700001","View Full Record in Web of Science")</f>
        <v>View Full Record in Web of Science</v>
      </c>
    </row>
    <row r="499" ht="12.75" customHeight="1">
      <c r="A499" s="1" t="s">
        <v>72</v>
      </c>
      <c r="B499" s="1" t="s">
        <v>5154</v>
      </c>
      <c r="C499" s="1" t="s">
        <v>74</v>
      </c>
      <c r="D499" s="1" t="s">
        <v>74</v>
      </c>
      <c r="E499" s="1" t="s">
        <v>74</v>
      </c>
      <c r="F499" s="1" t="s">
        <v>5155</v>
      </c>
      <c r="G499" s="1" t="s">
        <v>74</v>
      </c>
      <c r="H499" s="1" t="s">
        <v>74</v>
      </c>
      <c r="I499" s="1" t="s">
        <v>5156</v>
      </c>
      <c r="J499" s="1" t="s">
        <v>1297</v>
      </c>
      <c r="K499" s="1" t="s">
        <v>74</v>
      </c>
      <c r="L499" s="1" t="s">
        <v>74</v>
      </c>
      <c r="M499" s="1" t="s">
        <v>74</v>
      </c>
      <c r="N499" s="1" t="s">
        <v>74</v>
      </c>
      <c r="O499" s="1" t="s">
        <v>74</v>
      </c>
      <c r="P499" s="1" t="s">
        <v>74</v>
      </c>
      <c r="Q499" s="1" t="s">
        <v>74</v>
      </c>
      <c r="R499" s="1" t="s">
        <v>74</v>
      </c>
      <c r="S499" s="1" t="s">
        <v>74</v>
      </c>
      <c r="T499" s="1" t="s">
        <v>74</v>
      </c>
      <c r="U499" s="1" t="s">
        <v>74</v>
      </c>
      <c r="V499" s="1" t="s">
        <v>5157</v>
      </c>
      <c r="W499" s="1" t="s">
        <v>74</v>
      </c>
      <c r="X499" s="1" t="s">
        <v>74</v>
      </c>
      <c r="Y499" s="1" t="s">
        <v>74</v>
      </c>
      <c r="Z499" s="1" t="s">
        <v>74</v>
      </c>
      <c r="AA499" s="1" t="s">
        <v>5158</v>
      </c>
      <c r="AB499" s="1" t="s">
        <v>5159</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1301</v>
      </c>
      <c r="AP499" s="1" t="s">
        <v>1302</v>
      </c>
      <c r="AQ499" s="1" t="s">
        <v>74</v>
      </c>
      <c r="AR499" s="1" t="s">
        <v>74</v>
      </c>
      <c r="AS499" s="1" t="s">
        <v>74</v>
      </c>
      <c r="AT499" s="1" t="s">
        <v>5160</v>
      </c>
      <c r="AU499" s="1">
        <v>2017.0</v>
      </c>
      <c r="AV499" s="1">
        <v>121.0</v>
      </c>
      <c r="AW499" s="1">
        <v>9.0</v>
      </c>
      <c r="AX499" s="1" t="s">
        <v>74</v>
      </c>
      <c r="AY499" s="1" t="s">
        <v>74</v>
      </c>
      <c r="AZ499" s="1" t="s">
        <v>74</v>
      </c>
      <c r="BA499" s="1" t="s">
        <v>74</v>
      </c>
      <c r="BB499" s="1">
        <v>4859.0</v>
      </c>
      <c r="BC499" s="1">
        <v>4872.0</v>
      </c>
      <c r="BD499" s="1" t="s">
        <v>74</v>
      </c>
      <c r="BE499" s="1" t="s">
        <v>5161</v>
      </c>
      <c r="BF499" s="2" t="str">
        <f>HYPERLINK("http://dx.doi.org/10.1021/acs.jpcc.6b12452","http://dx.doi.org/10.1021/acs.jpcc.6b12452")</f>
        <v>http://dx.doi.org/10.1021/acs.jpcc.6b12452</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5162</v>
      </c>
      <c r="BT499" s="1" t="str">
        <f>HYPERLINK("https%3A%2F%2Fwww.webofscience.com%2Fwos%2Fwoscc%2Ffull-record%2FWOS:000396295800010","View Full Record in Web of Science")</f>
        <v>View Full Record in Web of Science</v>
      </c>
    </row>
    <row r="500" ht="12.75" customHeight="1">
      <c r="A500" s="1" t="s">
        <v>72</v>
      </c>
      <c r="B500" s="1" t="s">
        <v>5163</v>
      </c>
      <c r="C500" s="1" t="s">
        <v>74</v>
      </c>
      <c r="D500" s="1" t="s">
        <v>74</v>
      </c>
      <c r="E500" s="1" t="s">
        <v>74</v>
      </c>
      <c r="F500" s="1" t="s">
        <v>5164</v>
      </c>
      <c r="G500" s="1" t="s">
        <v>74</v>
      </c>
      <c r="H500" s="1" t="s">
        <v>74</v>
      </c>
      <c r="I500" s="1" t="s">
        <v>5165</v>
      </c>
      <c r="J500" s="1" t="s">
        <v>1876</v>
      </c>
      <c r="K500" s="1" t="s">
        <v>74</v>
      </c>
      <c r="L500" s="1" t="s">
        <v>74</v>
      </c>
      <c r="M500" s="1" t="s">
        <v>74</v>
      </c>
      <c r="N500" s="1" t="s">
        <v>74</v>
      </c>
      <c r="O500" s="1" t="s">
        <v>74</v>
      </c>
      <c r="P500" s="1" t="s">
        <v>74</v>
      </c>
      <c r="Q500" s="1" t="s">
        <v>74</v>
      </c>
      <c r="R500" s="1" t="s">
        <v>74</v>
      </c>
      <c r="S500" s="1" t="s">
        <v>74</v>
      </c>
      <c r="T500" s="1" t="s">
        <v>74</v>
      </c>
      <c r="U500" s="1" t="s">
        <v>74</v>
      </c>
      <c r="V500" s="1" t="s">
        <v>5166</v>
      </c>
      <c r="W500" s="1" t="s">
        <v>74</v>
      </c>
      <c r="X500" s="1" t="s">
        <v>74</v>
      </c>
      <c r="Y500" s="1" t="s">
        <v>74</v>
      </c>
      <c r="Z500" s="1" t="s">
        <v>74</v>
      </c>
      <c r="AA500" s="1" t="s">
        <v>5167</v>
      </c>
      <c r="AB500" s="1" t="s">
        <v>5168</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1880</v>
      </c>
      <c r="AP500" s="1" t="s">
        <v>1881</v>
      </c>
      <c r="AQ500" s="1" t="s">
        <v>74</v>
      </c>
      <c r="AR500" s="1" t="s">
        <v>74</v>
      </c>
      <c r="AS500" s="1" t="s">
        <v>74</v>
      </c>
      <c r="AT500" s="1" t="s">
        <v>204</v>
      </c>
      <c r="AU500" s="1">
        <v>2017.0</v>
      </c>
      <c r="AV500" s="1">
        <v>310.0</v>
      </c>
      <c r="AW500" s="1" t="s">
        <v>74</v>
      </c>
      <c r="AX500" s="1">
        <v>2.0</v>
      </c>
      <c r="AY500" s="1" t="s">
        <v>74</v>
      </c>
      <c r="AZ500" s="1" t="s">
        <v>569</v>
      </c>
      <c r="BA500" s="1" t="s">
        <v>74</v>
      </c>
      <c r="BB500" s="1">
        <v>560.0</v>
      </c>
      <c r="BC500" s="1">
        <v>570.0</v>
      </c>
      <c r="BD500" s="1" t="s">
        <v>74</v>
      </c>
      <c r="BE500" s="1" t="s">
        <v>5169</v>
      </c>
      <c r="BF500" s="2" t="str">
        <f>HYPERLINK("http://dx.doi.org/10.1016/j.cej.2016.06.018","http://dx.doi.org/10.1016/j.cej.2016.06.018")</f>
        <v>http://dx.doi.org/10.1016/j.cej.2016.06.018</v>
      </c>
      <c r="BG500" s="1" t="s">
        <v>74</v>
      </c>
      <c r="BH500" s="1" t="s">
        <v>74</v>
      </c>
      <c r="BI500" s="1" t="s">
        <v>74</v>
      </c>
      <c r="BJ500" s="1" t="s">
        <v>74</v>
      </c>
      <c r="BK500" s="1" t="s">
        <v>74</v>
      </c>
      <c r="BL500" s="1" t="s">
        <v>74</v>
      </c>
      <c r="BM500" s="1" t="s">
        <v>74</v>
      </c>
      <c r="BN500" s="1" t="s">
        <v>74</v>
      </c>
      <c r="BO500" s="1" t="s">
        <v>74</v>
      </c>
      <c r="BP500" s="1" t="s">
        <v>74</v>
      </c>
      <c r="BQ500" s="1" t="s">
        <v>74</v>
      </c>
      <c r="BR500" s="1" t="s">
        <v>74</v>
      </c>
      <c r="BS500" s="1" t="s">
        <v>5170</v>
      </c>
      <c r="BT500" s="1" t="str">
        <f>HYPERLINK("https%3A%2F%2Fwww.webofscience.com%2Fwos%2Fwoscc%2Ffull-record%2FWOS:000390073200022","View Full Record in Web of Science")</f>
        <v>View Full Record in Web of Science</v>
      </c>
    </row>
    <row r="501" ht="12.75" customHeight="1">
      <c r="A501" s="1" t="s">
        <v>72</v>
      </c>
      <c r="B501" s="1" t="s">
        <v>5171</v>
      </c>
      <c r="C501" s="1" t="s">
        <v>74</v>
      </c>
      <c r="D501" s="1" t="s">
        <v>74</v>
      </c>
      <c r="E501" s="1" t="s">
        <v>74</v>
      </c>
      <c r="F501" s="1" t="s">
        <v>5172</v>
      </c>
      <c r="G501" s="1" t="s">
        <v>74</v>
      </c>
      <c r="H501" s="1" t="s">
        <v>74</v>
      </c>
      <c r="I501" s="1" t="s">
        <v>5173</v>
      </c>
      <c r="J501" s="1" t="s">
        <v>5174</v>
      </c>
      <c r="K501" s="1" t="s">
        <v>74</v>
      </c>
      <c r="L501" s="1" t="s">
        <v>74</v>
      </c>
      <c r="M501" s="1" t="s">
        <v>74</v>
      </c>
      <c r="N501" s="1" t="s">
        <v>74</v>
      </c>
      <c r="O501" s="1" t="s">
        <v>74</v>
      </c>
      <c r="P501" s="1" t="s">
        <v>74</v>
      </c>
      <c r="Q501" s="1" t="s">
        <v>74</v>
      </c>
      <c r="R501" s="1" t="s">
        <v>74</v>
      </c>
      <c r="S501" s="1" t="s">
        <v>74</v>
      </c>
      <c r="T501" s="1" t="s">
        <v>74</v>
      </c>
      <c r="U501" s="1" t="s">
        <v>74</v>
      </c>
      <c r="V501" s="1" t="s">
        <v>5175</v>
      </c>
      <c r="W501" s="1" t="s">
        <v>74</v>
      </c>
      <c r="X501" s="1" t="s">
        <v>74</v>
      </c>
      <c r="Y501" s="1" t="s">
        <v>74</v>
      </c>
      <c r="Z501" s="1" t="s">
        <v>74</v>
      </c>
      <c r="AA501" s="1" t="s">
        <v>5176</v>
      </c>
      <c r="AB501" s="1" t="s">
        <v>5177</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5178</v>
      </c>
      <c r="AP501" s="1" t="s">
        <v>74</v>
      </c>
      <c r="AQ501" s="1" t="s">
        <v>74</v>
      </c>
      <c r="AR501" s="1" t="s">
        <v>74</v>
      </c>
      <c r="AS501" s="1" t="s">
        <v>74</v>
      </c>
      <c r="AT501" s="1" t="s">
        <v>177</v>
      </c>
      <c r="AU501" s="1">
        <v>2015.0</v>
      </c>
      <c r="AV501" s="1">
        <v>6.0</v>
      </c>
      <c r="AW501" s="1">
        <v>3.0</v>
      </c>
      <c r="AX501" s="1" t="s">
        <v>74</v>
      </c>
      <c r="AY501" s="1" t="s">
        <v>74</v>
      </c>
      <c r="AZ501" s="1" t="s">
        <v>74</v>
      </c>
      <c r="BA501" s="1" t="s">
        <v>74</v>
      </c>
      <c r="BB501" s="1">
        <v>976.0</v>
      </c>
      <c r="BC501" s="1">
        <v>983.0</v>
      </c>
      <c r="BD501" s="1" t="s">
        <v>74</v>
      </c>
      <c r="BE501" s="1" t="s">
        <v>5179</v>
      </c>
      <c r="BF501" s="2" t="str">
        <f>HYPERLINK("http://dx.doi.org/10.1109/TSTE.2015.2417311","http://dx.doi.org/10.1109/TSTE.2015.2417311")</f>
        <v>http://dx.doi.org/10.1109/TSTE.2015.2417311</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5180</v>
      </c>
      <c r="BT501" s="1" t="str">
        <f>HYPERLINK("https%3A%2F%2Fwww.webofscience.com%2Fwos%2Fwoscc%2Ffull-record%2FWOS:000356461100035","View Full Record in Web of Science")</f>
        <v>View Full Record in Web of Science</v>
      </c>
    </row>
    <row r="502" ht="12.75" customHeight="1">
      <c r="A502" s="1" t="s">
        <v>72</v>
      </c>
      <c r="B502" s="1" t="s">
        <v>5181</v>
      </c>
      <c r="C502" s="1" t="s">
        <v>74</v>
      </c>
      <c r="D502" s="1" t="s">
        <v>74</v>
      </c>
      <c r="E502" s="1" t="s">
        <v>74</v>
      </c>
      <c r="F502" s="1" t="s">
        <v>5182</v>
      </c>
      <c r="G502" s="1" t="s">
        <v>74</v>
      </c>
      <c r="H502" s="1" t="s">
        <v>74</v>
      </c>
      <c r="I502" s="1" t="s">
        <v>5183</v>
      </c>
      <c r="J502" s="1" t="s">
        <v>3888</v>
      </c>
      <c r="K502" s="1" t="s">
        <v>74</v>
      </c>
      <c r="L502" s="1" t="s">
        <v>74</v>
      </c>
      <c r="M502" s="1" t="s">
        <v>74</v>
      </c>
      <c r="N502" s="1" t="s">
        <v>74</v>
      </c>
      <c r="O502" s="1" t="s">
        <v>5184</v>
      </c>
      <c r="P502" s="1" t="s">
        <v>5185</v>
      </c>
      <c r="Q502" s="1" t="s">
        <v>5186</v>
      </c>
      <c r="R502" s="1" t="s">
        <v>74</v>
      </c>
      <c r="S502" s="1" t="s">
        <v>74</v>
      </c>
      <c r="T502" s="1" t="s">
        <v>74</v>
      </c>
      <c r="U502" s="1" t="s">
        <v>74</v>
      </c>
      <c r="V502" s="1" t="s">
        <v>74</v>
      </c>
      <c r="W502" s="1" t="s">
        <v>74</v>
      </c>
      <c r="X502" s="1" t="s">
        <v>74</v>
      </c>
      <c r="Y502" s="1" t="s">
        <v>74</v>
      </c>
      <c r="Z502" s="1" t="s">
        <v>74</v>
      </c>
      <c r="AA502" s="1" t="s">
        <v>5187</v>
      </c>
      <c r="AB502" s="1" t="s">
        <v>5188</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3893</v>
      </c>
      <c r="AP502" s="1" t="s">
        <v>5189</v>
      </c>
      <c r="AQ502" s="1" t="s">
        <v>74</v>
      </c>
      <c r="AR502" s="1" t="s">
        <v>74</v>
      </c>
      <c r="AS502" s="1" t="s">
        <v>74</v>
      </c>
      <c r="AT502" s="1" t="s">
        <v>1279</v>
      </c>
      <c r="AU502" s="1">
        <v>2015.0</v>
      </c>
      <c r="AV502" s="1">
        <v>36.0</v>
      </c>
      <c r="AW502" s="1">
        <v>4.0</v>
      </c>
      <c r="AX502" s="1" t="s">
        <v>74</v>
      </c>
      <c r="AY502" s="1" t="s">
        <v>74</v>
      </c>
      <c r="AZ502" s="1" t="s">
        <v>74</v>
      </c>
      <c r="BA502" s="1" t="s">
        <v>5190</v>
      </c>
      <c r="BB502" s="1">
        <v>485.0</v>
      </c>
      <c r="BC502" s="1">
        <v>486.0</v>
      </c>
      <c r="BD502" s="1" t="s">
        <v>74</v>
      </c>
      <c r="BE502" s="1" t="s">
        <v>5191</v>
      </c>
      <c r="BF502" s="2" t="str">
        <f>HYPERLINK("http://dx.doi.org/10.1016/j.placenta.2015.01.437","http://dx.doi.org/10.1016/j.placenta.2015.01.437")</f>
        <v>http://dx.doi.org/10.1016/j.placenta.2015.01.437</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5192</v>
      </c>
      <c r="BT502" s="1" t="str">
        <f>HYPERLINK("https%3A%2F%2Fwww.webofscience.com%2Fwos%2Fwoscc%2Ffull-record%2FWOS:000351796500077","View Full Record in Web of Science")</f>
        <v>View Full Record in Web of Science</v>
      </c>
    </row>
    <row r="503" ht="12.75" customHeight="1">
      <c r="A503" s="1" t="s">
        <v>72</v>
      </c>
      <c r="B503" s="1" t="s">
        <v>5193</v>
      </c>
      <c r="C503" s="1" t="s">
        <v>74</v>
      </c>
      <c r="D503" s="1" t="s">
        <v>74</v>
      </c>
      <c r="E503" s="1" t="s">
        <v>74</v>
      </c>
      <c r="F503" s="1" t="s">
        <v>5194</v>
      </c>
      <c r="G503" s="1" t="s">
        <v>74</v>
      </c>
      <c r="H503" s="1" t="s">
        <v>74</v>
      </c>
      <c r="I503" s="1" t="s">
        <v>5195</v>
      </c>
      <c r="J503" s="1" t="s">
        <v>5196</v>
      </c>
      <c r="K503" s="1" t="s">
        <v>74</v>
      </c>
      <c r="L503" s="1" t="s">
        <v>74</v>
      </c>
      <c r="M503" s="1" t="s">
        <v>74</v>
      </c>
      <c r="N503" s="1" t="s">
        <v>74</v>
      </c>
      <c r="O503" s="1" t="s">
        <v>74</v>
      </c>
      <c r="P503" s="1" t="s">
        <v>74</v>
      </c>
      <c r="Q503" s="1" t="s">
        <v>74</v>
      </c>
      <c r="R503" s="1" t="s">
        <v>74</v>
      </c>
      <c r="S503" s="1" t="s">
        <v>74</v>
      </c>
      <c r="T503" s="1" t="s">
        <v>74</v>
      </c>
      <c r="U503" s="1" t="s">
        <v>74</v>
      </c>
      <c r="V503" s="1" t="s">
        <v>5197</v>
      </c>
      <c r="W503" s="1" t="s">
        <v>74</v>
      </c>
      <c r="X503" s="1" t="s">
        <v>74</v>
      </c>
      <c r="Y503" s="1" t="s">
        <v>74</v>
      </c>
      <c r="Z503" s="1" t="s">
        <v>74</v>
      </c>
      <c r="AA503" s="1" t="s">
        <v>5198</v>
      </c>
      <c r="AB503" s="1" t="s">
        <v>5199</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5200</v>
      </c>
      <c r="AP503" s="1" t="s">
        <v>5201</v>
      </c>
      <c r="AQ503" s="1" t="s">
        <v>74</v>
      </c>
      <c r="AR503" s="1" t="s">
        <v>74</v>
      </c>
      <c r="AS503" s="1" t="s">
        <v>74</v>
      </c>
      <c r="AT503" s="1" t="s">
        <v>408</v>
      </c>
      <c r="AU503" s="1">
        <v>2015.0</v>
      </c>
      <c r="AV503" s="1">
        <v>26.0</v>
      </c>
      <c r="AW503" s="1">
        <v>3.0</v>
      </c>
      <c r="AX503" s="1" t="s">
        <v>74</v>
      </c>
      <c r="AY503" s="1" t="s">
        <v>74</v>
      </c>
      <c r="AZ503" s="1" t="s">
        <v>74</v>
      </c>
      <c r="BA503" s="1" t="s">
        <v>74</v>
      </c>
      <c r="BB503" s="1" t="s">
        <v>74</v>
      </c>
      <c r="BC503" s="1" t="s">
        <v>74</v>
      </c>
      <c r="BD503" s="1">
        <v>129.0</v>
      </c>
      <c r="BE503" s="1" t="s">
        <v>5202</v>
      </c>
      <c r="BF503" s="2" t="str">
        <f>HYPERLINK("http://dx.doi.org/10.1007/s10856-015-5475-6","http://dx.doi.org/10.1007/s10856-015-5475-6")</f>
        <v>http://dx.doi.org/10.1007/s10856-015-5475-6</v>
      </c>
      <c r="BG503" s="1" t="s">
        <v>74</v>
      </c>
      <c r="BH503" s="1" t="s">
        <v>74</v>
      </c>
      <c r="BI503" s="1" t="s">
        <v>74</v>
      </c>
      <c r="BJ503" s="1" t="s">
        <v>74</v>
      </c>
      <c r="BK503" s="1" t="s">
        <v>74</v>
      </c>
      <c r="BL503" s="1" t="s">
        <v>74</v>
      </c>
      <c r="BM503" s="1" t="s">
        <v>74</v>
      </c>
      <c r="BN503" s="1">
        <v>2.5693677E7</v>
      </c>
      <c r="BO503" s="1" t="s">
        <v>74</v>
      </c>
      <c r="BP503" s="1" t="s">
        <v>74</v>
      </c>
      <c r="BQ503" s="1" t="s">
        <v>74</v>
      </c>
      <c r="BR503" s="1" t="s">
        <v>74</v>
      </c>
      <c r="BS503" s="1" t="s">
        <v>5203</v>
      </c>
      <c r="BT503" s="1" t="str">
        <f>HYPERLINK("https%3A%2F%2Fwww.webofscience.com%2Fwos%2Fwoscc%2Ffull-record%2FWOS:000350659300009","View Full Record in Web of Science")</f>
        <v>View Full Record in Web of Science</v>
      </c>
    </row>
    <row r="504" ht="12.75" customHeight="1">
      <c r="A504" s="1" t="s">
        <v>72</v>
      </c>
      <c r="B504" s="1" t="s">
        <v>5204</v>
      </c>
      <c r="C504" s="1" t="s">
        <v>74</v>
      </c>
      <c r="D504" s="1" t="s">
        <v>74</v>
      </c>
      <c r="E504" s="1" t="s">
        <v>74</v>
      </c>
      <c r="F504" s="1" t="s">
        <v>5205</v>
      </c>
      <c r="G504" s="1" t="s">
        <v>74</v>
      </c>
      <c r="H504" s="1" t="s">
        <v>74</v>
      </c>
      <c r="I504" s="1" t="s">
        <v>5206</v>
      </c>
      <c r="J504" s="1" t="s">
        <v>5207</v>
      </c>
      <c r="K504" s="1" t="s">
        <v>74</v>
      </c>
      <c r="L504" s="1" t="s">
        <v>74</v>
      </c>
      <c r="M504" s="1" t="s">
        <v>74</v>
      </c>
      <c r="N504" s="1" t="s">
        <v>74</v>
      </c>
      <c r="O504" s="1" t="s">
        <v>5208</v>
      </c>
      <c r="P504" s="1" t="s">
        <v>5209</v>
      </c>
      <c r="Q504" s="1" t="s">
        <v>5210</v>
      </c>
      <c r="R504" s="1" t="s">
        <v>5211</v>
      </c>
      <c r="S504" s="1" t="s">
        <v>74</v>
      </c>
      <c r="T504" s="1" t="s">
        <v>74</v>
      </c>
      <c r="U504" s="1" t="s">
        <v>74</v>
      </c>
      <c r="V504" s="1" t="s">
        <v>74</v>
      </c>
      <c r="W504" s="1" t="s">
        <v>74</v>
      </c>
      <c r="X504" s="1" t="s">
        <v>74</v>
      </c>
      <c r="Y504" s="1" t="s">
        <v>74</v>
      </c>
      <c r="Z504" s="1" t="s">
        <v>74</v>
      </c>
      <c r="AA504" s="1" t="s">
        <v>74</v>
      </c>
      <c r="AB504" s="1" t="s">
        <v>74</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5212</v>
      </c>
      <c r="AP504" s="1" t="s">
        <v>5213</v>
      </c>
      <c r="AQ504" s="1" t="s">
        <v>74</v>
      </c>
      <c r="AR504" s="1" t="s">
        <v>74</v>
      </c>
      <c r="AS504" s="1" t="s">
        <v>74</v>
      </c>
      <c r="AT504" s="1" t="s">
        <v>282</v>
      </c>
      <c r="AU504" s="1">
        <v>2014.0</v>
      </c>
      <c r="AV504" s="1">
        <v>33.0</v>
      </c>
      <c r="AW504" s="1">
        <v>6.0</v>
      </c>
      <c r="AX504" s="1" t="s">
        <v>74</v>
      </c>
      <c r="AY504" s="1" t="s">
        <v>74</v>
      </c>
      <c r="AZ504" s="1" t="s">
        <v>74</v>
      </c>
      <c r="BA504" s="1">
        <v>681.0</v>
      </c>
      <c r="BB504" s="1">
        <v>998.0</v>
      </c>
      <c r="BC504" s="1">
        <v>998.0</v>
      </c>
      <c r="BD504" s="1" t="s">
        <v>74</v>
      </c>
      <c r="BE504" s="1" t="s">
        <v>74</v>
      </c>
      <c r="BF504" s="1" t="s">
        <v>74</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5214</v>
      </c>
      <c r="BT504" s="1" t="str">
        <f>HYPERLINK("https%3A%2F%2Fwww.webofscience.com%2Fwos%2Fwoscc%2Ffull-record%2FWOS:000339424000263","View Full Record in Web of Science")</f>
        <v>View Full Record in Web of Science</v>
      </c>
    </row>
    <row r="505" ht="12.75" customHeight="1">
      <c r="A505" s="1" t="s">
        <v>72</v>
      </c>
      <c r="B505" s="1" t="s">
        <v>5215</v>
      </c>
      <c r="C505" s="1" t="s">
        <v>74</v>
      </c>
      <c r="D505" s="1" t="s">
        <v>74</v>
      </c>
      <c r="E505" s="1" t="s">
        <v>74</v>
      </c>
      <c r="F505" s="1" t="s">
        <v>5216</v>
      </c>
      <c r="G505" s="1" t="s">
        <v>74</v>
      </c>
      <c r="H505" s="1" t="s">
        <v>74</v>
      </c>
      <c r="I505" s="1" t="s">
        <v>5217</v>
      </c>
      <c r="J505" s="1" t="s">
        <v>5218</v>
      </c>
      <c r="K505" s="1" t="s">
        <v>74</v>
      </c>
      <c r="L505" s="1" t="s">
        <v>74</v>
      </c>
      <c r="M505" s="1" t="s">
        <v>74</v>
      </c>
      <c r="N505" s="1" t="s">
        <v>74</v>
      </c>
      <c r="O505" s="1" t="s">
        <v>74</v>
      </c>
      <c r="P505" s="1" t="s">
        <v>74</v>
      </c>
      <c r="Q505" s="1" t="s">
        <v>74</v>
      </c>
      <c r="R505" s="1" t="s">
        <v>74</v>
      </c>
      <c r="S505" s="1" t="s">
        <v>74</v>
      </c>
      <c r="T505" s="1" t="s">
        <v>74</v>
      </c>
      <c r="U505" s="1" t="s">
        <v>74</v>
      </c>
      <c r="V505" s="1" t="s">
        <v>5219</v>
      </c>
      <c r="W505" s="1" t="s">
        <v>74</v>
      </c>
      <c r="X505" s="1" t="s">
        <v>74</v>
      </c>
      <c r="Y505" s="1" t="s">
        <v>74</v>
      </c>
      <c r="Z505" s="1" t="s">
        <v>74</v>
      </c>
      <c r="AA505" s="1" t="s">
        <v>74</v>
      </c>
      <c r="AB505" s="1" t="s">
        <v>5220</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5221</v>
      </c>
      <c r="AP505" s="1" t="s">
        <v>5222</v>
      </c>
      <c r="AQ505" s="1" t="s">
        <v>74</v>
      </c>
      <c r="AR505" s="1" t="s">
        <v>74</v>
      </c>
      <c r="AS505" s="1" t="s">
        <v>74</v>
      </c>
      <c r="AT505" s="1" t="s">
        <v>94</v>
      </c>
      <c r="AU505" s="1">
        <v>2011.0</v>
      </c>
      <c r="AV505" s="1">
        <v>38.0</v>
      </c>
      <c r="AW505" s="1">
        <v>6.0</v>
      </c>
      <c r="AX505" s="1" t="s">
        <v>74</v>
      </c>
      <c r="AY505" s="1" t="s">
        <v>74</v>
      </c>
      <c r="AZ505" s="1" t="s">
        <v>74</v>
      </c>
      <c r="BA505" s="1" t="s">
        <v>74</v>
      </c>
      <c r="BB505" s="1">
        <v>616.0</v>
      </c>
      <c r="BC505" s="1">
        <v>626.0</v>
      </c>
      <c r="BD505" s="1" t="s">
        <v>74</v>
      </c>
      <c r="BE505" s="1" t="s">
        <v>5223</v>
      </c>
      <c r="BF505" s="2" t="str">
        <f>HYPERLINK("http://dx.doi.org/10.1139/L11-033","http://dx.doi.org/10.1139/L11-033")</f>
        <v>http://dx.doi.org/10.1139/L11-033</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5224</v>
      </c>
      <c r="BT505" s="1" t="str">
        <f>HYPERLINK("https%3A%2F%2Fwww.webofscience.com%2Fwos%2Fwoscc%2Ffull-record%2FWOS:000293361900002","View Full Record in Web of Science")</f>
        <v>View Full Record in Web of Science</v>
      </c>
    </row>
    <row r="506" ht="12.75" customHeight="1">
      <c r="A506" s="1" t="s">
        <v>72</v>
      </c>
      <c r="B506" s="1" t="s">
        <v>5225</v>
      </c>
      <c r="C506" s="1" t="s">
        <v>74</v>
      </c>
      <c r="D506" s="1" t="s">
        <v>74</v>
      </c>
      <c r="E506" s="1" t="s">
        <v>74</v>
      </c>
      <c r="F506" s="1" t="s">
        <v>5226</v>
      </c>
      <c r="G506" s="1" t="s">
        <v>74</v>
      </c>
      <c r="H506" s="1" t="s">
        <v>74</v>
      </c>
      <c r="I506" s="1" t="s">
        <v>5227</v>
      </c>
      <c r="J506" s="1" t="s">
        <v>5228</v>
      </c>
      <c r="K506" s="1" t="s">
        <v>74</v>
      </c>
      <c r="L506" s="1" t="s">
        <v>74</v>
      </c>
      <c r="M506" s="1" t="s">
        <v>74</v>
      </c>
      <c r="N506" s="1" t="s">
        <v>74</v>
      </c>
      <c r="O506" s="1" t="s">
        <v>74</v>
      </c>
      <c r="P506" s="1" t="s">
        <v>74</v>
      </c>
      <c r="Q506" s="1" t="s">
        <v>74</v>
      </c>
      <c r="R506" s="1" t="s">
        <v>74</v>
      </c>
      <c r="S506" s="1" t="s">
        <v>74</v>
      </c>
      <c r="T506" s="1" t="s">
        <v>74</v>
      </c>
      <c r="U506" s="1" t="s">
        <v>74</v>
      </c>
      <c r="V506" s="1" t="s">
        <v>74</v>
      </c>
      <c r="W506" s="1" t="s">
        <v>74</v>
      </c>
      <c r="X506" s="1" t="s">
        <v>74</v>
      </c>
      <c r="Y506" s="1" t="s">
        <v>74</v>
      </c>
      <c r="Z506" s="1" t="s">
        <v>74</v>
      </c>
      <c r="AA506" s="1" t="s">
        <v>5229</v>
      </c>
      <c r="AB506" s="1" t="s">
        <v>2028</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5230</v>
      </c>
      <c r="AP506" s="1" t="s">
        <v>74</v>
      </c>
      <c r="AQ506" s="1" t="s">
        <v>74</v>
      </c>
      <c r="AR506" s="1" t="s">
        <v>74</v>
      </c>
      <c r="AS506" s="1" t="s">
        <v>74</v>
      </c>
      <c r="AT506" s="1" t="s">
        <v>74</v>
      </c>
      <c r="AU506" s="1">
        <v>2011.0</v>
      </c>
      <c r="AV506" s="1">
        <v>67.0</v>
      </c>
      <c r="AW506" s="1" t="s">
        <v>74</v>
      </c>
      <c r="AX506" s="1" t="s">
        <v>74</v>
      </c>
      <c r="AY506" s="1" t="s">
        <v>311</v>
      </c>
      <c r="AZ506" s="1" t="s">
        <v>74</v>
      </c>
      <c r="BA506" s="1" t="s">
        <v>5231</v>
      </c>
      <c r="BB506" s="1" t="s">
        <v>5232</v>
      </c>
      <c r="BC506" s="1" t="s">
        <v>5232</v>
      </c>
      <c r="BD506" s="1" t="s">
        <v>74</v>
      </c>
      <c r="BE506" s="1" t="s">
        <v>5233</v>
      </c>
      <c r="BF506" s="2" t="str">
        <f>HYPERLINK("http://dx.doi.org/10.1107/S0108767311081001","http://dx.doi.org/10.1107/S0108767311081001")</f>
        <v>http://dx.doi.org/10.1107/S0108767311081001</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5234</v>
      </c>
      <c r="BT506" s="1" t="str">
        <f>HYPERLINK("https%3A%2F%2Fwww.webofscience.com%2Fwos%2Fwoscc%2Ffull-record%2FWOS:000484219403368","View Full Record in Web of Science")</f>
        <v>View Full Record in Web of Science</v>
      </c>
    </row>
    <row r="507" ht="12.75" customHeight="1">
      <c r="A507" s="1" t="s">
        <v>207</v>
      </c>
      <c r="B507" s="1" t="s">
        <v>5235</v>
      </c>
      <c r="C507" s="1" t="s">
        <v>74</v>
      </c>
      <c r="D507" s="1" t="s">
        <v>74</v>
      </c>
      <c r="E507" s="1" t="s">
        <v>224</v>
      </c>
      <c r="F507" s="1" t="s">
        <v>5236</v>
      </c>
      <c r="G507" s="1" t="s">
        <v>74</v>
      </c>
      <c r="H507" s="1" t="s">
        <v>74</v>
      </c>
      <c r="I507" s="1" t="s">
        <v>5237</v>
      </c>
      <c r="J507" s="1" t="s">
        <v>5238</v>
      </c>
      <c r="K507" s="1" t="s">
        <v>5239</v>
      </c>
      <c r="L507" s="1" t="s">
        <v>74</v>
      </c>
      <c r="M507" s="1" t="s">
        <v>74</v>
      </c>
      <c r="N507" s="1" t="s">
        <v>74</v>
      </c>
      <c r="O507" s="1" t="s">
        <v>5240</v>
      </c>
      <c r="P507" s="1" t="s">
        <v>5241</v>
      </c>
      <c r="Q507" s="1" t="s">
        <v>5242</v>
      </c>
      <c r="R507" s="1" t="s">
        <v>5243</v>
      </c>
      <c r="S507" s="1" t="s">
        <v>74</v>
      </c>
      <c r="T507" s="1" t="s">
        <v>74</v>
      </c>
      <c r="U507" s="1" t="s">
        <v>74</v>
      </c>
      <c r="V507" s="1" t="s">
        <v>5244</v>
      </c>
      <c r="W507" s="1" t="s">
        <v>74</v>
      </c>
      <c r="X507" s="1" t="s">
        <v>74</v>
      </c>
      <c r="Y507" s="1" t="s">
        <v>74</v>
      </c>
      <c r="Z507" s="1" t="s">
        <v>74</v>
      </c>
      <c r="AA507" s="1" t="s">
        <v>74</v>
      </c>
      <c r="AB507" s="1" t="s">
        <v>5245</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5246</v>
      </c>
      <c r="AP507" s="1" t="s">
        <v>74</v>
      </c>
      <c r="AQ507" s="1" t="s">
        <v>5247</v>
      </c>
      <c r="AR507" s="1" t="s">
        <v>74</v>
      </c>
      <c r="AS507" s="1" t="s">
        <v>74</v>
      </c>
      <c r="AT507" s="1" t="s">
        <v>74</v>
      </c>
      <c r="AU507" s="1">
        <v>2010.0</v>
      </c>
      <c r="AV507" s="1" t="s">
        <v>74</v>
      </c>
      <c r="AW507" s="1" t="s">
        <v>74</v>
      </c>
      <c r="AX507" s="1" t="s">
        <v>74</v>
      </c>
      <c r="AY507" s="1" t="s">
        <v>74</v>
      </c>
      <c r="AZ507" s="1" t="s">
        <v>74</v>
      </c>
      <c r="BA507" s="1" t="s">
        <v>74</v>
      </c>
      <c r="BB507" s="1">
        <v>996.0</v>
      </c>
      <c r="BC507" s="1">
        <v>999.0</v>
      </c>
      <c r="BD507" s="1" t="s">
        <v>74</v>
      </c>
      <c r="BE507" s="1" t="s">
        <v>74</v>
      </c>
      <c r="BF507" s="1" t="s">
        <v>74</v>
      </c>
      <c r="BG507" s="1" t="s">
        <v>74</v>
      </c>
      <c r="BH507" s="1" t="s">
        <v>74</v>
      </c>
      <c r="BI507" s="1" t="s">
        <v>74</v>
      </c>
      <c r="BJ507" s="1" t="s">
        <v>74</v>
      </c>
      <c r="BK507" s="1" t="s">
        <v>74</v>
      </c>
      <c r="BL507" s="1" t="s">
        <v>74</v>
      </c>
      <c r="BM507" s="1" t="s">
        <v>74</v>
      </c>
      <c r="BN507" s="1">
        <v>2.1096989E7</v>
      </c>
      <c r="BO507" s="1" t="s">
        <v>74</v>
      </c>
      <c r="BP507" s="1" t="s">
        <v>74</v>
      </c>
      <c r="BQ507" s="1" t="s">
        <v>74</v>
      </c>
      <c r="BR507" s="1" t="s">
        <v>74</v>
      </c>
      <c r="BS507" s="1" t="s">
        <v>5248</v>
      </c>
      <c r="BT507" s="1" t="str">
        <f>HYPERLINK("https%3A%2F%2Fwww.webofscience.com%2Fwos%2Fwoscc%2Ffull-record%2FWOS:000287964001099","View Full Record in Web of Science")</f>
        <v>View Full Record in Web of Science</v>
      </c>
    </row>
    <row r="508" ht="12.75" customHeight="1">
      <c r="A508" s="1" t="s">
        <v>72</v>
      </c>
      <c r="B508" s="1" t="s">
        <v>5249</v>
      </c>
      <c r="C508" s="1" t="s">
        <v>74</v>
      </c>
      <c r="D508" s="1" t="s">
        <v>74</v>
      </c>
      <c r="E508" s="1" t="s">
        <v>74</v>
      </c>
      <c r="F508" s="1" t="s">
        <v>5250</v>
      </c>
      <c r="G508" s="1" t="s">
        <v>74</v>
      </c>
      <c r="H508" s="1" t="s">
        <v>74</v>
      </c>
      <c r="I508" s="1" t="s">
        <v>5251</v>
      </c>
      <c r="J508" s="1" t="s">
        <v>5252</v>
      </c>
      <c r="K508" s="1" t="s">
        <v>74</v>
      </c>
      <c r="L508" s="1" t="s">
        <v>74</v>
      </c>
      <c r="M508" s="1" t="s">
        <v>74</v>
      </c>
      <c r="N508" s="1" t="s">
        <v>74</v>
      </c>
      <c r="O508" s="1" t="s">
        <v>74</v>
      </c>
      <c r="P508" s="1" t="s">
        <v>74</v>
      </c>
      <c r="Q508" s="1" t="s">
        <v>74</v>
      </c>
      <c r="R508" s="1" t="s">
        <v>74</v>
      </c>
      <c r="S508" s="1" t="s">
        <v>74</v>
      </c>
      <c r="T508" s="1" t="s">
        <v>74</v>
      </c>
      <c r="U508" s="1" t="s">
        <v>74</v>
      </c>
      <c r="V508" s="1" t="s">
        <v>5253</v>
      </c>
      <c r="W508" s="1" t="s">
        <v>74</v>
      </c>
      <c r="X508" s="1" t="s">
        <v>74</v>
      </c>
      <c r="Y508" s="1" t="s">
        <v>74</v>
      </c>
      <c r="Z508" s="1" t="s">
        <v>74</v>
      </c>
      <c r="AA508" s="1" t="s">
        <v>5254</v>
      </c>
      <c r="AB508" s="1" t="s">
        <v>5255</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5256</v>
      </c>
      <c r="AP508" s="1" t="s">
        <v>5257</v>
      </c>
      <c r="AQ508" s="1" t="s">
        <v>74</v>
      </c>
      <c r="AR508" s="1" t="s">
        <v>74</v>
      </c>
      <c r="AS508" s="1" t="s">
        <v>74</v>
      </c>
      <c r="AT508" s="1" t="s">
        <v>74</v>
      </c>
      <c r="AU508" s="1">
        <v>2010.0</v>
      </c>
      <c r="AV508" s="1">
        <v>2010.0</v>
      </c>
      <c r="AW508" s="1" t="s">
        <v>74</v>
      </c>
      <c r="AX508" s="1" t="s">
        <v>74</v>
      </c>
      <c r="AY508" s="1" t="s">
        <v>74</v>
      </c>
      <c r="AZ508" s="1" t="s">
        <v>74</v>
      </c>
      <c r="BA508" s="1" t="s">
        <v>74</v>
      </c>
      <c r="BB508" s="1" t="s">
        <v>74</v>
      </c>
      <c r="BC508" s="1" t="s">
        <v>74</v>
      </c>
      <c r="BD508" s="1">
        <v>403830.0</v>
      </c>
      <c r="BE508" s="1" t="s">
        <v>5258</v>
      </c>
      <c r="BF508" s="2" t="str">
        <f>HYPERLINK("http://dx.doi.org/10.1155/2010/403830","http://dx.doi.org/10.1155/2010/403830")</f>
        <v>http://dx.doi.org/10.1155/2010/403830</v>
      </c>
      <c r="BG508" s="1" t="s">
        <v>74</v>
      </c>
      <c r="BH508" s="1" t="s">
        <v>74</v>
      </c>
      <c r="BI508" s="1" t="s">
        <v>74</v>
      </c>
      <c r="BJ508" s="1" t="s">
        <v>74</v>
      </c>
      <c r="BK508" s="1" t="s">
        <v>74</v>
      </c>
      <c r="BL508" s="1" t="s">
        <v>74</v>
      </c>
      <c r="BM508" s="1" t="s">
        <v>74</v>
      </c>
      <c r="BN508" s="1">
        <v>2.1253489E7</v>
      </c>
      <c r="BO508" s="1" t="s">
        <v>74</v>
      </c>
      <c r="BP508" s="1" t="s">
        <v>74</v>
      </c>
      <c r="BQ508" s="1" t="s">
        <v>74</v>
      </c>
      <c r="BR508" s="1" t="s">
        <v>74</v>
      </c>
      <c r="BS508" s="1" t="s">
        <v>5259</v>
      </c>
      <c r="BT508" s="1" t="str">
        <f>HYPERLINK("https%3A%2F%2Fwww.webofscience.com%2Fwos%2Fwoscc%2Ffull-record%2FWOS:000286266900001","View Full Record in Web of Science")</f>
        <v>View Full Record in Web of Science</v>
      </c>
    </row>
    <row r="509" ht="12.75" customHeight="1">
      <c r="A509" s="1" t="s">
        <v>207</v>
      </c>
      <c r="B509" s="1" t="s">
        <v>5260</v>
      </c>
      <c r="C509" s="1" t="s">
        <v>74</v>
      </c>
      <c r="D509" s="1" t="s">
        <v>5261</v>
      </c>
      <c r="E509" s="1" t="s">
        <v>74</v>
      </c>
      <c r="F509" s="1" t="s">
        <v>5262</v>
      </c>
      <c r="G509" s="1" t="s">
        <v>74</v>
      </c>
      <c r="H509" s="1" t="s">
        <v>74</v>
      </c>
      <c r="I509" s="1" t="s">
        <v>5263</v>
      </c>
      <c r="J509" s="1" t="s">
        <v>5264</v>
      </c>
      <c r="K509" s="1" t="s">
        <v>354</v>
      </c>
      <c r="L509" s="1" t="s">
        <v>74</v>
      </c>
      <c r="M509" s="1" t="s">
        <v>74</v>
      </c>
      <c r="N509" s="1" t="s">
        <v>74</v>
      </c>
      <c r="O509" s="1" t="s">
        <v>5265</v>
      </c>
      <c r="P509" s="1" t="s">
        <v>5266</v>
      </c>
      <c r="Q509" s="1" t="s">
        <v>5267</v>
      </c>
      <c r="R509" s="1" t="s">
        <v>5268</v>
      </c>
      <c r="S509" s="1" t="s">
        <v>74</v>
      </c>
      <c r="T509" s="1" t="s">
        <v>74</v>
      </c>
      <c r="U509" s="1" t="s">
        <v>74</v>
      </c>
      <c r="V509" s="1" t="s">
        <v>5269</v>
      </c>
      <c r="W509" s="1" t="s">
        <v>74</v>
      </c>
      <c r="X509" s="1" t="s">
        <v>74</v>
      </c>
      <c r="Y509" s="1" t="s">
        <v>74</v>
      </c>
      <c r="Z509" s="1" t="s">
        <v>74</v>
      </c>
      <c r="AA509" s="1" t="s">
        <v>74</v>
      </c>
      <c r="AB509" s="1" t="s">
        <v>74</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361</v>
      </c>
      <c r="AP509" s="1" t="s">
        <v>362</v>
      </c>
      <c r="AQ509" s="1" t="s">
        <v>5270</v>
      </c>
      <c r="AR509" s="1" t="s">
        <v>74</v>
      </c>
      <c r="AS509" s="1" t="s">
        <v>74</v>
      </c>
      <c r="AT509" s="1" t="s">
        <v>74</v>
      </c>
      <c r="AU509" s="1">
        <v>2010.0</v>
      </c>
      <c r="AV509" s="1">
        <v>6272.0</v>
      </c>
      <c r="AW509" s="1" t="s">
        <v>74</v>
      </c>
      <c r="AX509" s="1" t="s">
        <v>5271</v>
      </c>
      <c r="AY509" s="1" t="s">
        <v>74</v>
      </c>
      <c r="AZ509" s="1" t="s">
        <v>74</v>
      </c>
      <c r="BA509" s="1" t="s">
        <v>74</v>
      </c>
      <c r="BB509" s="1">
        <v>14.0</v>
      </c>
      <c r="BC509" s="1" t="s">
        <v>906</v>
      </c>
      <c r="BD509" s="1" t="s">
        <v>74</v>
      </c>
      <c r="BE509" s="1" t="s">
        <v>74</v>
      </c>
      <c r="BF509" s="1" t="s">
        <v>74</v>
      </c>
      <c r="BG509" s="1" t="s">
        <v>74</v>
      </c>
      <c r="BH509" s="1" t="s">
        <v>74</v>
      </c>
      <c r="BI509" s="1" t="s">
        <v>74</v>
      </c>
      <c r="BJ509" s="1" t="s">
        <v>74</v>
      </c>
      <c r="BK509" s="1" t="s">
        <v>74</v>
      </c>
      <c r="BL509" s="1" t="s">
        <v>74</v>
      </c>
      <c r="BM509" s="1" t="s">
        <v>74</v>
      </c>
      <c r="BN509" s="1" t="s">
        <v>74</v>
      </c>
      <c r="BO509" s="1" t="s">
        <v>74</v>
      </c>
      <c r="BP509" s="1" t="s">
        <v>74</v>
      </c>
      <c r="BQ509" s="1" t="s">
        <v>74</v>
      </c>
      <c r="BR509" s="1" t="s">
        <v>74</v>
      </c>
      <c r="BS509" s="1" t="s">
        <v>5272</v>
      </c>
      <c r="BT509" s="1" t="str">
        <f>HYPERLINK("https%3A%2F%2Fwww.webofscience.com%2Fwos%2Fwoscc%2Ffull-record%2FWOS:000283106500003","View Full Record in Web of Science")</f>
        <v>View Full Record in Web of Science</v>
      </c>
    </row>
    <row r="510" ht="12.75" customHeight="1">
      <c r="A510" s="1" t="s">
        <v>72</v>
      </c>
      <c r="B510" s="1" t="s">
        <v>5273</v>
      </c>
      <c r="C510" s="1" t="s">
        <v>74</v>
      </c>
      <c r="D510" s="1" t="s">
        <v>74</v>
      </c>
      <c r="E510" s="1" t="s">
        <v>74</v>
      </c>
      <c r="F510" s="1" t="s">
        <v>5274</v>
      </c>
      <c r="G510" s="1" t="s">
        <v>74</v>
      </c>
      <c r="H510" s="1" t="s">
        <v>74</v>
      </c>
      <c r="I510" s="1" t="s">
        <v>5275</v>
      </c>
      <c r="J510" s="1" t="s">
        <v>5276</v>
      </c>
      <c r="K510" s="1" t="s">
        <v>74</v>
      </c>
      <c r="L510" s="1" t="s">
        <v>74</v>
      </c>
      <c r="M510" s="1" t="s">
        <v>74</v>
      </c>
      <c r="N510" s="1" t="s">
        <v>74</v>
      </c>
      <c r="O510" s="1" t="s">
        <v>74</v>
      </c>
      <c r="P510" s="1" t="s">
        <v>74</v>
      </c>
      <c r="Q510" s="1" t="s">
        <v>74</v>
      </c>
      <c r="R510" s="1" t="s">
        <v>74</v>
      </c>
      <c r="S510" s="1" t="s">
        <v>74</v>
      </c>
      <c r="T510" s="1" t="s">
        <v>74</v>
      </c>
      <c r="U510" s="1" t="s">
        <v>74</v>
      </c>
      <c r="V510" s="1" t="s">
        <v>5277</v>
      </c>
      <c r="W510" s="1" t="s">
        <v>74</v>
      </c>
      <c r="X510" s="1" t="s">
        <v>74</v>
      </c>
      <c r="Y510" s="1" t="s">
        <v>74</v>
      </c>
      <c r="Z510" s="1" t="s">
        <v>74</v>
      </c>
      <c r="AA510" s="1" t="s">
        <v>5278</v>
      </c>
      <c r="AB510" s="1" t="s">
        <v>5279</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5280</v>
      </c>
      <c r="AP510" s="1" t="s">
        <v>5281</v>
      </c>
      <c r="AQ510" s="1" t="s">
        <v>74</v>
      </c>
      <c r="AR510" s="1" t="s">
        <v>74</v>
      </c>
      <c r="AS510" s="1" t="s">
        <v>74</v>
      </c>
      <c r="AT510" s="1" t="s">
        <v>1279</v>
      </c>
      <c r="AU510" s="1">
        <v>2009.0</v>
      </c>
      <c r="AV510" s="1">
        <v>48.0</v>
      </c>
      <c r="AW510" s="1">
        <v>4.0</v>
      </c>
      <c r="AX510" s="1" t="s">
        <v>74</v>
      </c>
      <c r="AY510" s="1" t="s">
        <v>74</v>
      </c>
      <c r="AZ510" s="1" t="s">
        <v>74</v>
      </c>
      <c r="BA510" s="1" t="s">
        <v>74</v>
      </c>
      <c r="BB510" s="1">
        <v>452.0</v>
      </c>
      <c r="BC510" s="1">
        <v>457.0</v>
      </c>
      <c r="BD510" s="1" t="s">
        <v>74</v>
      </c>
      <c r="BE510" s="1" t="s">
        <v>5282</v>
      </c>
      <c r="BF510" s="2" t="str">
        <f>HYPERLINK("http://dx.doi.org/10.1111/j.1472-765X.2009.02556.x","http://dx.doi.org/10.1111/j.1472-765X.2009.02556.x")</f>
        <v>http://dx.doi.org/10.1111/j.1472-765X.2009.02556.x</v>
      </c>
      <c r="BG510" s="1" t="s">
        <v>74</v>
      </c>
      <c r="BH510" s="1" t="s">
        <v>74</v>
      </c>
      <c r="BI510" s="1" t="s">
        <v>74</v>
      </c>
      <c r="BJ510" s="1" t="s">
        <v>74</v>
      </c>
      <c r="BK510" s="1" t="s">
        <v>74</v>
      </c>
      <c r="BL510" s="1" t="s">
        <v>74</v>
      </c>
      <c r="BM510" s="1" t="s">
        <v>74</v>
      </c>
      <c r="BN510" s="1">
        <v>1.9187489E7</v>
      </c>
      <c r="BO510" s="1" t="s">
        <v>74</v>
      </c>
      <c r="BP510" s="1" t="s">
        <v>74</v>
      </c>
      <c r="BQ510" s="1" t="s">
        <v>74</v>
      </c>
      <c r="BR510" s="1" t="s">
        <v>74</v>
      </c>
      <c r="BS510" s="1" t="s">
        <v>5283</v>
      </c>
      <c r="BT510" s="1" t="str">
        <f>HYPERLINK("https%3A%2F%2Fwww.webofscience.com%2Fwos%2Fwoscc%2Ffull-record%2FWOS:000264026000012","View Full Record in Web of Science")</f>
        <v>View Full Record in Web of Science</v>
      </c>
    </row>
    <row r="511" ht="12.75" customHeight="1">
      <c r="A511" s="1" t="s">
        <v>72</v>
      </c>
      <c r="B511" s="1" t="s">
        <v>5284</v>
      </c>
      <c r="C511" s="1" t="s">
        <v>74</v>
      </c>
      <c r="D511" s="1" t="s">
        <v>74</v>
      </c>
      <c r="E511" s="1" t="s">
        <v>74</v>
      </c>
      <c r="F511" s="1" t="s">
        <v>5285</v>
      </c>
      <c r="G511" s="1" t="s">
        <v>74</v>
      </c>
      <c r="H511" s="1" t="s">
        <v>74</v>
      </c>
      <c r="I511" s="1" t="s">
        <v>5286</v>
      </c>
      <c r="J511" s="1" t="s">
        <v>2877</v>
      </c>
      <c r="K511" s="1" t="s">
        <v>74</v>
      </c>
      <c r="L511" s="1" t="s">
        <v>74</v>
      </c>
      <c r="M511" s="1" t="s">
        <v>74</v>
      </c>
      <c r="N511" s="1" t="s">
        <v>74</v>
      </c>
      <c r="O511" s="1" t="s">
        <v>74</v>
      </c>
      <c r="P511" s="1" t="s">
        <v>74</v>
      </c>
      <c r="Q511" s="1" t="s">
        <v>74</v>
      </c>
      <c r="R511" s="1" t="s">
        <v>74</v>
      </c>
      <c r="S511" s="1" t="s">
        <v>74</v>
      </c>
      <c r="T511" s="1" t="s">
        <v>74</v>
      </c>
      <c r="U511" s="1" t="s">
        <v>74</v>
      </c>
      <c r="V511" s="1" t="s">
        <v>5287</v>
      </c>
      <c r="W511" s="1" t="s">
        <v>74</v>
      </c>
      <c r="X511" s="1" t="s">
        <v>74</v>
      </c>
      <c r="Y511" s="1" t="s">
        <v>74</v>
      </c>
      <c r="Z511" s="1" t="s">
        <v>74</v>
      </c>
      <c r="AA511" s="1" t="s">
        <v>74</v>
      </c>
      <c r="AB511" s="1" t="s">
        <v>3509</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2880</v>
      </c>
      <c r="AP511" s="1" t="s">
        <v>5288</v>
      </c>
      <c r="AQ511" s="1" t="s">
        <v>74</v>
      </c>
      <c r="AR511" s="1" t="s">
        <v>74</v>
      </c>
      <c r="AS511" s="1" t="s">
        <v>74</v>
      </c>
      <c r="AT511" s="1" t="s">
        <v>1227</v>
      </c>
      <c r="AU511" s="1">
        <v>2008.0</v>
      </c>
      <c r="AV511" s="1">
        <v>84.0</v>
      </c>
      <c r="AW511" s="1">
        <v>6.0</v>
      </c>
      <c r="AX511" s="1" t="s">
        <v>74</v>
      </c>
      <c r="AY511" s="1" t="s">
        <v>74</v>
      </c>
      <c r="AZ511" s="1" t="s">
        <v>74</v>
      </c>
      <c r="BA511" s="1" t="s">
        <v>74</v>
      </c>
      <c r="BB511" s="1">
        <v>1535.0</v>
      </c>
      <c r="BC511" s="1">
        <v>1542.0</v>
      </c>
      <c r="BD511" s="1" t="s">
        <v>74</v>
      </c>
      <c r="BE511" s="1" t="s">
        <v>5289</v>
      </c>
      <c r="BF511" s="2" t="str">
        <f>HYPERLINK("http://dx.doi.org/10.1111/j.1751-1097.2008.00381.x","http://dx.doi.org/10.1111/j.1751-1097.2008.00381.x")</f>
        <v>http://dx.doi.org/10.1111/j.1751-1097.2008.00381.x</v>
      </c>
      <c r="BG511" s="1" t="s">
        <v>74</v>
      </c>
      <c r="BH511" s="1" t="s">
        <v>74</v>
      </c>
      <c r="BI511" s="1" t="s">
        <v>74</v>
      </c>
      <c r="BJ511" s="1" t="s">
        <v>74</v>
      </c>
      <c r="BK511" s="1" t="s">
        <v>74</v>
      </c>
      <c r="BL511" s="1" t="s">
        <v>74</v>
      </c>
      <c r="BM511" s="1" t="s">
        <v>74</v>
      </c>
      <c r="BN511" s="1">
        <v>1.8627524E7</v>
      </c>
      <c r="BO511" s="1" t="s">
        <v>74</v>
      </c>
      <c r="BP511" s="1" t="s">
        <v>74</v>
      </c>
      <c r="BQ511" s="1" t="s">
        <v>74</v>
      </c>
      <c r="BR511" s="1" t="s">
        <v>74</v>
      </c>
      <c r="BS511" s="1" t="s">
        <v>5290</v>
      </c>
      <c r="BT511" s="1" t="str">
        <f>HYPERLINK("https%3A%2F%2Fwww.webofscience.com%2Fwos%2Fwoscc%2Ffull-record%2FWOS:000261081200032","View Full Record in Web of Science")</f>
        <v>View Full Record in Web of Science</v>
      </c>
    </row>
    <row r="512" ht="12.75" customHeight="1">
      <c r="A512" s="1" t="s">
        <v>72</v>
      </c>
      <c r="B512" s="1" t="s">
        <v>5291</v>
      </c>
      <c r="C512" s="1" t="s">
        <v>74</v>
      </c>
      <c r="D512" s="1" t="s">
        <v>74</v>
      </c>
      <c r="E512" s="1" t="s">
        <v>74</v>
      </c>
      <c r="F512" s="1" t="s">
        <v>5292</v>
      </c>
      <c r="G512" s="1" t="s">
        <v>74</v>
      </c>
      <c r="H512" s="1" t="s">
        <v>74</v>
      </c>
      <c r="I512" s="1" t="s">
        <v>5293</v>
      </c>
      <c r="J512" s="1" t="s">
        <v>5294</v>
      </c>
      <c r="K512" s="1" t="s">
        <v>74</v>
      </c>
      <c r="L512" s="1" t="s">
        <v>74</v>
      </c>
      <c r="M512" s="1" t="s">
        <v>74</v>
      </c>
      <c r="N512" s="1" t="s">
        <v>74</v>
      </c>
      <c r="O512" s="1" t="s">
        <v>74</v>
      </c>
      <c r="P512" s="1" t="s">
        <v>74</v>
      </c>
      <c r="Q512" s="1" t="s">
        <v>74</v>
      </c>
      <c r="R512" s="1" t="s">
        <v>74</v>
      </c>
      <c r="S512" s="1" t="s">
        <v>74</v>
      </c>
      <c r="T512" s="1" t="s">
        <v>74</v>
      </c>
      <c r="U512" s="1" t="s">
        <v>74</v>
      </c>
      <c r="V512" s="1" t="s">
        <v>5295</v>
      </c>
      <c r="W512" s="1" t="s">
        <v>74</v>
      </c>
      <c r="X512" s="1" t="s">
        <v>74</v>
      </c>
      <c r="Y512" s="1" t="s">
        <v>74</v>
      </c>
      <c r="Z512" s="1" t="s">
        <v>74</v>
      </c>
      <c r="AA512" s="1" t="s">
        <v>74</v>
      </c>
      <c r="AB512" s="1" t="s">
        <v>74</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5296</v>
      </c>
      <c r="AP512" s="1" t="s">
        <v>5297</v>
      </c>
      <c r="AQ512" s="1" t="s">
        <v>74</v>
      </c>
      <c r="AR512" s="1" t="s">
        <v>74</v>
      </c>
      <c r="AS512" s="1" t="s">
        <v>74</v>
      </c>
      <c r="AT512" s="1" t="s">
        <v>82</v>
      </c>
      <c r="AU512" s="1">
        <v>2007.0</v>
      </c>
      <c r="AV512" s="1">
        <v>26.0</v>
      </c>
      <c r="AW512" s="1">
        <v>7.0</v>
      </c>
      <c r="AX512" s="1" t="s">
        <v>74</v>
      </c>
      <c r="AY512" s="1" t="s">
        <v>74</v>
      </c>
      <c r="AZ512" s="1" t="s">
        <v>74</v>
      </c>
      <c r="BA512" s="1" t="s">
        <v>74</v>
      </c>
      <c r="BB512" s="1">
        <v>475.0</v>
      </c>
      <c r="BC512" s="1">
        <v>479.0</v>
      </c>
      <c r="BD512" s="1" t="s">
        <v>74</v>
      </c>
      <c r="BE512" s="1" t="s">
        <v>5298</v>
      </c>
      <c r="BF512" s="2" t="str">
        <f>HYPERLINK("http://dx.doi.org/10.1007/s10930-007-9087-y","http://dx.doi.org/10.1007/s10930-007-9087-y")</f>
        <v>http://dx.doi.org/10.1007/s10930-007-9087-y</v>
      </c>
      <c r="BG512" s="1" t="s">
        <v>74</v>
      </c>
      <c r="BH512" s="1" t="s">
        <v>74</v>
      </c>
      <c r="BI512" s="1" t="s">
        <v>74</v>
      </c>
      <c r="BJ512" s="1" t="s">
        <v>74</v>
      </c>
      <c r="BK512" s="1" t="s">
        <v>74</v>
      </c>
      <c r="BL512" s="1" t="s">
        <v>74</v>
      </c>
      <c r="BM512" s="1" t="s">
        <v>74</v>
      </c>
      <c r="BN512" s="1">
        <v>1.7522967E7</v>
      </c>
      <c r="BO512" s="1" t="s">
        <v>74</v>
      </c>
      <c r="BP512" s="1" t="s">
        <v>74</v>
      </c>
      <c r="BQ512" s="1" t="s">
        <v>74</v>
      </c>
      <c r="BR512" s="1" t="s">
        <v>74</v>
      </c>
      <c r="BS512" s="1" t="s">
        <v>5299</v>
      </c>
      <c r="BT512" s="1" t="str">
        <f>HYPERLINK("https%3A%2F%2Fwww.webofscience.com%2Fwos%2Fwoscc%2Ffull-record%2FWOS:000250122900004","View Full Record in Web of Science")</f>
        <v>View Full Record in Web of Science</v>
      </c>
    </row>
    <row r="513" ht="12.75" customHeight="1">
      <c r="A513" s="1" t="s">
        <v>72</v>
      </c>
      <c r="B513" s="1" t="s">
        <v>5300</v>
      </c>
      <c r="C513" s="1" t="s">
        <v>74</v>
      </c>
      <c r="D513" s="1" t="s">
        <v>74</v>
      </c>
      <c r="E513" s="1" t="s">
        <v>74</v>
      </c>
      <c r="F513" s="1" t="s">
        <v>5300</v>
      </c>
      <c r="G513" s="1" t="s">
        <v>74</v>
      </c>
      <c r="H513" s="1" t="s">
        <v>74</v>
      </c>
      <c r="I513" s="1" t="s">
        <v>5301</v>
      </c>
      <c r="J513" s="1" t="s">
        <v>1509</v>
      </c>
      <c r="K513" s="1" t="s">
        <v>74</v>
      </c>
      <c r="L513" s="1" t="s">
        <v>74</v>
      </c>
      <c r="M513" s="1" t="s">
        <v>74</v>
      </c>
      <c r="N513" s="1" t="s">
        <v>74</v>
      </c>
      <c r="O513" s="1" t="s">
        <v>74</v>
      </c>
      <c r="P513" s="1" t="s">
        <v>74</v>
      </c>
      <c r="Q513" s="1" t="s">
        <v>74</v>
      </c>
      <c r="R513" s="1" t="s">
        <v>74</v>
      </c>
      <c r="S513" s="1" t="s">
        <v>74</v>
      </c>
      <c r="T513" s="1" t="s">
        <v>74</v>
      </c>
      <c r="U513" s="1" t="s">
        <v>74</v>
      </c>
      <c r="V513" s="1" t="s">
        <v>5302</v>
      </c>
      <c r="W513" s="1" t="s">
        <v>74</v>
      </c>
      <c r="X513" s="1" t="s">
        <v>74</v>
      </c>
      <c r="Y513" s="1" t="s">
        <v>74</v>
      </c>
      <c r="Z513" s="1" t="s">
        <v>74</v>
      </c>
      <c r="AA513" s="1" t="s">
        <v>74</v>
      </c>
      <c r="AB513" s="1" t="s">
        <v>5303</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1511</v>
      </c>
      <c r="AP513" s="1" t="s">
        <v>1512</v>
      </c>
      <c r="AQ513" s="1" t="s">
        <v>74</v>
      </c>
      <c r="AR513" s="1" t="s">
        <v>74</v>
      </c>
      <c r="AS513" s="1" t="s">
        <v>74</v>
      </c>
      <c r="AT513" s="1" t="s">
        <v>5304</v>
      </c>
      <c r="AU513" s="1">
        <v>2004.0</v>
      </c>
      <c r="AV513" s="1">
        <v>595.0</v>
      </c>
      <c r="AW513" s="1" t="s">
        <v>74</v>
      </c>
      <c r="AX513" s="1" t="s">
        <v>74</v>
      </c>
      <c r="AY513" s="1" t="s">
        <v>74</v>
      </c>
      <c r="AZ513" s="1" t="s">
        <v>74</v>
      </c>
      <c r="BA513" s="1" t="s">
        <v>74</v>
      </c>
      <c r="BB513" s="1">
        <v>547.0</v>
      </c>
      <c r="BC513" s="1">
        <v>555.0</v>
      </c>
      <c r="BD513" s="1" t="s">
        <v>74</v>
      </c>
      <c r="BE513" s="1" t="s">
        <v>5305</v>
      </c>
      <c r="BF513" s="2" t="str">
        <f>HYPERLINK("http://dx.doi.org/10.1016/j.physletb.2004.05.043","http://dx.doi.org/10.1016/j.physletb.2004.05.043")</f>
        <v>http://dx.doi.org/10.1016/j.physletb.2004.05.043</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5306</v>
      </c>
      <c r="BT513" s="1" t="str">
        <f>HYPERLINK("https%3A%2F%2Fwww.webofscience.com%2Fwos%2Fwoscc%2Ffull-record%2FWOS:000223143300071","View Full Record in Web of Science")</f>
        <v>View Full Record in Web of Science</v>
      </c>
    </row>
    <row r="514" ht="12.75" customHeight="1">
      <c r="A514" s="1" t="s">
        <v>72</v>
      </c>
      <c r="B514" s="1" t="s">
        <v>5307</v>
      </c>
      <c r="C514" s="1" t="s">
        <v>74</v>
      </c>
      <c r="D514" s="1" t="s">
        <v>74</v>
      </c>
      <c r="E514" s="1" t="s">
        <v>74</v>
      </c>
      <c r="F514" s="1" t="s">
        <v>5307</v>
      </c>
      <c r="G514" s="1" t="s">
        <v>74</v>
      </c>
      <c r="H514" s="1" t="s">
        <v>74</v>
      </c>
      <c r="I514" s="1" t="s">
        <v>5308</v>
      </c>
      <c r="J514" s="1" t="s">
        <v>2896</v>
      </c>
      <c r="K514" s="1" t="s">
        <v>74</v>
      </c>
      <c r="L514" s="1" t="s">
        <v>74</v>
      </c>
      <c r="M514" s="1" t="s">
        <v>74</v>
      </c>
      <c r="N514" s="1" t="s">
        <v>74</v>
      </c>
      <c r="O514" s="1" t="s">
        <v>5309</v>
      </c>
      <c r="P514" s="1" t="s">
        <v>5310</v>
      </c>
      <c r="Q514" s="1" t="s">
        <v>5311</v>
      </c>
      <c r="R514" s="1" t="s">
        <v>5312</v>
      </c>
      <c r="S514" s="1" t="s">
        <v>74</v>
      </c>
      <c r="T514" s="1" t="s">
        <v>74</v>
      </c>
      <c r="U514" s="1" t="s">
        <v>74</v>
      </c>
      <c r="V514" s="1" t="s">
        <v>5313</v>
      </c>
      <c r="W514" s="1" t="s">
        <v>74</v>
      </c>
      <c r="X514" s="1" t="s">
        <v>74</v>
      </c>
      <c r="Y514" s="1" t="s">
        <v>74</v>
      </c>
      <c r="Z514" s="1" t="s">
        <v>74</v>
      </c>
      <c r="AA514" s="1" t="s">
        <v>2869</v>
      </c>
      <c r="AB514" s="1" t="s">
        <v>2870</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2902</v>
      </c>
      <c r="AP514" s="1" t="s">
        <v>5314</v>
      </c>
      <c r="AQ514" s="1" t="s">
        <v>74</v>
      </c>
      <c r="AR514" s="1" t="s">
        <v>74</v>
      </c>
      <c r="AS514" s="1" t="s">
        <v>74</v>
      </c>
      <c r="AT514" s="1" t="s">
        <v>74</v>
      </c>
      <c r="AU514" s="1">
        <v>2003.0</v>
      </c>
      <c r="AV514" s="1">
        <v>148.0</v>
      </c>
      <c r="AW514" s="1" t="s">
        <v>2903</v>
      </c>
      <c r="AX514" s="1" t="s">
        <v>74</v>
      </c>
      <c r="AY514" s="1" t="s">
        <v>74</v>
      </c>
      <c r="AZ514" s="1" t="s">
        <v>74</v>
      </c>
      <c r="BA514" s="1" t="s">
        <v>74</v>
      </c>
      <c r="BB514" s="1">
        <v>53.0</v>
      </c>
      <c r="BC514" s="1">
        <v>59.0</v>
      </c>
      <c r="BD514" s="1" t="s">
        <v>74</v>
      </c>
      <c r="BE514" s="1" t="s">
        <v>5315</v>
      </c>
      <c r="BF514" s="2" t="str">
        <f>HYPERLINK("http://dx.doi.org/10.1023/B:HYPE.0000003764.17385.a9","http://dx.doi.org/10.1023/B:HYPE.0000003764.17385.a9")</f>
        <v>http://dx.doi.org/10.1023/B:HYPE.0000003764.17385.a9</v>
      </c>
      <c r="BG514" s="1" t="s">
        <v>74</v>
      </c>
      <c r="BH514" s="1" t="s">
        <v>74</v>
      </c>
      <c r="BI514" s="1" t="s">
        <v>74</v>
      </c>
      <c r="BJ514" s="1" t="s">
        <v>74</v>
      </c>
      <c r="BK514" s="1" t="s">
        <v>74</v>
      </c>
      <c r="BL514" s="1" t="s">
        <v>74</v>
      </c>
      <c r="BM514" s="1" t="s">
        <v>74</v>
      </c>
      <c r="BN514" s="1" t="s">
        <v>74</v>
      </c>
      <c r="BO514" s="1" t="s">
        <v>74</v>
      </c>
      <c r="BP514" s="1" t="s">
        <v>74</v>
      </c>
      <c r="BQ514" s="1" t="s">
        <v>74</v>
      </c>
      <c r="BR514" s="1" t="s">
        <v>74</v>
      </c>
      <c r="BS514" s="1" t="s">
        <v>5316</v>
      </c>
      <c r="BT514" s="1" t="str">
        <f>HYPERLINK("https%3A%2F%2Fwww.webofscience.com%2Fwos%2Fwoscc%2Ffull-record%2FWOS:000187826200008","View Full Record in Web of Science")</f>
        <v>View Full Record in Web of Science</v>
      </c>
    </row>
    <row r="515" ht="12.75" customHeight="1">
      <c r="A515" s="1" t="s">
        <v>72</v>
      </c>
      <c r="B515" s="1" t="s">
        <v>5317</v>
      </c>
      <c r="C515" s="1" t="s">
        <v>74</v>
      </c>
      <c r="D515" s="1" t="s">
        <v>74</v>
      </c>
      <c r="E515" s="1" t="s">
        <v>74</v>
      </c>
      <c r="F515" s="1" t="s">
        <v>5317</v>
      </c>
      <c r="G515" s="1" t="s">
        <v>74</v>
      </c>
      <c r="H515" s="1" t="s">
        <v>74</v>
      </c>
      <c r="I515" s="1" t="s">
        <v>5318</v>
      </c>
      <c r="J515" s="1" t="s">
        <v>2139</v>
      </c>
      <c r="K515" s="1" t="s">
        <v>74</v>
      </c>
      <c r="L515" s="1" t="s">
        <v>74</v>
      </c>
      <c r="M515" s="1" t="s">
        <v>74</v>
      </c>
      <c r="N515" s="1" t="s">
        <v>74</v>
      </c>
      <c r="O515" s="1" t="s">
        <v>74</v>
      </c>
      <c r="P515" s="1" t="s">
        <v>74</v>
      </c>
      <c r="Q515" s="1" t="s">
        <v>74</v>
      </c>
      <c r="R515" s="1" t="s">
        <v>74</v>
      </c>
      <c r="S515" s="1" t="s">
        <v>74</v>
      </c>
      <c r="T515" s="1" t="s">
        <v>74</v>
      </c>
      <c r="U515" s="1" t="s">
        <v>74</v>
      </c>
      <c r="V515" s="1" t="s">
        <v>5319</v>
      </c>
      <c r="W515" s="1" t="s">
        <v>74</v>
      </c>
      <c r="X515" s="1" t="s">
        <v>74</v>
      </c>
      <c r="Y515" s="1" t="s">
        <v>74</v>
      </c>
      <c r="Z515" s="1" t="s">
        <v>74</v>
      </c>
      <c r="AA515" s="1" t="s">
        <v>5320</v>
      </c>
      <c r="AB515" s="1" t="s">
        <v>5321</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2143</v>
      </c>
      <c r="AP515" s="1" t="s">
        <v>74</v>
      </c>
      <c r="AQ515" s="1" t="s">
        <v>74</v>
      </c>
      <c r="AR515" s="1" t="s">
        <v>74</v>
      </c>
      <c r="AS515" s="1" t="s">
        <v>74</v>
      </c>
      <c r="AT515" s="1" t="s">
        <v>5322</v>
      </c>
      <c r="AU515" s="1">
        <v>2002.0</v>
      </c>
      <c r="AV515" s="1">
        <v>50.0</v>
      </c>
      <c r="AW515" s="1">
        <v>3.0</v>
      </c>
      <c r="AX515" s="1" t="s">
        <v>74</v>
      </c>
      <c r="AY515" s="1" t="s">
        <v>74</v>
      </c>
      <c r="AZ515" s="1" t="s">
        <v>74</v>
      </c>
      <c r="BA515" s="1" t="s">
        <v>74</v>
      </c>
      <c r="BB515" s="1">
        <v>642.0</v>
      </c>
      <c r="BC515" s="1">
        <v>647.0</v>
      </c>
      <c r="BD515" s="1" t="s">
        <v>74</v>
      </c>
      <c r="BE515" s="1" t="s">
        <v>5323</v>
      </c>
      <c r="BF515" s="2" t="str">
        <f>HYPERLINK("http://dx.doi.org/10.1021/jf011027k","http://dx.doi.org/10.1021/jf011027k")</f>
        <v>http://dx.doi.org/10.1021/jf011027k</v>
      </c>
      <c r="BG515" s="1" t="s">
        <v>74</v>
      </c>
      <c r="BH515" s="1" t="s">
        <v>74</v>
      </c>
      <c r="BI515" s="1" t="s">
        <v>74</v>
      </c>
      <c r="BJ515" s="1" t="s">
        <v>74</v>
      </c>
      <c r="BK515" s="1" t="s">
        <v>74</v>
      </c>
      <c r="BL515" s="1" t="s">
        <v>74</v>
      </c>
      <c r="BM515" s="1" t="s">
        <v>74</v>
      </c>
      <c r="BN515" s="1">
        <v>1.1804542E7</v>
      </c>
      <c r="BO515" s="1" t="s">
        <v>74</v>
      </c>
      <c r="BP515" s="1" t="s">
        <v>74</v>
      </c>
      <c r="BQ515" s="1" t="s">
        <v>74</v>
      </c>
      <c r="BR515" s="1" t="s">
        <v>74</v>
      </c>
      <c r="BS515" s="1" t="s">
        <v>5324</v>
      </c>
      <c r="BT515" s="1" t="str">
        <f>HYPERLINK("https%3A%2F%2Fwww.webofscience.com%2Fwos%2Fwoscc%2Ffull-record%2FWOS:000173612800038","View Full Record in Web of Science")</f>
        <v>View Full Record in Web of Science</v>
      </c>
    </row>
    <row r="516" ht="12.75" customHeight="1">
      <c r="A516" s="1" t="s">
        <v>72</v>
      </c>
      <c r="B516" s="1" t="s">
        <v>5325</v>
      </c>
      <c r="C516" s="1" t="s">
        <v>74</v>
      </c>
      <c r="D516" s="1" t="s">
        <v>74</v>
      </c>
      <c r="E516" s="1" t="s">
        <v>74</v>
      </c>
      <c r="F516" s="1" t="s">
        <v>5325</v>
      </c>
      <c r="G516" s="1" t="s">
        <v>74</v>
      </c>
      <c r="H516" s="1" t="s">
        <v>74</v>
      </c>
      <c r="I516" s="1" t="s">
        <v>5326</v>
      </c>
      <c r="J516" s="1" t="s">
        <v>5327</v>
      </c>
      <c r="K516" s="1" t="s">
        <v>74</v>
      </c>
      <c r="L516" s="1" t="s">
        <v>74</v>
      </c>
      <c r="M516" s="1" t="s">
        <v>74</v>
      </c>
      <c r="N516" s="1" t="s">
        <v>74</v>
      </c>
      <c r="O516" s="1" t="s">
        <v>74</v>
      </c>
      <c r="P516" s="1" t="s">
        <v>74</v>
      </c>
      <c r="Q516" s="1" t="s">
        <v>74</v>
      </c>
      <c r="R516" s="1" t="s">
        <v>74</v>
      </c>
      <c r="S516" s="1" t="s">
        <v>74</v>
      </c>
      <c r="T516" s="1" t="s">
        <v>74</v>
      </c>
      <c r="U516" s="1" t="s">
        <v>74</v>
      </c>
      <c r="V516" s="1" t="s">
        <v>5328</v>
      </c>
      <c r="W516" s="1" t="s">
        <v>74</v>
      </c>
      <c r="X516" s="1" t="s">
        <v>74</v>
      </c>
      <c r="Y516" s="1" t="s">
        <v>74</v>
      </c>
      <c r="Z516" s="1" t="s">
        <v>74</v>
      </c>
      <c r="AA516" s="1" t="s">
        <v>74</v>
      </c>
      <c r="AB516" s="1" t="s">
        <v>498</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5329</v>
      </c>
      <c r="AP516" s="1" t="s">
        <v>5330</v>
      </c>
      <c r="AQ516" s="1" t="s">
        <v>74</v>
      </c>
      <c r="AR516" s="1" t="s">
        <v>74</v>
      </c>
      <c r="AS516" s="1" t="s">
        <v>74</v>
      </c>
      <c r="AT516" s="1" t="s">
        <v>74</v>
      </c>
      <c r="AU516" s="1">
        <v>2001.0</v>
      </c>
      <c r="AV516" s="1">
        <v>54.0</v>
      </c>
      <c r="AW516" s="1" t="s">
        <v>5331</v>
      </c>
      <c r="AX516" s="1" t="s">
        <v>74</v>
      </c>
      <c r="AY516" s="1" t="s">
        <v>74</v>
      </c>
      <c r="AZ516" s="1" t="s">
        <v>74</v>
      </c>
      <c r="BA516" s="1" t="s">
        <v>74</v>
      </c>
      <c r="BB516" s="1">
        <v>193.0</v>
      </c>
      <c r="BC516" s="1">
        <v>214.0</v>
      </c>
      <c r="BD516" s="1" t="s">
        <v>74</v>
      </c>
      <c r="BE516" s="1" t="s">
        <v>5332</v>
      </c>
      <c r="BF516" s="2" t="str">
        <f>HYPERLINK("http://dx.doi.org/10.1080/00958970108022635","http://dx.doi.org/10.1080/00958970108022635")</f>
        <v>http://dx.doi.org/10.1080/00958970108022635</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5333</v>
      </c>
      <c r="BT516" s="1" t="str">
        <f>HYPERLINK("https%3A%2F%2Fwww.webofscience.com%2Fwos%2Fwoscc%2Ffull-record%2FWOS:000172387600002","View Full Record in Web of Science")</f>
        <v>View Full Record in Web of Science</v>
      </c>
    </row>
    <row r="517" ht="12.75" customHeight="1">
      <c r="A517" s="1" t="s">
        <v>72</v>
      </c>
      <c r="B517" s="1" t="s">
        <v>5334</v>
      </c>
      <c r="C517" s="1" t="s">
        <v>74</v>
      </c>
      <c r="D517" s="1" t="s">
        <v>74</v>
      </c>
      <c r="E517" s="1" t="s">
        <v>74</v>
      </c>
      <c r="F517" s="1" t="s">
        <v>5334</v>
      </c>
      <c r="G517" s="1" t="s">
        <v>74</v>
      </c>
      <c r="H517" s="1" t="s">
        <v>74</v>
      </c>
      <c r="I517" s="1" t="s">
        <v>5335</v>
      </c>
      <c r="J517" s="1" t="s">
        <v>5336</v>
      </c>
      <c r="K517" s="1" t="s">
        <v>74</v>
      </c>
      <c r="L517" s="1" t="s">
        <v>74</v>
      </c>
      <c r="M517" s="1" t="s">
        <v>74</v>
      </c>
      <c r="N517" s="1" t="s">
        <v>74</v>
      </c>
      <c r="O517" s="1" t="s">
        <v>74</v>
      </c>
      <c r="P517" s="1" t="s">
        <v>74</v>
      </c>
      <c r="Q517" s="1" t="s">
        <v>74</v>
      </c>
      <c r="R517" s="1" t="s">
        <v>74</v>
      </c>
      <c r="S517" s="1" t="s">
        <v>74</v>
      </c>
      <c r="T517" s="1" t="s">
        <v>74</v>
      </c>
      <c r="U517" s="1" t="s">
        <v>74</v>
      </c>
      <c r="V517" s="1" t="s">
        <v>5337</v>
      </c>
      <c r="W517" s="1" t="s">
        <v>74</v>
      </c>
      <c r="X517" s="1" t="s">
        <v>74</v>
      </c>
      <c r="Y517" s="1" t="s">
        <v>74</v>
      </c>
      <c r="Z517" s="1" t="s">
        <v>74</v>
      </c>
      <c r="AA517" s="1" t="s">
        <v>74</v>
      </c>
      <c r="AB517" s="1" t="s">
        <v>74</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5338</v>
      </c>
      <c r="AP517" s="1" t="s">
        <v>5339</v>
      </c>
      <c r="AQ517" s="1" t="s">
        <v>74</v>
      </c>
      <c r="AR517" s="1" t="s">
        <v>74</v>
      </c>
      <c r="AS517" s="1" t="s">
        <v>74</v>
      </c>
      <c r="AT517" s="1" t="s">
        <v>82</v>
      </c>
      <c r="AU517" s="1">
        <v>1998.0</v>
      </c>
      <c r="AV517" s="1">
        <v>68.0</v>
      </c>
      <c r="AW517" s="1">
        <v>4.0</v>
      </c>
      <c r="AX517" s="1" t="s">
        <v>74</v>
      </c>
      <c r="AY517" s="1" t="s">
        <v>74</v>
      </c>
      <c r="AZ517" s="1" t="s">
        <v>74</v>
      </c>
      <c r="BA517" s="1" t="s">
        <v>74</v>
      </c>
      <c r="BB517" s="1">
        <v>264.0</v>
      </c>
      <c r="BC517" s="1">
        <v>271.0</v>
      </c>
      <c r="BD517" s="1" t="s">
        <v>74</v>
      </c>
      <c r="BE517" s="1" t="s">
        <v>5340</v>
      </c>
      <c r="BF517" s="2" t="str">
        <f>HYPERLINK("http://dx.doi.org/10.1159/000054374","http://dx.doi.org/10.1159/000054374")</f>
        <v>http://dx.doi.org/10.1159/000054374</v>
      </c>
      <c r="BG517" s="1" t="s">
        <v>74</v>
      </c>
      <c r="BH517" s="1" t="s">
        <v>74</v>
      </c>
      <c r="BI517" s="1" t="s">
        <v>74</v>
      </c>
      <c r="BJ517" s="1" t="s">
        <v>74</v>
      </c>
      <c r="BK517" s="1" t="s">
        <v>74</v>
      </c>
      <c r="BL517" s="1" t="s">
        <v>74</v>
      </c>
      <c r="BM517" s="1" t="s">
        <v>74</v>
      </c>
      <c r="BN517" s="1">
        <v>9772341.0</v>
      </c>
      <c r="BO517" s="1" t="s">
        <v>74</v>
      </c>
      <c r="BP517" s="1" t="s">
        <v>74</v>
      </c>
      <c r="BQ517" s="1" t="s">
        <v>74</v>
      </c>
      <c r="BR517" s="1" t="s">
        <v>74</v>
      </c>
      <c r="BS517" s="1" t="s">
        <v>5341</v>
      </c>
      <c r="BT517" s="1" t="str">
        <f>HYPERLINK("https%3A%2F%2Fwww.webofscience.com%2Fwos%2Fwoscc%2Ffull-record%2FWOS:000076564700005","View Full Record in Web of Science")</f>
        <v>View Full Record in Web of Science</v>
      </c>
    </row>
    <row r="518" ht="12.75" customHeight="1">
      <c r="A518" s="1" t="s">
        <v>72</v>
      </c>
      <c r="B518" s="1" t="s">
        <v>5342</v>
      </c>
      <c r="C518" s="1" t="s">
        <v>74</v>
      </c>
      <c r="D518" s="1" t="s">
        <v>74</v>
      </c>
      <c r="E518" s="1" t="s">
        <v>74</v>
      </c>
      <c r="F518" s="1" t="s">
        <v>5342</v>
      </c>
      <c r="G518" s="1" t="s">
        <v>74</v>
      </c>
      <c r="H518" s="1" t="s">
        <v>74</v>
      </c>
      <c r="I518" s="1" t="s">
        <v>5343</v>
      </c>
      <c r="J518" s="1" t="s">
        <v>4401</v>
      </c>
      <c r="K518" s="1" t="s">
        <v>74</v>
      </c>
      <c r="L518" s="1" t="s">
        <v>74</v>
      </c>
      <c r="M518" s="1" t="s">
        <v>74</v>
      </c>
      <c r="N518" s="1" t="s">
        <v>74</v>
      </c>
      <c r="O518" s="1" t="s">
        <v>74</v>
      </c>
      <c r="P518" s="1" t="s">
        <v>74</v>
      </c>
      <c r="Q518" s="1" t="s">
        <v>74</v>
      </c>
      <c r="R518" s="1" t="s">
        <v>74</v>
      </c>
      <c r="S518" s="1" t="s">
        <v>74</v>
      </c>
      <c r="T518" s="1" t="s">
        <v>74</v>
      </c>
      <c r="U518" s="1" t="s">
        <v>74</v>
      </c>
      <c r="V518" s="1" t="s">
        <v>5344</v>
      </c>
      <c r="W518" s="1" t="s">
        <v>74</v>
      </c>
      <c r="X518" s="1" t="s">
        <v>74</v>
      </c>
      <c r="Y518" s="1" t="s">
        <v>74</v>
      </c>
      <c r="Z518" s="1" t="s">
        <v>74</v>
      </c>
      <c r="AA518" s="1" t="s">
        <v>74</v>
      </c>
      <c r="AB518" s="1" t="s">
        <v>74</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4403</v>
      </c>
      <c r="AP518" s="1" t="s">
        <v>4404</v>
      </c>
      <c r="AQ518" s="1" t="s">
        <v>74</v>
      </c>
      <c r="AR518" s="1" t="s">
        <v>74</v>
      </c>
      <c r="AS518" s="1" t="s">
        <v>74</v>
      </c>
      <c r="AT518" s="1" t="s">
        <v>5345</v>
      </c>
      <c r="AU518" s="1">
        <v>1996.0</v>
      </c>
      <c r="AV518" s="1">
        <v>467.0</v>
      </c>
      <c r="AW518" s="1">
        <v>3.0</v>
      </c>
      <c r="AX518" s="1" t="s">
        <v>74</v>
      </c>
      <c r="AY518" s="1" t="s">
        <v>74</v>
      </c>
      <c r="AZ518" s="1" t="s">
        <v>74</v>
      </c>
      <c r="BA518" s="1" t="s">
        <v>74</v>
      </c>
      <c r="BB518" s="1">
        <v>510.0</v>
      </c>
      <c r="BC518" s="1">
        <v>538.0</v>
      </c>
      <c r="BD518" s="1" t="s">
        <v>74</v>
      </c>
      <c r="BE518" s="1" t="s">
        <v>5346</v>
      </c>
      <c r="BF518" s="2" t="str">
        <f>HYPERLINK("http://dx.doi.org/10.1016/0550-3213(96)00083-1","http://dx.doi.org/10.1016/0550-3213(96)00083-1")</f>
        <v>http://dx.doi.org/10.1016/0550-3213(96)00083-1</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5347</v>
      </c>
      <c r="BT518" s="1" t="str">
        <f>HYPERLINK("https%3A%2F%2Fwww.webofscience.com%2Fwos%2Fwoscc%2Ffull-record%2FWOS:A1996UR25600006","View Full Record in Web of Science")</f>
        <v>View Full Record in Web of Science</v>
      </c>
    </row>
    <row r="519" ht="12.75" customHeight="1">
      <c r="A519" s="1" t="s">
        <v>72</v>
      </c>
      <c r="B519" s="1" t="s">
        <v>5348</v>
      </c>
      <c r="C519" s="1" t="s">
        <v>74</v>
      </c>
      <c r="D519" s="1" t="s">
        <v>74</v>
      </c>
      <c r="E519" s="1" t="s">
        <v>74</v>
      </c>
      <c r="F519" s="1" t="s">
        <v>5349</v>
      </c>
      <c r="G519" s="1" t="s">
        <v>74</v>
      </c>
      <c r="H519" s="1" t="s">
        <v>74</v>
      </c>
      <c r="I519" s="1" t="s">
        <v>5350</v>
      </c>
      <c r="J519" s="1" t="s">
        <v>541</v>
      </c>
      <c r="K519" s="1" t="s">
        <v>74</v>
      </c>
      <c r="L519" s="1" t="s">
        <v>74</v>
      </c>
      <c r="M519" s="1" t="s">
        <v>74</v>
      </c>
      <c r="N519" s="1" t="s">
        <v>74</v>
      </c>
      <c r="O519" s="1" t="s">
        <v>74</v>
      </c>
      <c r="P519" s="1" t="s">
        <v>74</v>
      </c>
      <c r="Q519" s="1" t="s">
        <v>74</v>
      </c>
      <c r="R519" s="1" t="s">
        <v>74</v>
      </c>
      <c r="S519" s="1" t="s">
        <v>74</v>
      </c>
      <c r="T519" s="1" t="s">
        <v>74</v>
      </c>
      <c r="U519" s="1" t="s">
        <v>74</v>
      </c>
      <c r="V519" s="1" t="s">
        <v>5351</v>
      </c>
      <c r="W519" s="1" t="s">
        <v>74</v>
      </c>
      <c r="X519" s="1" t="s">
        <v>74</v>
      </c>
      <c r="Y519" s="1" t="s">
        <v>74</v>
      </c>
      <c r="Z519" s="1" t="s">
        <v>74</v>
      </c>
      <c r="AA519" s="1" t="s">
        <v>74</v>
      </c>
      <c r="AB519" s="1" t="s">
        <v>74</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545</v>
      </c>
      <c r="AP519" s="1" t="s">
        <v>546</v>
      </c>
      <c r="AQ519" s="1" t="s">
        <v>74</v>
      </c>
      <c r="AR519" s="1" t="s">
        <v>74</v>
      </c>
      <c r="AS519" s="1" t="s">
        <v>74</v>
      </c>
      <c r="AT519" s="1" t="s">
        <v>1279</v>
      </c>
      <c r="AU519" s="1">
        <v>2025.0</v>
      </c>
      <c r="AV519" s="1">
        <v>304.0</v>
      </c>
      <c r="AW519" s="1" t="s">
        <v>74</v>
      </c>
      <c r="AX519" s="1">
        <v>2.0</v>
      </c>
      <c r="AY519" s="1" t="s">
        <v>74</v>
      </c>
      <c r="AZ519" s="1" t="s">
        <v>74</v>
      </c>
      <c r="BA519" s="1" t="s">
        <v>74</v>
      </c>
      <c r="BB519" s="1" t="s">
        <v>74</v>
      </c>
      <c r="BC519" s="1" t="s">
        <v>74</v>
      </c>
      <c r="BD519" s="1">
        <v>140842.0</v>
      </c>
      <c r="BE519" s="1" t="s">
        <v>5352</v>
      </c>
      <c r="BF519" s="2" t="str">
        <f>HYPERLINK("http://dx.doi.org/10.1016/j.ijbiomac.2025.140842","http://dx.doi.org/10.1016/j.ijbiomac.2025.140842")</f>
        <v>http://dx.doi.org/10.1016/j.ijbiomac.2025.140842</v>
      </c>
      <c r="BG519" s="1" t="s">
        <v>74</v>
      </c>
      <c r="BH519" s="1" t="s">
        <v>5353</v>
      </c>
      <c r="BI519" s="1" t="s">
        <v>74</v>
      </c>
      <c r="BJ519" s="1" t="s">
        <v>74</v>
      </c>
      <c r="BK519" s="1" t="s">
        <v>74</v>
      </c>
      <c r="BL519" s="1" t="s">
        <v>74</v>
      </c>
      <c r="BM519" s="1" t="s">
        <v>74</v>
      </c>
      <c r="BN519" s="1">
        <v>3.9929464E7</v>
      </c>
      <c r="BO519" s="1" t="s">
        <v>74</v>
      </c>
      <c r="BP519" s="1" t="s">
        <v>74</v>
      </c>
      <c r="BQ519" s="1" t="s">
        <v>74</v>
      </c>
      <c r="BR519" s="1" t="s">
        <v>74</v>
      </c>
      <c r="BS519" s="1" t="s">
        <v>5354</v>
      </c>
      <c r="BT519" s="1" t="str">
        <f>HYPERLINK("https%3A%2F%2Fwww.webofscience.com%2Fwos%2Fwoscc%2Ffull-record%2FWOS:001428977500001","View Full Record in Web of Science")</f>
        <v>View Full Record in Web of Science</v>
      </c>
    </row>
    <row r="520" ht="12.75" customHeight="1">
      <c r="A520" s="1" t="s">
        <v>72</v>
      </c>
      <c r="B520" s="1" t="s">
        <v>5355</v>
      </c>
      <c r="C520" s="1" t="s">
        <v>74</v>
      </c>
      <c r="D520" s="1" t="s">
        <v>74</v>
      </c>
      <c r="E520" s="1" t="s">
        <v>74</v>
      </c>
      <c r="F520" s="1" t="s">
        <v>5356</v>
      </c>
      <c r="G520" s="1" t="s">
        <v>74</v>
      </c>
      <c r="H520" s="1" t="s">
        <v>74</v>
      </c>
      <c r="I520" s="1" t="s">
        <v>5357</v>
      </c>
      <c r="J520" s="1" t="s">
        <v>5358</v>
      </c>
      <c r="K520" s="1" t="s">
        <v>74</v>
      </c>
      <c r="L520" s="1" t="s">
        <v>74</v>
      </c>
      <c r="M520" s="1" t="s">
        <v>74</v>
      </c>
      <c r="N520" s="1" t="s">
        <v>74</v>
      </c>
      <c r="O520" s="1" t="s">
        <v>74</v>
      </c>
      <c r="P520" s="1" t="s">
        <v>74</v>
      </c>
      <c r="Q520" s="1" t="s">
        <v>74</v>
      </c>
      <c r="R520" s="1" t="s">
        <v>74</v>
      </c>
      <c r="S520" s="1" t="s">
        <v>74</v>
      </c>
      <c r="T520" s="1" t="s">
        <v>74</v>
      </c>
      <c r="U520" s="1" t="s">
        <v>74</v>
      </c>
      <c r="V520" s="1" t="s">
        <v>5359</v>
      </c>
      <c r="W520" s="1" t="s">
        <v>74</v>
      </c>
      <c r="X520" s="1" t="s">
        <v>74</v>
      </c>
      <c r="Y520" s="1" t="s">
        <v>74</v>
      </c>
      <c r="Z520" s="1" t="s">
        <v>74</v>
      </c>
      <c r="AA520" s="1" t="s">
        <v>74</v>
      </c>
      <c r="AB520" s="1" t="s">
        <v>5360</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5361</v>
      </c>
      <c r="AP520" s="1" t="s">
        <v>5362</v>
      </c>
      <c r="AQ520" s="1" t="s">
        <v>74</v>
      </c>
      <c r="AR520" s="1" t="s">
        <v>74</v>
      </c>
      <c r="AS520" s="1" t="s">
        <v>74</v>
      </c>
      <c r="AT520" s="1" t="s">
        <v>5363</v>
      </c>
      <c r="AU520" s="1">
        <v>2025.0</v>
      </c>
      <c r="AV520" s="1" t="s">
        <v>74</v>
      </c>
      <c r="AW520" s="1" t="s">
        <v>74</v>
      </c>
      <c r="AX520" s="1" t="s">
        <v>74</v>
      </c>
      <c r="AY520" s="1" t="s">
        <v>74</v>
      </c>
      <c r="AZ520" s="1" t="s">
        <v>74</v>
      </c>
      <c r="BA520" s="1" t="s">
        <v>74</v>
      </c>
      <c r="BB520" s="1" t="s">
        <v>74</v>
      </c>
      <c r="BC520" s="1" t="s">
        <v>74</v>
      </c>
      <c r="BD520" s="1" t="s">
        <v>74</v>
      </c>
      <c r="BE520" s="1" t="s">
        <v>5364</v>
      </c>
      <c r="BF520" s="2" t="str">
        <f>HYPERLINK("http://dx.doi.org/10.1007/s41664-024-00342-x","http://dx.doi.org/10.1007/s41664-024-00342-x")</f>
        <v>http://dx.doi.org/10.1007/s41664-024-00342-x</v>
      </c>
      <c r="BG520" s="1" t="s">
        <v>74</v>
      </c>
      <c r="BH520" s="1" t="s">
        <v>5365</v>
      </c>
      <c r="BI520" s="1" t="s">
        <v>74</v>
      </c>
      <c r="BJ520" s="1" t="s">
        <v>74</v>
      </c>
      <c r="BK520" s="1" t="s">
        <v>74</v>
      </c>
      <c r="BL520" s="1" t="s">
        <v>74</v>
      </c>
      <c r="BM520" s="1" t="s">
        <v>74</v>
      </c>
      <c r="BN520" s="1" t="s">
        <v>74</v>
      </c>
      <c r="BO520" s="1" t="s">
        <v>74</v>
      </c>
      <c r="BP520" s="1" t="s">
        <v>74</v>
      </c>
      <c r="BQ520" s="1" t="s">
        <v>74</v>
      </c>
      <c r="BR520" s="1" t="s">
        <v>74</v>
      </c>
      <c r="BS520" s="1" t="s">
        <v>5366</v>
      </c>
      <c r="BT520" s="1" t="str">
        <f>HYPERLINK("https%3A%2F%2Fwww.webofscience.com%2Fwos%2Fwoscc%2Ffull-record%2FWOS:001399805300001","View Full Record in Web of Science")</f>
        <v>View Full Record in Web of Science</v>
      </c>
    </row>
    <row r="521" ht="12.75" customHeight="1">
      <c r="A521" s="1" t="s">
        <v>72</v>
      </c>
      <c r="B521" s="1" t="s">
        <v>5367</v>
      </c>
      <c r="C521" s="1" t="s">
        <v>74</v>
      </c>
      <c r="D521" s="1" t="s">
        <v>74</v>
      </c>
      <c r="E521" s="1" t="s">
        <v>74</v>
      </c>
      <c r="F521" s="1" t="s">
        <v>5368</v>
      </c>
      <c r="G521" s="1" t="s">
        <v>74</v>
      </c>
      <c r="H521" s="1" t="s">
        <v>74</v>
      </c>
      <c r="I521" s="1" t="s">
        <v>5369</v>
      </c>
      <c r="J521" s="1" t="s">
        <v>1125</v>
      </c>
      <c r="K521" s="1" t="s">
        <v>74</v>
      </c>
      <c r="L521" s="1" t="s">
        <v>74</v>
      </c>
      <c r="M521" s="1" t="s">
        <v>74</v>
      </c>
      <c r="N521" s="1" t="s">
        <v>74</v>
      </c>
      <c r="O521" s="1" t="s">
        <v>74</v>
      </c>
      <c r="P521" s="1" t="s">
        <v>74</v>
      </c>
      <c r="Q521" s="1" t="s">
        <v>74</v>
      </c>
      <c r="R521" s="1" t="s">
        <v>74</v>
      </c>
      <c r="S521" s="1" t="s">
        <v>74</v>
      </c>
      <c r="T521" s="1" t="s">
        <v>74</v>
      </c>
      <c r="U521" s="1" t="s">
        <v>74</v>
      </c>
      <c r="V521" s="1" t="s">
        <v>5370</v>
      </c>
      <c r="W521" s="1" t="s">
        <v>74</v>
      </c>
      <c r="X521" s="1" t="s">
        <v>74</v>
      </c>
      <c r="Y521" s="1" t="s">
        <v>74</v>
      </c>
      <c r="Z521" s="1" t="s">
        <v>74</v>
      </c>
      <c r="AA521" s="1" t="s">
        <v>5371</v>
      </c>
      <c r="AB521" s="1" t="s">
        <v>5372</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1129</v>
      </c>
      <c r="AP521" s="1" t="s">
        <v>1130</v>
      </c>
      <c r="AQ521" s="1" t="s">
        <v>74</v>
      </c>
      <c r="AR521" s="1" t="s">
        <v>74</v>
      </c>
      <c r="AS521" s="1" t="s">
        <v>74</v>
      </c>
      <c r="AT521" s="1" t="s">
        <v>5373</v>
      </c>
      <c r="AU521" s="1">
        <v>2025.0</v>
      </c>
      <c r="AV521" s="1">
        <v>354.0</v>
      </c>
      <c r="AW521" s="1" t="s">
        <v>74</v>
      </c>
      <c r="AX521" s="1">
        <v>5.0</v>
      </c>
      <c r="AY521" s="1" t="s">
        <v>74</v>
      </c>
      <c r="AZ521" s="1" t="s">
        <v>74</v>
      </c>
      <c r="BA521" s="1" t="s">
        <v>74</v>
      </c>
      <c r="BB521" s="1" t="s">
        <v>74</v>
      </c>
      <c r="BC521" s="1" t="s">
        <v>74</v>
      </c>
      <c r="BD521" s="1">
        <v>129165.0</v>
      </c>
      <c r="BE521" s="1" t="s">
        <v>5374</v>
      </c>
      <c r="BF521" s="2" t="str">
        <f>HYPERLINK("http://dx.doi.org/10.1016/j.seppur.2024.129165","http://dx.doi.org/10.1016/j.seppur.2024.129165")</f>
        <v>http://dx.doi.org/10.1016/j.seppur.2024.129165</v>
      </c>
      <c r="BG521" s="1" t="s">
        <v>74</v>
      </c>
      <c r="BH521" s="1" t="s">
        <v>548</v>
      </c>
      <c r="BI521" s="1" t="s">
        <v>74</v>
      </c>
      <c r="BJ521" s="1" t="s">
        <v>74</v>
      </c>
      <c r="BK521" s="1" t="s">
        <v>74</v>
      </c>
      <c r="BL521" s="1" t="s">
        <v>74</v>
      </c>
      <c r="BM521" s="1" t="s">
        <v>74</v>
      </c>
      <c r="BN521" s="1" t="s">
        <v>74</v>
      </c>
      <c r="BO521" s="1" t="s">
        <v>74</v>
      </c>
      <c r="BP521" s="1" t="s">
        <v>74</v>
      </c>
      <c r="BQ521" s="1" t="s">
        <v>74</v>
      </c>
      <c r="BR521" s="1" t="s">
        <v>74</v>
      </c>
      <c r="BS521" s="1" t="s">
        <v>5375</v>
      </c>
      <c r="BT521" s="1" t="str">
        <f>HYPERLINK("https%3A%2F%2Fwww.webofscience.com%2Fwos%2Fwoscc%2Ffull-record%2FWOS:001295493500001","View Full Record in Web of Science")</f>
        <v>View Full Record in Web of Science</v>
      </c>
    </row>
    <row r="522" ht="12.75" customHeight="1">
      <c r="A522" s="1" t="s">
        <v>72</v>
      </c>
      <c r="B522" s="1" t="s">
        <v>5376</v>
      </c>
      <c r="C522" s="1" t="s">
        <v>74</v>
      </c>
      <c r="D522" s="1" t="s">
        <v>74</v>
      </c>
      <c r="E522" s="1" t="s">
        <v>74</v>
      </c>
      <c r="F522" s="1" t="s">
        <v>5377</v>
      </c>
      <c r="G522" s="1" t="s">
        <v>74</v>
      </c>
      <c r="H522" s="1" t="s">
        <v>74</v>
      </c>
      <c r="I522" s="1" t="s">
        <v>5378</v>
      </c>
      <c r="J522" s="1" t="s">
        <v>5379</v>
      </c>
      <c r="K522" s="1" t="s">
        <v>74</v>
      </c>
      <c r="L522" s="1" t="s">
        <v>74</v>
      </c>
      <c r="M522" s="1" t="s">
        <v>74</v>
      </c>
      <c r="N522" s="1" t="s">
        <v>74</v>
      </c>
      <c r="O522" s="1" t="s">
        <v>74</v>
      </c>
      <c r="P522" s="1" t="s">
        <v>74</v>
      </c>
      <c r="Q522" s="1" t="s">
        <v>74</v>
      </c>
      <c r="R522" s="1" t="s">
        <v>74</v>
      </c>
      <c r="S522" s="1" t="s">
        <v>74</v>
      </c>
      <c r="T522" s="1" t="s">
        <v>74</v>
      </c>
      <c r="U522" s="1" t="s">
        <v>74</v>
      </c>
      <c r="V522" s="1" t="s">
        <v>5380</v>
      </c>
      <c r="W522" s="1" t="s">
        <v>74</v>
      </c>
      <c r="X522" s="1" t="s">
        <v>74</v>
      </c>
      <c r="Y522" s="1" t="s">
        <v>74</v>
      </c>
      <c r="Z522" s="1" t="s">
        <v>74</v>
      </c>
      <c r="AA522" s="1" t="s">
        <v>5381</v>
      </c>
      <c r="AB522" s="1" t="s">
        <v>5382</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5383</v>
      </c>
      <c r="AP522" s="1" t="s">
        <v>5384</v>
      </c>
      <c r="AQ522" s="1" t="s">
        <v>74</v>
      </c>
      <c r="AR522" s="1" t="s">
        <v>74</v>
      </c>
      <c r="AS522" s="1" t="s">
        <v>74</v>
      </c>
      <c r="AT522" s="1" t="s">
        <v>271</v>
      </c>
      <c r="AU522" s="1">
        <v>2024.0</v>
      </c>
      <c r="AV522" s="1">
        <v>72.0</v>
      </c>
      <c r="AW522" s="1">
        <v>7.0</v>
      </c>
      <c r="AX522" s="1" t="s">
        <v>74</v>
      </c>
      <c r="AY522" s="1" t="s">
        <v>74</v>
      </c>
      <c r="AZ522" s="1" t="s">
        <v>74</v>
      </c>
      <c r="BA522" s="1" t="s">
        <v>74</v>
      </c>
      <c r="BB522" s="1">
        <v>2844.0</v>
      </c>
      <c r="BC522" s="1">
        <v>2856.0</v>
      </c>
      <c r="BD522" s="1" t="s">
        <v>74</v>
      </c>
      <c r="BE522" s="1" t="s">
        <v>5385</v>
      </c>
      <c r="BF522" s="2" t="str">
        <f>HYPERLINK("http://dx.doi.org/10.1111/1365-2478.13561","http://dx.doi.org/10.1111/1365-2478.13561")</f>
        <v>http://dx.doi.org/10.1111/1365-2478.13561</v>
      </c>
      <c r="BG522" s="1" t="s">
        <v>74</v>
      </c>
      <c r="BH522" s="1" t="s">
        <v>557</v>
      </c>
      <c r="BI522" s="1" t="s">
        <v>74</v>
      </c>
      <c r="BJ522" s="1" t="s">
        <v>74</v>
      </c>
      <c r="BK522" s="1" t="s">
        <v>74</v>
      </c>
      <c r="BL522" s="1" t="s">
        <v>74</v>
      </c>
      <c r="BM522" s="1" t="s">
        <v>74</v>
      </c>
      <c r="BN522" s="1" t="s">
        <v>74</v>
      </c>
      <c r="BO522" s="1" t="s">
        <v>74</v>
      </c>
      <c r="BP522" s="1" t="s">
        <v>74</v>
      </c>
      <c r="BQ522" s="1" t="s">
        <v>74</v>
      </c>
      <c r="BR522" s="1" t="s">
        <v>74</v>
      </c>
      <c r="BS522" s="1" t="s">
        <v>5386</v>
      </c>
      <c r="BT522" s="1" t="str">
        <f>HYPERLINK("https%3A%2F%2Fwww.webofscience.com%2Fwos%2Fwoscc%2Ffull-record%2FWOS:001280257600001","View Full Record in Web of Science")</f>
        <v>View Full Record in Web of Science</v>
      </c>
    </row>
    <row r="523" ht="12.75" customHeight="1">
      <c r="A523" s="1" t="s">
        <v>72</v>
      </c>
      <c r="B523" s="1" t="s">
        <v>5387</v>
      </c>
      <c r="C523" s="1" t="s">
        <v>74</v>
      </c>
      <c r="D523" s="1" t="s">
        <v>74</v>
      </c>
      <c r="E523" s="1" t="s">
        <v>74</v>
      </c>
      <c r="F523" s="1" t="s">
        <v>5388</v>
      </c>
      <c r="G523" s="1" t="s">
        <v>74</v>
      </c>
      <c r="H523" s="1" t="s">
        <v>74</v>
      </c>
      <c r="I523" s="1" t="s">
        <v>5389</v>
      </c>
      <c r="J523" s="1" t="s">
        <v>5390</v>
      </c>
      <c r="K523" s="1" t="s">
        <v>74</v>
      </c>
      <c r="L523" s="1" t="s">
        <v>74</v>
      </c>
      <c r="M523" s="1" t="s">
        <v>74</v>
      </c>
      <c r="N523" s="1" t="s">
        <v>74</v>
      </c>
      <c r="O523" s="1" t="s">
        <v>74</v>
      </c>
      <c r="P523" s="1" t="s">
        <v>74</v>
      </c>
      <c r="Q523" s="1" t="s">
        <v>74</v>
      </c>
      <c r="R523" s="1" t="s">
        <v>74</v>
      </c>
      <c r="S523" s="1" t="s">
        <v>74</v>
      </c>
      <c r="T523" s="1" t="s">
        <v>74</v>
      </c>
      <c r="U523" s="1" t="s">
        <v>74</v>
      </c>
      <c r="V523" s="1" t="s">
        <v>5391</v>
      </c>
      <c r="W523" s="1" t="s">
        <v>74</v>
      </c>
      <c r="X523" s="1" t="s">
        <v>74</v>
      </c>
      <c r="Y523" s="1" t="s">
        <v>74</v>
      </c>
      <c r="Z523" s="1" t="s">
        <v>74</v>
      </c>
      <c r="AA523" s="1" t="s">
        <v>5392</v>
      </c>
      <c r="AB523" s="1" t="s">
        <v>5393</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5394</v>
      </c>
      <c r="AP523" s="1" t="s">
        <v>5395</v>
      </c>
      <c r="AQ523" s="1" t="s">
        <v>74</v>
      </c>
      <c r="AR523" s="1" t="s">
        <v>74</v>
      </c>
      <c r="AS523" s="1" t="s">
        <v>74</v>
      </c>
      <c r="AT523" s="1" t="s">
        <v>2179</v>
      </c>
      <c r="AU523" s="1">
        <v>2024.0</v>
      </c>
      <c r="AV523" s="1">
        <v>57.0</v>
      </c>
      <c r="AW523" s="1">
        <v>5.0</v>
      </c>
      <c r="AX523" s="1" t="s">
        <v>74</v>
      </c>
      <c r="AY523" s="1" t="s">
        <v>74</v>
      </c>
      <c r="AZ523" s="1" t="s">
        <v>74</v>
      </c>
      <c r="BA523" s="1" t="s">
        <v>74</v>
      </c>
      <c r="BB523" s="1" t="s">
        <v>74</v>
      </c>
      <c r="BC523" s="1" t="s">
        <v>74</v>
      </c>
      <c r="BD523" s="1">
        <v>55203.0</v>
      </c>
      <c r="BE523" s="1" t="s">
        <v>5396</v>
      </c>
      <c r="BF523" s="2" t="str">
        <f>HYPERLINK("http://dx.doi.org/10.1088/1751-8121/ad1d8f","http://dx.doi.org/10.1088/1751-8121/ad1d8f")</f>
        <v>http://dx.doi.org/10.1088/1751-8121/ad1d8f</v>
      </c>
      <c r="BG523" s="1" t="s">
        <v>74</v>
      </c>
      <c r="BH523" s="1" t="s">
        <v>74</v>
      </c>
      <c r="BI523" s="1" t="s">
        <v>74</v>
      </c>
      <c r="BJ523" s="1" t="s">
        <v>74</v>
      </c>
      <c r="BK523" s="1" t="s">
        <v>74</v>
      </c>
      <c r="BL523" s="1" t="s">
        <v>74</v>
      </c>
      <c r="BM523" s="1" t="s">
        <v>74</v>
      </c>
      <c r="BN523" s="1" t="s">
        <v>74</v>
      </c>
      <c r="BO523" s="1" t="s">
        <v>74</v>
      </c>
      <c r="BP523" s="1" t="s">
        <v>74</v>
      </c>
      <c r="BQ523" s="1" t="s">
        <v>74</v>
      </c>
      <c r="BR523" s="1" t="s">
        <v>74</v>
      </c>
      <c r="BS523" s="1" t="s">
        <v>5397</v>
      </c>
      <c r="BT523" s="1" t="str">
        <f>HYPERLINK("https%3A%2F%2Fwww.webofscience.com%2Fwos%2Fwoscc%2Ffull-record%2FWOS:001146978500001","View Full Record in Web of Science")</f>
        <v>View Full Record in Web of Science</v>
      </c>
    </row>
    <row r="524" ht="12.75" customHeight="1">
      <c r="A524" s="1" t="s">
        <v>72</v>
      </c>
      <c r="B524" s="1" t="s">
        <v>5398</v>
      </c>
      <c r="C524" s="1" t="s">
        <v>74</v>
      </c>
      <c r="D524" s="1" t="s">
        <v>74</v>
      </c>
      <c r="E524" s="1" t="s">
        <v>74</v>
      </c>
      <c r="F524" s="1" t="s">
        <v>5399</v>
      </c>
      <c r="G524" s="1" t="s">
        <v>74</v>
      </c>
      <c r="H524" s="1" t="s">
        <v>74</v>
      </c>
      <c r="I524" s="1" t="s">
        <v>5400</v>
      </c>
      <c r="J524" s="1" t="s">
        <v>5401</v>
      </c>
      <c r="K524" s="1" t="s">
        <v>74</v>
      </c>
      <c r="L524" s="1" t="s">
        <v>74</v>
      </c>
      <c r="M524" s="1" t="s">
        <v>74</v>
      </c>
      <c r="N524" s="1" t="s">
        <v>74</v>
      </c>
      <c r="O524" s="1" t="s">
        <v>74</v>
      </c>
      <c r="P524" s="1" t="s">
        <v>74</v>
      </c>
      <c r="Q524" s="1" t="s">
        <v>74</v>
      </c>
      <c r="R524" s="1" t="s">
        <v>74</v>
      </c>
      <c r="S524" s="1" t="s">
        <v>74</v>
      </c>
      <c r="T524" s="1" t="s">
        <v>74</v>
      </c>
      <c r="U524" s="1" t="s">
        <v>74</v>
      </c>
      <c r="V524" s="1" t="s">
        <v>5402</v>
      </c>
      <c r="W524" s="1" t="s">
        <v>74</v>
      </c>
      <c r="X524" s="1" t="s">
        <v>74</v>
      </c>
      <c r="Y524" s="1" t="s">
        <v>74</v>
      </c>
      <c r="Z524" s="1" t="s">
        <v>74</v>
      </c>
      <c r="AA524" s="1" t="s">
        <v>5403</v>
      </c>
      <c r="AB524" s="1" t="s">
        <v>74</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5404</v>
      </c>
      <c r="AP524" s="1" t="s">
        <v>5405</v>
      </c>
      <c r="AQ524" s="1" t="s">
        <v>74</v>
      </c>
      <c r="AR524" s="1" t="s">
        <v>74</v>
      </c>
      <c r="AS524" s="1" t="s">
        <v>74</v>
      </c>
      <c r="AT524" s="1" t="s">
        <v>74</v>
      </c>
      <c r="AU524" s="1">
        <v>2024.0</v>
      </c>
      <c r="AV524" s="1" t="s">
        <v>74</v>
      </c>
      <c r="AW524" s="1">
        <v>24.0</v>
      </c>
      <c r="AX524" s="1" t="s">
        <v>74</v>
      </c>
      <c r="AY524" s="1" t="s">
        <v>74</v>
      </c>
      <c r="AZ524" s="1" t="s">
        <v>74</v>
      </c>
      <c r="BA524" s="1" t="s">
        <v>74</v>
      </c>
      <c r="BB524" s="1" t="s">
        <v>74</v>
      </c>
      <c r="BC524" s="1" t="s">
        <v>74</v>
      </c>
      <c r="BD524" s="1">
        <v>2880.0</v>
      </c>
      <c r="BE524" s="1" t="s">
        <v>5406</v>
      </c>
      <c r="BF524" s="2" t="str">
        <f>HYPERLINK("http://dx.doi.org/10.11649/cs.2880","http://dx.doi.org/10.11649/cs.2880")</f>
        <v>http://dx.doi.org/10.11649/cs.2880</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5407</v>
      </c>
      <c r="BT524" s="1" t="str">
        <f>HYPERLINK("https%3A%2F%2Fwww.webofscience.com%2Fwos%2Fwoscc%2Ffull-record%2FWOS:001409566600005","View Full Record in Web of Science")</f>
        <v>View Full Record in Web of Science</v>
      </c>
    </row>
    <row r="525" ht="12.75" customHeight="1">
      <c r="A525" s="1" t="s">
        <v>72</v>
      </c>
      <c r="B525" s="1" t="s">
        <v>5408</v>
      </c>
      <c r="C525" s="1" t="s">
        <v>74</v>
      </c>
      <c r="D525" s="1" t="s">
        <v>74</v>
      </c>
      <c r="E525" s="1" t="s">
        <v>74</v>
      </c>
      <c r="F525" s="1" t="s">
        <v>5409</v>
      </c>
      <c r="G525" s="1" t="s">
        <v>74</v>
      </c>
      <c r="H525" s="1" t="s">
        <v>74</v>
      </c>
      <c r="I525" s="1" t="s">
        <v>5410</v>
      </c>
      <c r="J525" s="1" t="s">
        <v>1381</v>
      </c>
      <c r="K525" s="1" t="s">
        <v>74</v>
      </c>
      <c r="L525" s="1" t="s">
        <v>74</v>
      </c>
      <c r="M525" s="1" t="s">
        <v>74</v>
      </c>
      <c r="N525" s="1" t="s">
        <v>74</v>
      </c>
      <c r="O525" s="1" t="s">
        <v>74</v>
      </c>
      <c r="P525" s="1" t="s">
        <v>74</v>
      </c>
      <c r="Q525" s="1" t="s">
        <v>74</v>
      </c>
      <c r="R525" s="1" t="s">
        <v>74</v>
      </c>
      <c r="S525" s="1" t="s">
        <v>74</v>
      </c>
      <c r="T525" s="1" t="s">
        <v>74</v>
      </c>
      <c r="U525" s="1" t="s">
        <v>74</v>
      </c>
      <c r="V525" s="1" t="s">
        <v>74</v>
      </c>
      <c r="W525" s="1" t="s">
        <v>74</v>
      </c>
      <c r="X525" s="1" t="s">
        <v>74</v>
      </c>
      <c r="Y525" s="1" t="s">
        <v>74</v>
      </c>
      <c r="Z525" s="1" t="s">
        <v>74</v>
      </c>
      <c r="AA525" s="1" t="s">
        <v>5411</v>
      </c>
      <c r="AB525" s="1" t="s">
        <v>74</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74</v>
      </c>
      <c r="AP525" s="1" t="s">
        <v>1385</v>
      </c>
      <c r="AQ525" s="1" t="s">
        <v>74</v>
      </c>
      <c r="AR525" s="1" t="s">
        <v>74</v>
      </c>
      <c r="AS525" s="1" t="s">
        <v>74</v>
      </c>
      <c r="AT525" s="1" t="s">
        <v>1106</v>
      </c>
      <c r="AU525" s="1">
        <v>2024.0</v>
      </c>
      <c r="AV525" s="1">
        <v>24.0</v>
      </c>
      <c r="AW525" s="1">
        <v>2.0</v>
      </c>
      <c r="AX525" s="1" t="s">
        <v>74</v>
      </c>
      <c r="AY525" s="1" t="s">
        <v>74</v>
      </c>
      <c r="AZ525" s="1" t="s">
        <v>74</v>
      </c>
      <c r="BA525" s="1" t="s">
        <v>74</v>
      </c>
      <c r="BB525" s="1" t="s">
        <v>74</v>
      </c>
      <c r="BC525" s="1" t="s">
        <v>74</v>
      </c>
      <c r="BD525" s="1">
        <v>628.0</v>
      </c>
      <c r="BE525" s="1" t="s">
        <v>5412</v>
      </c>
      <c r="BF525" s="2" t="str">
        <f>HYPERLINK("http://dx.doi.org/10.3390/s24020628","http://dx.doi.org/10.3390/s24020628")</f>
        <v>http://dx.doi.org/10.3390/s24020628</v>
      </c>
      <c r="BG525" s="1" t="s">
        <v>74</v>
      </c>
      <c r="BH525" s="1" t="s">
        <v>74</v>
      </c>
      <c r="BI525" s="1" t="s">
        <v>74</v>
      </c>
      <c r="BJ525" s="1" t="s">
        <v>74</v>
      </c>
      <c r="BK525" s="1" t="s">
        <v>74</v>
      </c>
      <c r="BL525" s="1" t="s">
        <v>74</v>
      </c>
      <c r="BM525" s="1" t="s">
        <v>74</v>
      </c>
      <c r="BN525" s="1" t="s">
        <v>74</v>
      </c>
      <c r="BO525" s="1" t="s">
        <v>74</v>
      </c>
      <c r="BP525" s="1" t="s">
        <v>74</v>
      </c>
      <c r="BQ525" s="1" t="s">
        <v>74</v>
      </c>
      <c r="BR525" s="1" t="s">
        <v>74</v>
      </c>
      <c r="BS525" s="1" t="s">
        <v>5413</v>
      </c>
      <c r="BT525" s="1" t="str">
        <f>HYPERLINK("https%3A%2F%2Fwww.webofscience.com%2Fwos%2Fwoscc%2Ffull-record%2FWOS:001152794200001","View Full Record in Web of Science")</f>
        <v>View Full Record in Web of Science</v>
      </c>
    </row>
    <row r="526" ht="12.75" customHeight="1">
      <c r="A526" s="1" t="s">
        <v>72</v>
      </c>
      <c r="B526" s="1" t="s">
        <v>5414</v>
      </c>
      <c r="C526" s="1" t="s">
        <v>74</v>
      </c>
      <c r="D526" s="1" t="s">
        <v>74</v>
      </c>
      <c r="E526" s="1" t="s">
        <v>74</v>
      </c>
      <c r="F526" s="1" t="s">
        <v>5415</v>
      </c>
      <c r="G526" s="1" t="s">
        <v>74</v>
      </c>
      <c r="H526" s="1" t="s">
        <v>74</v>
      </c>
      <c r="I526" s="1" t="s">
        <v>5416</v>
      </c>
      <c r="J526" s="1" t="s">
        <v>5417</v>
      </c>
      <c r="K526" s="1" t="s">
        <v>74</v>
      </c>
      <c r="L526" s="1" t="s">
        <v>74</v>
      </c>
      <c r="M526" s="1" t="s">
        <v>74</v>
      </c>
      <c r="N526" s="1" t="s">
        <v>74</v>
      </c>
      <c r="O526" s="1" t="s">
        <v>74</v>
      </c>
      <c r="P526" s="1" t="s">
        <v>74</v>
      </c>
      <c r="Q526" s="1" t="s">
        <v>74</v>
      </c>
      <c r="R526" s="1" t="s">
        <v>74</v>
      </c>
      <c r="S526" s="1" t="s">
        <v>74</v>
      </c>
      <c r="T526" s="1" t="s">
        <v>74</v>
      </c>
      <c r="U526" s="1" t="s">
        <v>74</v>
      </c>
      <c r="V526" s="1" t="s">
        <v>5418</v>
      </c>
      <c r="W526" s="1" t="s">
        <v>74</v>
      </c>
      <c r="X526" s="1" t="s">
        <v>74</v>
      </c>
      <c r="Y526" s="1" t="s">
        <v>74</v>
      </c>
      <c r="Z526" s="1" t="s">
        <v>74</v>
      </c>
      <c r="AA526" s="1" t="s">
        <v>5419</v>
      </c>
      <c r="AB526" s="1" t="s">
        <v>5420</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5421</v>
      </c>
      <c r="AP526" s="1" t="s">
        <v>5422</v>
      </c>
      <c r="AQ526" s="1" t="s">
        <v>74</v>
      </c>
      <c r="AR526" s="1" t="s">
        <v>74</v>
      </c>
      <c r="AS526" s="1" t="s">
        <v>74</v>
      </c>
      <c r="AT526" s="1" t="s">
        <v>177</v>
      </c>
      <c r="AU526" s="1">
        <v>2024.0</v>
      </c>
      <c r="AV526" s="1">
        <v>54.0</v>
      </c>
      <c r="AW526" s="1">
        <v>7.0</v>
      </c>
      <c r="AX526" s="1" t="s">
        <v>74</v>
      </c>
      <c r="AY526" s="1" t="s">
        <v>74</v>
      </c>
      <c r="AZ526" s="1" t="s">
        <v>74</v>
      </c>
      <c r="BA526" s="1" t="s">
        <v>74</v>
      </c>
      <c r="BB526" s="1">
        <v>1595.0</v>
      </c>
      <c r="BC526" s="1">
        <v>1606.0</v>
      </c>
      <c r="BD526" s="1" t="s">
        <v>74</v>
      </c>
      <c r="BE526" s="1" t="s">
        <v>5423</v>
      </c>
      <c r="BF526" s="2" t="str">
        <f>HYPERLINK("http://dx.doi.org/10.1007/s10800-023-02026-3","http://dx.doi.org/10.1007/s10800-023-02026-3")</f>
        <v>http://dx.doi.org/10.1007/s10800-023-02026-3</v>
      </c>
      <c r="BG526" s="1" t="s">
        <v>74</v>
      </c>
      <c r="BH526" s="1" t="s">
        <v>5424</v>
      </c>
      <c r="BI526" s="1" t="s">
        <v>74</v>
      </c>
      <c r="BJ526" s="1" t="s">
        <v>74</v>
      </c>
      <c r="BK526" s="1" t="s">
        <v>74</v>
      </c>
      <c r="BL526" s="1" t="s">
        <v>74</v>
      </c>
      <c r="BM526" s="1" t="s">
        <v>74</v>
      </c>
      <c r="BN526" s="1" t="s">
        <v>74</v>
      </c>
      <c r="BO526" s="1" t="s">
        <v>74</v>
      </c>
      <c r="BP526" s="1" t="s">
        <v>74</v>
      </c>
      <c r="BQ526" s="1" t="s">
        <v>74</v>
      </c>
      <c r="BR526" s="1" t="s">
        <v>74</v>
      </c>
      <c r="BS526" s="1" t="s">
        <v>5425</v>
      </c>
      <c r="BT526" s="1" t="str">
        <f>HYPERLINK("https%3A%2F%2Fwww.webofscience.com%2Fwos%2Fwoscc%2Ffull-record%2FWOS:001105044500002","View Full Record in Web of Science")</f>
        <v>View Full Record in Web of Science</v>
      </c>
    </row>
    <row r="527" ht="12.75" customHeight="1">
      <c r="A527" s="1" t="s">
        <v>72</v>
      </c>
      <c r="B527" s="1" t="s">
        <v>5426</v>
      </c>
      <c r="C527" s="1" t="s">
        <v>74</v>
      </c>
      <c r="D527" s="1" t="s">
        <v>74</v>
      </c>
      <c r="E527" s="1" t="s">
        <v>74</v>
      </c>
      <c r="F527" s="1" t="s">
        <v>5427</v>
      </c>
      <c r="G527" s="1" t="s">
        <v>74</v>
      </c>
      <c r="H527" s="1" t="s">
        <v>74</v>
      </c>
      <c r="I527" s="1" t="s">
        <v>5428</v>
      </c>
      <c r="J527" s="1" t="s">
        <v>5429</v>
      </c>
      <c r="K527" s="1" t="s">
        <v>74</v>
      </c>
      <c r="L527" s="1" t="s">
        <v>74</v>
      </c>
      <c r="M527" s="1" t="s">
        <v>74</v>
      </c>
      <c r="N527" s="1" t="s">
        <v>74</v>
      </c>
      <c r="O527" s="1" t="s">
        <v>74</v>
      </c>
      <c r="P527" s="1" t="s">
        <v>74</v>
      </c>
      <c r="Q527" s="1" t="s">
        <v>74</v>
      </c>
      <c r="R527" s="1" t="s">
        <v>74</v>
      </c>
      <c r="S527" s="1" t="s">
        <v>74</v>
      </c>
      <c r="T527" s="1" t="s">
        <v>74</v>
      </c>
      <c r="U527" s="1" t="s">
        <v>74</v>
      </c>
      <c r="V527" s="1" t="s">
        <v>5430</v>
      </c>
      <c r="W527" s="1" t="s">
        <v>74</v>
      </c>
      <c r="X527" s="1" t="s">
        <v>74</v>
      </c>
      <c r="Y527" s="1" t="s">
        <v>74</v>
      </c>
      <c r="Z527" s="1" t="s">
        <v>74</v>
      </c>
      <c r="AA527" s="1" t="s">
        <v>5431</v>
      </c>
      <c r="AB527" s="1" t="s">
        <v>5432</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5433</v>
      </c>
      <c r="AP527" s="1" t="s">
        <v>74</v>
      </c>
      <c r="AQ527" s="1" t="s">
        <v>74</v>
      </c>
      <c r="AR527" s="1" t="s">
        <v>74</v>
      </c>
      <c r="AS527" s="1" t="s">
        <v>74</v>
      </c>
      <c r="AT527" s="1" t="s">
        <v>1279</v>
      </c>
      <c r="AU527" s="1">
        <v>2023.0</v>
      </c>
      <c r="AV527" s="1">
        <v>9.0</v>
      </c>
      <c r="AW527" s="1">
        <v>4.0</v>
      </c>
      <c r="AX527" s="1" t="s">
        <v>74</v>
      </c>
      <c r="AY527" s="1" t="s">
        <v>74</v>
      </c>
      <c r="AZ527" s="1" t="s">
        <v>74</v>
      </c>
      <c r="BA527" s="1" t="s">
        <v>74</v>
      </c>
      <c r="BB527" s="1" t="s">
        <v>74</v>
      </c>
      <c r="BC527" s="1" t="s">
        <v>74</v>
      </c>
      <c r="BD527" s="1">
        <v>973.0</v>
      </c>
      <c r="BE527" s="1" t="s">
        <v>5434</v>
      </c>
      <c r="BF527" s="2" t="str">
        <f>HYPERLINK("http://dx.doi.org/10.1099/mgen.0.000973","http://dx.doi.org/10.1099/mgen.0.000973")</f>
        <v>http://dx.doi.org/10.1099/mgen.0.000973</v>
      </c>
      <c r="BG527" s="1" t="s">
        <v>74</v>
      </c>
      <c r="BH527" s="1" t="s">
        <v>74</v>
      </c>
      <c r="BI527" s="1" t="s">
        <v>74</v>
      </c>
      <c r="BJ527" s="1" t="s">
        <v>74</v>
      </c>
      <c r="BK527" s="1" t="s">
        <v>74</v>
      </c>
      <c r="BL527" s="1" t="s">
        <v>74</v>
      </c>
      <c r="BM527" s="1" t="s">
        <v>74</v>
      </c>
      <c r="BN527" s="1">
        <v>3.701803E7</v>
      </c>
      <c r="BO527" s="1" t="s">
        <v>74</v>
      </c>
      <c r="BP527" s="1" t="s">
        <v>74</v>
      </c>
      <c r="BQ527" s="1" t="s">
        <v>74</v>
      </c>
      <c r="BR527" s="1" t="s">
        <v>74</v>
      </c>
      <c r="BS527" s="1" t="s">
        <v>5435</v>
      </c>
      <c r="BT527" s="1" t="str">
        <f>HYPERLINK("https%3A%2F%2Fwww.webofscience.com%2Fwos%2Fwoscc%2Ffull-record%2FWOS:000989547800006","View Full Record in Web of Science")</f>
        <v>View Full Record in Web of Science</v>
      </c>
    </row>
    <row r="528" ht="12.75" customHeight="1">
      <c r="A528" s="1" t="s">
        <v>72</v>
      </c>
      <c r="B528" s="1" t="s">
        <v>5436</v>
      </c>
      <c r="C528" s="1" t="s">
        <v>74</v>
      </c>
      <c r="D528" s="1" t="s">
        <v>74</v>
      </c>
      <c r="E528" s="1" t="s">
        <v>74</v>
      </c>
      <c r="F528" s="1" t="s">
        <v>5437</v>
      </c>
      <c r="G528" s="1" t="s">
        <v>74</v>
      </c>
      <c r="H528" s="1" t="s">
        <v>74</v>
      </c>
      <c r="I528" s="1" t="s">
        <v>5438</v>
      </c>
      <c r="J528" s="1" t="s">
        <v>5439</v>
      </c>
      <c r="K528" s="1" t="s">
        <v>74</v>
      </c>
      <c r="L528" s="1" t="s">
        <v>74</v>
      </c>
      <c r="M528" s="1" t="s">
        <v>74</v>
      </c>
      <c r="N528" s="1" t="s">
        <v>74</v>
      </c>
      <c r="O528" s="1" t="s">
        <v>74</v>
      </c>
      <c r="P528" s="1" t="s">
        <v>74</v>
      </c>
      <c r="Q528" s="1" t="s">
        <v>74</v>
      </c>
      <c r="R528" s="1" t="s">
        <v>74</v>
      </c>
      <c r="S528" s="1" t="s">
        <v>74</v>
      </c>
      <c r="T528" s="1" t="s">
        <v>74</v>
      </c>
      <c r="U528" s="1" t="s">
        <v>74</v>
      </c>
      <c r="V528" s="1" t="s">
        <v>5440</v>
      </c>
      <c r="W528" s="1" t="s">
        <v>74</v>
      </c>
      <c r="X528" s="1" t="s">
        <v>74</v>
      </c>
      <c r="Y528" s="1" t="s">
        <v>74</v>
      </c>
      <c r="Z528" s="1" t="s">
        <v>74</v>
      </c>
      <c r="AA528" s="1" t="s">
        <v>5441</v>
      </c>
      <c r="AB528" s="1" t="s">
        <v>5442</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5443</v>
      </c>
      <c r="AP528" s="1" t="s">
        <v>5444</v>
      </c>
      <c r="AQ528" s="1" t="s">
        <v>74</v>
      </c>
      <c r="AR528" s="1" t="s">
        <v>74</v>
      </c>
      <c r="AS528" s="1" t="s">
        <v>74</v>
      </c>
      <c r="AT528" s="1" t="s">
        <v>177</v>
      </c>
      <c r="AU528" s="1">
        <v>2023.0</v>
      </c>
      <c r="AV528" s="1">
        <v>167.0</v>
      </c>
      <c r="AW528" s="1" t="s">
        <v>74</v>
      </c>
      <c r="AX528" s="1" t="s">
        <v>74</v>
      </c>
      <c r="AY528" s="1" t="s">
        <v>74</v>
      </c>
      <c r="AZ528" s="1" t="s">
        <v>74</v>
      </c>
      <c r="BA528" s="1" t="s">
        <v>74</v>
      </c>
      <c r="BB528" s="1" t="s">
        <v>74</v>
      </c>
      <c r="BC528" s="1" t="s">
        <v>74</v>
      </c>
      <c r="BD528" s="1">
        <v>106213.0</v>
      </c>
      <c r="BE528" s="1" t="s">
        <v>5445</v>
      </c>
      <c r="BF528" s="2" t="str">
        <f>HYPERLINK("http://dx.doi.org/10.1016/j.worlddev.2023.106213","http://dx.doi.org/10.1016/j.worlddev.2023.106213")</f>
        <v>http://dx.doi.org/10.1016/j.worlddev.2023.106213</v>
      </c>
      <c r="BG528" s="1" t="s">
        <v>74</v>
      </c>
      <c r="BH528" s="1" t="s">
        <v>2989</v>
      </c>
      <c r="BI528" s="1" t="s">
        <v>74</v>
      </c>
      <c r="BJ528" s="1" t="s">
        <v>74</v>
      </c>
      <c r="BK528" s="1" t="s">
        <v>74</v>
      </c>
      <c r="BL528" s="1" t="s">
        <v>74</v>
      </c>
      <c r="BM528" s="1" t="s">
        <v>74</v>
      </c>
      <c r="BN528" s="1" t="s">
        <v>74</v>
      </c>
      <c r="BO528" s="1" t="s">
        <v>74</v>
      </c>
      <c r="BP528" s="1" t="s">
        <v>74</v>
      </c>
      <c r="BQ528" s="1" t="s">
        <v>74</v>
      </c>
      <c r="BR528" s="1" t="s">
        <v>74</v>
      </c>
      <c r="BS528" s="1" t="s">
        <v>5446</v>
      </c>
      <c r="BT528" s="1" t="str">
        <f>HYPERLINK("https%3A%2F%2Fwww.webofscience.com%2Fwos%2Fwoscc%2Ffull-record%2FWOS:000962560300001","View Full Record in Web of Science")</f>
        <v>View Full Record in Web of Science</v>
      </c>
    </row>
    <row r="529" ht="12.75" customHeight="1">
      <c r="A529" s="1" t="s">
        <v>72</v>
      </c>
      <c r="B529" s="1" t="s">
        <v>5447</v>
      </c>
      <c r="C529" s="1" t="s">
        <v>74</v>
      </c>
      <c r="D529" s="1" t="s">
        <v>74</v>
      </c>
      <c r="E529" s="1" t="s">
        <v>74</v>
      </c>
      <c r="F529" s="1" t="s">
        <v>5448</v>
      </c>
      <c r="G529" s="1" t="s">
        <v>74</v>
      </c>
      <c r="H529" s="1" t="s">
        <v>74</v>
      </c>
      <c r="I529" s="1" t="s">
        <v>5449</v>
      </c>
      <c r="J529" s="1" t="s">
        <v>5450</v>
      </c>
      <c r="K529" s="1" t="s">
        <v>74</v>
      </c>
      <c r="L529" s="1" t="s">
        <v>74</v>
      </c>
      <c r="M529" s="1" t="s">
        <v>74</v>
      </c>
      <c r="N529" s="1" t="s">
        <v>74</v>
      </c>
      <c r="O529" s="1" t="s">
        <v>74</v>
      </c>
      <c r="P529" s="1" t="s">
        <v>74</v>
      </c>
      <c r="Q529" s="1" t="s">
        <v>74</v>
      </c>
      <c r="R529" s="1" t="s">
        <v>74</v>
      </c>
      <c r="S529" s="1" t="s">
        <v>74</v>
      </c>
      <c r="T529" s="1" t="s">
        <v>74</v>
      </c>
      <c r="U529" s="1" t="s">
        <v>74</v>
      </c>
      <c r="V529" s="1" t="s">
        <v>5451</v>
      </c>
      <c r="W529" s="1" t="s">
        <v>74</v>
      </c>
      <c r="X529" s="1" t="s">
        <v>74</v>
      </c>
      <c r="Y529" s="1" t="s">
        <v>74</v>
      </c>
      <c r="Z529" s="1" t="s">
        <v>74</v>
      </c>
      <c r="AA529" s="1" t="s">
        <v>5452</v>
      </c>
      <c r="AB529" s="1" t="s">
        <v>74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5453</v>
      </c>
      <c r="AP529" s="1" t="s">
        <v>74</v>
      </c>
      <c r="AQ529" s="1" t="s">
        <v>74</v>
      </c>
      <c r="AR529" s="1" t="s">
        <v>74</v>
      </c>
      <c r="AS529" s="1" t="s">
        <v>74</v>
      </c>
      <c r="AT529" s="1" t="s">
        <v>74</v>
      </c>
      <c r="AU529" s="1">
        <v>2023.0</v>
      </c>
      <c r="AV529" s="1">
        <v>13.0</v>
      </c>
      <c r="AW529" s="1">
        <v>4.0</v>
      </c>
      <c r="AX529" s="1" t="s">
        <v>74</v>
      </c>
      <c r="AY529" s="1" t="s">
        <v>74</v>
      </c>
      <c r="AZ529" s="1" t="s">
        <v>74</v>
      </c>
      <c r="BA529" s="1" t="s">
        <v>74</v>
      </c>
      <c r="BB529" s="1">
        <v>1669.0</v>
      </c>
      <c r="BC529" s="1">
        <v>1688.0</v>
      </c>
      <c r="BD529" s="1" t="s">
        <v>74</v>
      </c>
      <c r="BE529" s="1" t="s">
        <v>74</v>
      </c>
      <c r="BF529" s="1" t="s">
        <v>74</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5454</v>
      </c>
      <c r="BT529" s="1" t="str">
        <f>HYPERLINK("https%3A%2F%2Fwww.webofscience.com%2Fwos%2Fwoscc%2Ffull-record%2FWOS:001108753300024","View Full Record in Web of Science")</f>
        <v>View Full Record in Web of Science</v>
      </c>
    </row>
    <row r="530" ht="12.75" customHeight="1">
      <c r="A530" s="1" t="s">
        <v>72</v>
      </c>
      <c r="B530" s="1" t="s">
        <v>5455</v>
      </c>
      <c r="C530" s="1" t="s">
        <v>74</v>
      </c>
      <c r="D530" s="1" t="s">
        <v>74</v>
      </c>
      <c r="E530" s="1" t="s">
        <v>74</v>
      </c>
      <c r="F530" s="1" t="s">
        <v>5456</v>
      </c>
      <c r="G530" s="1" t="s">
        <v>74</v>
      </c>
      <c r="H530" s="1" t="s">
        <v>74</v>
      </c>
      <c r="I530" s="1" t="s">
        <v>5457</v>
      </c>
      <c r="J530" s="1" t="s">
        <v>5458</v>
      </c>
      <c r="K530" s="1" t="s">
        <v>74</v>
      </c>
      <c r="L530" s="1" t="s">
        <v>74</v>
      </c>
      <c r="M530" s="1" t="s">
        <v>74</v>
      </c>
      <c r="N530" s="1" t="s">
        <v>74</v>
      </c>
      <c r="O530" s="1" t="s">
        <v>74</v>
      </c>
      <c r="P530" s="1" t="s">
        <v>74</v>
      </c>
      <c r="Q530" s="1" t="s">
        <v>74</v>
      </c>
      <c r="R530" s="1" t="s">
        <v>74</v>
      </c>
      <c r="S530" s="1" t="s">
        <v>74</v>
      </c>
      <c r="T530" s="1" t="s">
        <v>74</v>
      </c>
      <c r="U530" s="1" t="s">
        <v>74</v>
      </c>
      <c r="V530" s="1" t="s">
        <v>5459</v>
      </c>
      <c r="W530" s="1" t="s">
        <v>74</v>
      </c>
      <c r="X530" s="1" t="s">
        <v>74</v>
      </c>
      <c r="Y530" s="1" t="s">
        <v>74</v>
      </c>
      <c r="Z530" s="1" t="s">
        <v>74</v>
      </c>
      <c r="AA530" s="1" t="s">
        <v>5460</v>
      </c>
      <c r="AB530" s="1" t="s">
        <v>5461</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5462</v>
      </c>
      <c r="AP530" s="1" t="s">
        <v>5463</v>
      </c>
      <c r="AQ530" s="1" t="s">
        <v>74</v>
      </c>
      <c r="AR530" s="1" t="s">
        <v>74</v>
      </c>
      <c r="AS530" s="1" t="s">
        <v>74</v>
      </c>
      <c r="AT530" s="1" t="s">
        <v>374</v>
      </c>
      <c r="AU530" s="1">
        <v>2023.0</v>
      </c>
      <c r="AV530" s="1">
        <v>25.0</v>
      </c>
      <c r="AW530" s="1">
        <v>4.0</v>
      </c>
      <c r="AX530" s="1" t="s">
        <v>74</v>
      </c>
      <c r="AY530" s="1" t="s">
        <v>74</v>
      </c>
      <c r="AZ530" s="1" t="s">
        <v>74</v>
      </c>
      <c r="BA530" s="1" t="s">
        <v>74</v>
      </c>
      <c r="BB530" s="1">
        <v>655.0</v>
      </c>
      <c r="BC530" s="1">
        <v>675.0</v>
      </c>
      <c r="BD530" s="1" t="s">
        <v>74</v>
      </c>
      <c r="BE530" s="1" t="s">
        <v>5464</v>
      </c>
      <c r="BF530" s="2" t="str">
        <f>HYPERLINK("http://dx.doi.org/10.1177/13691481221124850","http://dx.doi.org/10.1177/13691481221124850")</f>
        <v>http://dx.doi.org/10.1177/13691481221124850</v>
      </c>
      <c r="BG530" s="1" t="s">
        <v>74</v>
      </c>
      <c r="BH530" s="1" t="s">
        <v>3001</v>
      </c>
      <c r="BI530" s="1" t="s">
        <v>74</v>
      </c>
      <c r="BJ530" s="1" t="s">
        <v>74</v>
      </c>
      <c r="BK530" s="1" t="s">
        <v>74</v>
      </c>
      <c r="BL530" s="1" t="s">
        <v>74</v>
      </c>
      <c r="BM530" s="1" t="s">
        <v>74</v>
      </c>
      <c r="BN530" s="1" t="s">
        <v>74</v>
      </c>
      <c r="BO530" s="1" t="s">
        <v>74</v>
      </c>
      <c r="BP530" s="1" t="s">
        <v>74</v>
      </c>
      <c r="BQ530" s="1" t="s">
        <v>74</v>
      </c>
      <c r="BR530" s="1" t="s">
        <v>74</v>
      </c>
      <c r="BS530" s="1" t="s">
        <v>5465</v>
      </c>
      <c r="BT530" s="1" t="str">
        <f>HYPERLINK("https%3A%2F%2Fwww.webofscience.com%2Fwos%2Fwoscc%2Ffull-record%2FWOS:000868863200001","View Full Record in Web of Science")</f>
        <v>View Full Record in Web of Science</v>
      </c>
    </row>
    <row r="531" ht="12.75" customHeight="1">
      <c r="A531" s="1" t="s">
        <v>72</v>
      </c>
      <c r="B531" s="1" t="s">
        <v>5466</v>
      </c>
      <c r="C531" s="1" t="s">
        <v>74</v>
      </c>
      <c r="D531" s="1" t="s">
        <v>74</v>
      </c>
      <c r="E531" s="1" t="s">
        <v>74</v>
      </c>
      <c r="F531" s="1" t="s">
        <v>5467</v>
      </c>
      <c r="G531" s="1" t="s">
        <v>74</v>
      </c>
      <c r="H531" s="1" t="s">
        <v>5468</v>
      </c>
      <c r="I531" s="1" t="s">
        <v>5469</v>
      </c>
      <c r="J531" s="1" t="s">
        <v>5470</v>
      </c>
      <c r="K531" s="1" t="s">
        <v>74</v>
      </c>
      <c r="L531" s="1" t="s">
        <v>74</v>
      </c>
      <c r="M531" s="1" t="s">
        <v>74</v>
      </c>
      <c r="N531" s="1" t="s">
        <v>74</v>
      </c>
      <c r="O531" s="1" t="s">
        <v>74</v>
      </c>
      <c r="P531" s="1" t="s">
        <v>74</v>
      </c>
      <c r="Q531" s="1" t="s">
        <v>74</v>
      </c>
      <c r="R531" s="1" t="s">
        <v>74</v>
      </c>
      <c r="S531" s="1" t="s">
        <v>74</v>
      </c>
      <c r="T531" s="1" t="s">
        <v>74</v>
      </c>
      <c r="U531" s="1" t="s">
        <v>74</v>
      </c>
      <c r="V531" s="1" t="s">
        <v>5471</v>
      </c>
      <c r="W531" s="1" t="s">
        <v>74</v>
      </c>
      <c r="X531" s="1" t="s">
        <v>74</v>
      </c>
      <c r="Y531" s="1" t="s">
        <v>74</v>
      </c>
      <c r="Z531" s="1" t="s">
        <v>74</v>
      </c>
      <c r="AA531" s="1" t="s">
        <v>5472</v>
      </c>
      <c r="AB531" s="1" t="s">
        <v>5473</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74</v>
      </c>
      <c r="AP531" s="1" t="s">
        <v>5474</v>
      </c>
      <c r="AQ531" s="1" t="s">
        <v>74</v>
      </c>
      <c r="AR531" s="1" t="s">
        <v>74</v>
      </c>
      <c r="AS531" s="1" t="s">
        <v>74</v>
      </c>
      <c r="AT531" s="1" t="s">
        <v>94</v>
      </c>
      <c r="AU531" s="1">
        <v>2021.0</v>
      </c>
      <c r="AV531" s="1">
        <v>4.0</v>
      </c>
      <c r="AW531" s="1">
        <v>2.0</v>
      </c>
      <c r="AX531" s="1" t="s">
        <v>74</v>
      </c>
      <c r="AY531" s="1" t="s">
        <v>74</v>
      </c>
      <c r="AZ531" s="1" t="s">
        <v>74</v>
      </c>
      <c r="BA531" s="1" t="s">
        <v>74</v>
      </c>
      <c r="BB531" s="1" t="s">
        <v>74</v>
      </c>
      <c r="BC531" s="1" t="s">
        <v>74</v>
      </c>
      <c r="BD531" s="1" t="s">
        <v>5475</v>
      </c>
      <c r="BE531" s="1" t="s">
        <v>5476</v>
      </c>
      <c r="BF531" s="2" t="str">
        <f>HYPERLINK("http://dx.doi.org/10.1002/hsr2.255","http://dx.doi.org/10.1002/hsr2.255")</f>
        <v>http://dx.doi.org/10.1002/hsr2.255</v>
      </c>
      <c r="BG531" s="1" t="s">
        <v>74</v>
      </c>
      <c r="BH531" s="1" t="s">
        <v>74</v>
      </c>
      <c r="BI531" s="1" t="s">
        <v>74</v>
      </c>
      <c r="BJ531" s="1" t="s">
        <v>74</v>
      </c>
      <c r="BK531" s="1" t="s">
        <v>74</v>
      </c>
      <c r="BL531" s="1" t="s">
        <v>74</v>
      </c>
      <c r="BM531" s="1" t="s">
        <v>74</v>
      </c>
      <c r="BN531" s="1">
        <v>3.3732895E7</v>
      </c>
      <c r="BO531" s="1" t="s">
        <v>74</v>
      </c>
      <c r="BP531" s="1" t="s">
        <v>74</v>
      </c>
      <c r="BQ531" s="1" t="s">
        <v>74</v>
      </c>
      <c r="BR531" s="1" t="s">
        <v>74</v>
      </c>
      <c r="BS531" s="1" t="s">
        <v>5477</v>
      </c>
      <c r="BT531" s="1" t="str">
        <f>HYPERLINK("https%3A%2F%2Fwww.webofscience.com%2Fwos%2Fwoscc%2Ffull-record%2FWOS:000668839100046","View Full Record in Web of Science")</f>
        <v>View Full Record in Web of Science</v>
      </c>
    </row>
    <row r="532" ht="12.75" customHeight="1">
      <c r="A532" s="1" t="s">
        <v>72</v>
      </c>
      <c r="B532" s="1" t="s">
        <v>5478</v>
      </c>
      <c r="C532" s="1" t="s">
        <v>74</v>
      </c>
      <c r="D532" s="1" t="s">
        <v>74</v>
      </c>
      <c r="E532" s="1" t="s">
        <v>74</v>
      </c>
      <c r="F532" s="1" t="s">
        <v>5479</v>
      </c>
      <c r="G532" s="1" t="s">
        <v>74</v>
      </c>
      <c r="H532" s="1" t="s">
        <v>74</v>
      </c>
      <c r="I532" s="1" t="s">
        <v>5480</v>
      </c>
      <c r="J532" s="1" t="s">
        <v>5481</v>
      </c>
      <c r="K532" s="1" t="s">
        <v>74</v>
      </c>
      <c r="L532" s="1" t="s">
        <v>74</v>
      </c>
      <c r="M532" s="1" t="s">
        <v>74</v>
      </c>
      <c r="N532" s="1" t="s">
        <v>74</v>
      </c>
      <c r="O532" s="1" t="s">
        <v>74</v>
      </c>
      <c r="P532" s="1" t="s">
        <v>74</v>
      </c>
      <c r="Q532" s="1" t="s">
        <v>74</v>
      </c>
      <c r="R532" s="1" t="s">
        <v>74</v>
      </c>
      <c r="S532" s="1" t="s">
        <v>74</v>
      </c>
      <c r="T532" s="1" t="s">
        <v>74</v>
      </c>
      <c r="U532" s="1" t="s">
        <v>74</v>
      </c>
      <c r="V532" s="1" t="s">
        <v>5482</v>
      </c>
      <c r="W532" s="1" t="s">
        <v>74</v>
      </c>
      <c r="X532" s="1" t="s">
        <v>74</v>
      </c>
      <c r="Y532" s="1" t="s">
        <v>74</v>
      </c>
      <c r="Z532" s="1" t="s">
        <v>74</v>
      </c>
      <c r="AA532" s="1" t="s">
        <v>5483</v>
      </c>
      <c r="AB532" s="1" t="s">
        <v>5484</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5485</v>
      </c>
      <c r="AP532" s="1" t="s">
        <v>5486</v>
      </c>
      <c r="AQ532" s="1" t="s">
        <v>74</v>
      </c>
      <c r="AR532" s="1" t="s">
        <v>74</v>
      </c>
      <c r="AS532" s="1" t="s">
        <v>74</v>
      </c>
      <c r="AT532" s="1" t="s">
        <v>94</v>
      </c>
      <c r="AU532" s="1">
        <v>2021.0</v>
      </c>
      <c r="AV532" s="1">
        <v>201.0</v>
      </c>
      <c r="AW532" s="1" t="s">
        <v>74</v>
      </c>
      <c r="AX532" s="1" t="s">
        <v>74</v>
      </c>
      <c r="AY532" s="1" t="s">
        <v>74</v>
      </c>
      <c r="AZ532" s="1" t="s">
        <v>74</v>
      </c>
      <c r="BA532" s="1" t="s">
        <v>74</v>
      </c>
      <c r="BB532" s="1" t="s">
        <v>74</v>
      </c>
      <c r="BC532" s="1" t="s">
        <v>74</v>
      </c>
      <c r="BD532" s="1">
        <v>103497.0</v>
      </c>
      <c r="BE532" s="1" t="s">
        <v>5487</v>
      </c>
      <c r="BF532" s="2" t="str">
        <f>HYPERLINK("http://dx.doi.org/10.1016/j.gloplacha.2021.103497","http://dx.doi.org/10.1016/j.gloplacha.2021.103497")</f>
        <v>http://dx.doi.org/10.1016/j.gloplacha.2021.103497</v>
      </c>
      <c r="BG532" s="1" t="s">
        <v>74</v>
      </c>
      <c r="BH532" s="1" t="s">
        <v>2420</v>
      </c>
      <c r="BI532" s="1" t="s">
        <v>74</v>
      </c>
      <c r="BJ532" s="1" t="s">
        <v>74</v>
      </c>
      <c r="BK532" s="1" t="s">
        <v>74</v>
      </c>
      <c r="BL532" s="1" t="s">
        <v>74</v>
      </c>
      <c r="BM532" s="1" t="s">
        <v>74</v>
      </c>
      <c r="BN532" s="1" t="s">
        <v>74</v>
      </c>
      <c r="BO532" s="1" t="s">
        <v>74</v>
      </c>
      <c r="BP532" s="1" t="s">
        <v>74</v>
      </c>
      <c r="BQ532" s="1" t="s">
        <v>74</v>
      </c>
      <c r="BR532" s="1" t="s">
        <v>74</v>
      </c>
      <c r="BS532" s="1" t="s">
        <v>5488</v>
      </c>
      <c r="BT532" s="1" t="str">
        <f>HYPERLINK("https%3A%2F%2Fwww.webofscience.com%2Fwos%2Fwoscc%2Ffull-record%2FWOS:000651378900004","View Full Record in Web of Science")</f>
        <v>View Full Record in Web of Science</v>
      </c>
    </row>
    <row r="533" ht="12.75" customHeight="1">
      <c r="A533" s="1" t="s">
        <v>72</v>
      </c>
      <c r="B533" s="1" t="s">
        <v>5489</v>
      </c>
      <c r="C533" s="1" t="s">
        <v>74</v>
      </c>
      <c r="D533" s="1" t="s">
        <v>74</v>
      </c>
      <c r="E533" s="1" t="s">
        <v>74</v>
      </c>
      <c r="F533" s="1" t="s">
        <v>5490</v>
      </c>
      <c r="G533" s="1" t="s">
        <v>74</v>
      </c>
      <c r="H533" s="1" t="s">
        <v>74</v>
      </c>
      <c r="I533" s="1" t="s">
        <v>5491</v>
      </c>
      <c r="J533" s="1" t="s">
        <v>5492</v>
      </c>
      <c r="K533" s="1" t="s">
        <v>74</v>
      </c>
      <c r="L533" s="1" t="s">
        <v>74</v>
      </c>
      <c r="M533" s="1" t="s">
        <v>74</v>
      </c>
      <c r="N533" s="1" t="s">
        <v>74</v>
      </c>
      <c r="O533" s="1" t="s">
        <v>74</v>
      </c>
      <c r="P533" s="1" t="s">
        <v>74</v>
      </c>
      <c r="Q533" s="1" t="s">
        <v>74</v>
      </c>
      <c r="R533" s="1" t="s">
        <v>74</v>
      </c>
      <c r="S533" s="1" t="s">
        <v>74</v>
      </c>
      <c r="T533" s="1" t="s">
        <v>74</v>
      </c>
      <c r="U533" s="1" t="s">
        <v>74</v>
      </c>
      <c r="V533" s="1" t="s">
        <v>5493</v>
      </c>
      <c r="W533" s="1" t="s">
        <v>74</v>
      </c>
      <c r="X533" s="1" t="s">
        <v>74</v>
      </c>
      <c r="Y533" s="1" t="s">
        <v>74</v>
      </c>
      <c r="Z533" s="1" t="s">
        <v>74</v>
      </c>
      <c r="AA533" s="1" t="s">
        <v>5494</v>
      </c>
      <c r="AB533" s="1" t="s">
        <v>5495</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74</v>
      </c>
      <c r="AP533" s="1" t="s">
        <v>5496</v>
      </c>
      <c r="AQ533" s="1" t="s">
        <v>74</v>
      </c>
      <c r="AR533" s="1" t="s">
        <v>74</v>
      </c>
      <c r="AS533" s="1" t="s">
        <v>74</v>
      </c>
      <c r="AT533" s="1" t="s">
        <v>5497</v>
      </c>
      <c r="AU533" s="1">
        <v>2021.0</v>
      </c>
      <c r="AV533" s="1">
        <v>4.0</v>
      </c>
      <c r="AW533" s="1">
        <v>1.0</v>
      </c>
      <c r="AX533" s="1" t="s">
        <v>74</v>
      </c>
      <c r="AY533" s="1" t="s">
        <v>74</v>
      </c>
      <c r="AZ533" s="1" t="s">
        <v>74</v>
      </c>
      <c r="BA533" s="1" t="s">
        <v>74</v>
      </c>
      <c r="BB533" s="1" t="s">
        <v>74</v>
      </c>
      <c r="BC533" s="1" t="s">
        <v>74</v>
      </c>
      <c r="BD533" s="1">
        <v>389.0</v>
      </c>
      <c r="BE533" s="1" t="s">
        <v>5498</v>
      </c>
      <c r="BF533" s="2" t="str">
        <f>HYPERLINK("http://dx.doi.org/10.1038/s42003-021-01916-6","http://dx.doi.org/10.1038/s42003-021-01916-6")</f>
        <v>http://dx.doi.org/10.1038/s42003-021-01916-6</v>
      </c>
      <c r="BG533" s="1" t="s">
        <v>74</v>
      </c>
      <c r="BH533" s="1" t="s">
        <v>74</v>
      </c>
      <c r="BI533" s="1" t="s">
        <v>74</v>
      </c>
      <c r="BJ533" s="1" t="s">
        <v>74</v>
      </c>
      <c r="BK533" s="1" t="s">
        <v>74</v>
      </c>
      <c r="BL533" s="1" t="s">
        <v>74</v>
      </c>
      <c r="BM533" s="1" t="s">
        <v>74</v>
      </c>
      <c r="BN533" s="1">
        <v>3.3758369E7</v>
      </c>
      <c r="BO533" s="1" t="s">
        <v>74</v>
      </c>
      <c r="BP533" s="1" t="s">
        <v>74</v>
      </c>
      <c r="BQ533" s="1" t="s">
        <v>74</v>
      </c>
      <c r="BR533" s="1" t="s">
        <v>74</v>
      </c>
      <c r="BS533" s="1" t="s">
        <v>5499</v>
      </c>
      <c r="BT533" s="1" t="str">
        <f>HYPERLINK("https%3A%2F%2Fwww.webofscience.com%2Fwos%2Fwoscc%2Ffull-record%2FWOS:000634790400003","View Full Record in Web of Science")</f>
        <v>View Full Record in Web of Science</v>
      </c>
    </row>
    <row r="534" ht="12.75" customHeight="1">
      <c r="A534" s="1" t="s">
        <v>207</v>
      </c>
      <c r="B534" s="1" t="s">
        <v>5500</v>
      </c>
      <c r="C534" s="1" t="s">
        <v>74</v>
      </c>
      <c r="D534" s="1" t="s">
        <v>74</v>
      </c>
      <c r="E534" s="1" t="s">
        <v>224</v>
      </c>
      <c r="F534" s="1" t="s">
        <v>5501</v>
      </c>
      <c r="G534" s="1" t="s">
        <v>74</v>
      </c>
      <c r="H534" s="1" t="s">
        <v>74</v>
      </c>
      <c r="I534" s="1" t="s">
        <v>5502</v>
      </c>
      <c r="J534" s="1" t="s">
        <v>5503</v>
      </c>
      <c r="K534" s="1" t="s">
        <v>74</v>
      </c>
      <c r="L534" s="1" t="s">
        <v>74</v>
      </c>
      <c r="M534" s="1" t="s">
        <v>74</v>
      </c>
      <c r="N534" s="1" t="s">
        <v>74</v>
      </c>
      <c r="O534" s="1" t="s">
        <v>5504</v>
      </c>
      <c r="P534" s="1" t="s">
        <v>5505</v>
      </c>
      <c r="Q534" s="1" t="s">
        <v>1799</v>
      </c>
      <c r="R534" s="1" t="s">
        <v>5506</v>
      </c>
      <c r="S534" s="1" t="s">
        <v>74</v>
      </c>
      <c r="T534" s="1" t="s">
        <v>74</v>
      </c>
      <c r="U534" s="1" t="s">
        <v>74</v>
      </c>
      <c r="V534" s="1" t="s">
        <v>5507</v>
      </c>
      <c r="W534" s="1" t="s">
        <v>74</v>
      </c>
      <c r="X534" s="1" t="s">
        <v>74</v>
      </c>
      <c r="Y534" s="1" t="s">
        <v>74</v>
      </c>
      <c r="Z534" s="1" t="s">
        <v>74</v>
      </c>
      <c r="AA534" s="1" t="s">
        <v>5508</v>
      </c>
      <c r="AB534" s="1" t="s">
        <v>5509</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74</v>
      </c>
      <c r="AP534" s="1" t="s">
        <v>74</v>
      </c>
      <c r="AQ534" s="1" t="s">
        <v>5510</v>
      </c>
      <c r="AR534" s="1" t="s">
        <v>74</v>
      </c>
      <c r="AS534" s="1" t="s">
        <v>74</v>
      </c>
      <c r="AT534" s="1" t="s">
        <v>74</v>
      </c>
      <c r="AU534" s="1">
        <v>2021.0</v>
      </c>
      <c r="AV534" s="1" t="s">
        <v>74</v>
      </c>
      <c r="AW534" s="1" t="s">
        <v>74</v>
      </c>
      <c r="AX534" s="1" t="s">
        <v>74</v>
      </c>
      <c r="AY534" s="1" t="s">
        <v>74</v>
      </c>
      <c r="AZ534" s="1" t="s">
        <v>74</v>
      </c>
      <c r="BA534" s="1" t="s">
        <v>74</v>
      </c>
      <c r="BB534" s="1">
        <v>870.0</v>
      </c>
      <c r="BC534" s="1">
        <v>875.0</v>
      </c>
      <c r="BD534" s="1" t="s">
        <v>74</v>
      </c>
      <c r="BE534" s="1" t="s">
        <v>5511</v>
      </c>
      <c r="BF534" s="2" t="str">
        <f>HYPERLINK("http://dx.doi.org/10.1109/CHILECON54041.2021.9702970","http://dx.doi.org/10.1109/CHILECON54041.2021.9702970")</f>
        <v>http://dx.doi.org/10.1109/CHILECON54041.2021.9702970</v>
      </c>
      <c r="BG534" s="1" t="s">
        <v>74</v>
      </c>
      <c r="BH534" s="1" t="s">
        <v>74</v>
      </c>
      <c r="BI534" s="1" t="s">
        <v>74</v>
      </c>
      <c r="BJ534" s="1" t="s">
        <v>74</v>
      </c>
      <c r="BK534" s="1" t="s">
        <v>74</v>
      </c>
      <c r="BL534" s="1" t="s">
        <v>74</v>
      </c>
      <c r="BM534" s="1" t="s">
        <v>74</v>
      </c>
      <c r="BN534" s="1" t="s">
        <v>74</v>
      </c>
      <c r="BO534" s="1" t="s">
        <v>74</v>
      </c>
      <c r="BP534" s="1" t="s">
        <v>74</v>
      </c>
      <c r="BQ534" s="1" t="s">
        <v>74</v>
      </c>
      <c r="BR534" s="1" t="s">
        <v>74</v>
      </c>
      <c r="BS534" s="1" t="s">
        <v>5512</v>
      </c>
      <c r="BT534" s="1" t="str">
        <f>HYPERLINK("https%3A%2F%2Fwww.webofscience.com%2Fwos%2Fwoscc%2Ffull-record%2FWOS:000788072700144","View Full Record in Web of Science")</f>
        <v>View Full Record in Web of Science</v>
      </c>
    </row>
    <row r="535" ht="12.75" customHeight="1">
      <c r="A535" s="1" t="s">
        <v>72</v>
      </c>
      <c r="B535" s="1" t="s">
        <v>5513</v>
      </c>
      <c r="C535" s="1" t="s">
        <v>74</v>
      </c>
      <c r="D535" s="1" t="s">
        <v>74</v>
      </c>
      <c r="E535" s="1" t="s">
        <v>74</v>
      </c>
      <c r="F535" s="1" t="s">
        <v>5514</v>
      </c>
      <c r="G535" s="1" t="s">
        <v>74</v>
      </c>
      <c r="H535" s="1" t="s">
        <v>74</v>
      </c>
      <c r="I535" s="1" t="s">
        <v>5515</v>
      </c>
      <c r="J535" s="1" t="s">
        <v>5516</v>
      </c>
      <c r="K535" s="1" t="s">
        <v>74</v>
      </c>
      <c r="L535" s="1" t="s">
        <v>74</v>
      </c>
      <c r="M535" s="1" t="s">
        <v>74</v>
      </c>
      <c r="N535" s="1" t="s">
        <v>74</v>
      </c>
      <c r="O535" s="1" t="s">
        <v>74</v>
      </c>
      <c r="P535" s="1" t="s">
        <v>74</v>
      </c>
      <c r="Q535" s="1" t="s">
        <v>74</v>
      </c>
      <c r="R535" s="1" t="s">
        <v>74</v>
      </c>
      <c r="S535" s="1" t="s">
        <v>74</v>
      </c>
      <c r="T535" s="1" t="s">
        <v>74</v>
      </c>
      <c r="U535" s="1" t="s">
        <v>74</v>
      </c>
      <c r="V535" s="1" t="s">
        <v>5517</v>
      </c>
      <c r="W535" s="1" t="s">
        <v>74</v>
      </c>
      <c r="X535" s="1" t="s">
        <v>74</v>
      </c>
      <c r="Y535" s="1" t="s">
        <v>74</v>
      </c>
      <c r="Z535" s="1" t="s">
        <v>74</v>
      </c>
      <c r="AA535" s="1" t="s">
        <v>5518</v>
      </c>
      <c r="AB535" s="1" t="s">
        <v>5519</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5520</v>
      </c>
      <c r="AP535" s="1" t="s">
        <v>5521</v>
      </c>
      <c r="AQ535" s="1" t="s">
        <v>74</v>
      </c>
      <c r="AR535" s="1" t="s">
        <v>74</v>
      </c>
      <c r="AS535" s="1" t="s">
        <v>74</v>
      </c>
      <c r="AT535" s="1" t="s">
        <v>775</v>
      </c>
      <c r="AU535" s="1">
        <v>2020.0</v>
      </c>
      <c r="AV535" s="1">
        <v>125.0</v>
      </c>
      <c r="AW535" s="1">
        <v>6.0</v>
      </c>
      <c r="AX535" s="1" t="s">
        <v>74</v>
      </c>
      <c r="AY535" s="1" t="s">
        <v>74</v>
      </c>
      <c r="AZ535" s="1" t="s">
        <v>74</v>
      </c>
      <c r="BA535" s="1" t="s">
        <v>74</v>
      </c>
      <c r="BB535" s="1">
        <v>1602.0</v>
      </c>
      <c r="BC535" s="1">
        <v>1667.0</v>
      </c>
      <c r="BD535" s="1" t="s">
        <v>74</v>
      </c>
      <c r="BE535" s="1" t="s">
        <v>5522</v>
      </c>
      <c r="BF535" s="2" t="str">
        <f>HYPERLINK("http://dx.doi.org/10.1086/709105","http://dx.doi.org/10.1086/709105")</f>
        <v>http://dx.doi.org/10.1086/709105</v>
      </c>
      <c r="BG535" s="1" t="s">
        <v>74</v>
      </c>
      <c r="BH535" s="1" t="s">
        <v>74</v>
      </c>
      <c r="BI535" s="1" t="s">
        <v>74</v>
      </c>
      <c r="BJ535" s="1" t="s">
        <v>74</v>
      </c>
      <c r="BK535" s="1" t="s">
        <v>74</v>
      </c>
      <c r="BL535" s="1" t="s">
        <v>74</v>
      </c>
      <c r="BM535" s="1" t="s">
        <v>74</v>
      </c>
      <c r="BN535" s="1" t="s">
        <v>74</v>
      </c>
      <c r="BO535" s="1" t="s">
        <v>74</v>
      </c>
      <c r="BP535" s="1" t="s">
        <v>74</v>
      </c>
      <c r="BQ535" s="1" t="s">
        <v>74</v>
      </c>
      <c r="BR535" s="1" t="s">
        <v>74</v>
      </c>
      <c r="BS535" s="1" t="s">
        <v>5523</v>
      </c>
      <c r="BT535" s="1" t="str">
        <f>HYPERLINK("https%3A%2F%2Fwww.webofscience.com%2Fwos%2Fwoscc%2Ffull-record%2FWOS:000542962900004","View Full Record in Web of Science")</f>
        <v>View Full Record in Web of Science</v>
      </c>
    </row>
    <row r="536" ht="12.75" customHeight="1">
      <c r="A536" s="1" t="s">
        <v>72</v>
      </c>
      <c r="B536" s="1" t="s">
        <v>5524</v>
      </c>
      <c r="C536" s="1" t="s">
        <v>74</v>
      </c>
      <c r="D536" s="1" t="s">
        <v>74</v>
      </c>
      <c r="E536" s="1" t="s">
        <v>74</v>
      </c>
      <c r="F536" s="1" t="s">
        <v>5525</v>
      </c>
      <c r="G536" s="1" t="s">
        <v>74</v>
      </c>
      <c r="H536" s="1" t="s">
        <v>74</v>
      </c>
      <c r="I536" s="1" t="s">
        <v>5526</v>
      </c>
      <c r="J536" s="1" t="s">
        <v>5527</v>
      </c>
      <c r="K536" s="1" t="s">
        <v>74</v>
      </c>
      <c r="L536" s="1" t="s">
        <v>74</v>
      </c>
      <c r="M536" s="1" t="s">
        <v>74</v>
      </c>
      <c r="N536" s="1" t="s">
        <v>74</v>
      </c>
      <c r="O536" s="1" t="s">
        <v>74</v>
      </c>
      <c r="P536" s="1" t="s">
        <v>74</v>
      </c>
      <c r="Q536" s="1" t="s">
        <v>74</v>
      </c>
      <c r="R536" s="1" t="s">
        <v>74</v>
      </c>
      <c r="S536" s="1" t="s">
        <v>74</v>
      </c>
      <c r="T536" s="1" t="s">
        <v>74</v>
      </c>
      <c r="U536" s="1" t="s">
        <v>74</v>
      </c>
      <c r="V536" s="1" t="s">
        <v>5528</v>
      </c>
      <c r="W536" s="1" t="s">
        <v>74</v>
      </c>
      <c r="X536" s="1" t="s">
        <v>74</v>
      </c>
      <c r="Y536" s="1" t="s">
        <v>74</v>
      </c>
      <c r="Z536" s="1" t="s">
        <v>74</v>
      </c>
      <c r="AA536" s="1" t="s">
        <v>5529</v>
      </c>
      <c r="AB536" s="1" t="s">
        <v>5530</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5531</v>
      </c>
      <c r="AP536" s="1" t="s">
        <v>5532</v>
      </c>
      <c r="AQ536" s="1" t="s">
        <v>74</v>
      </c>
      <c r="AR536" s="1" t="s">
        <v>74</v>
      </c>
      <c r="AS536" s="1" t="s">
        <v>74</v>
      </c>
      <c r="AT536" s="1" t="s">
        <v>294</v>
      </c>
      <c r="AU536" s="1">
        <v>2021.0</v>
      </c>
      <c r="AV536" s="1">
        <v>78.0</v>
      </c>
      <c r="AW536" s="1">
        <v>2.0</v>
      </c>
      <c r="AX536" s="1" t="s">
        <v>74</v>
      </c>
      <c r="AY536" s="1" t="s">
        <v>74</v>
      </c>
      <c r="AZ536" s="1" t="s">
        <v>74</v>
      </c>
      <c r="BA536" s="1" t="s">
        <v>74</v>
      </c>
      <c r="BB536" s="1">
        <v>1087.0</v>
      </c>
      <c r="BC536" s="1">
        <v>1107.0</v>
      </c>
      <c r="BD536" s="1" t="s">
        <v>74</v>
      </c>
      <c r="BE536" s="1" t="s">
        <v>5533</v>
      </c>
      <c r="BF536" s="2" t="str">
        <f>HYPERLINK("http://dx.doi.org/10.1007/s00289-020-03149-9","http://dx.doi.org/10.1007/s00289-020-03149-9")</f>
        <v>http://dx.doi.org/10.1007/s00289-020-03149-9</v>
      </c>
      <c r="BG536" s="1" t="s">
        <v>74</v>
      </c>
      <c r="BH536" s="1" t="s">
        <v>5534</v>
      </c>
      <c r="BI536" s="1" t="s">
        <v>74</v>
      </c>
      <c r="BJ536" s="1" t="s">
        <v>74</v>
      </c>
      <c r="BK536" s="1" t="s">
        <v>74</v>
      </c>
      <c r="BL536" s="1" t="s">
        <v>74</v>
      </c>
      <c r="BM536" s="1" t="s">
        <v>74</v>
      </c>
      <c r="BN536" s="1" t="s">
        <v>74</v>
      </c>
      <c r="BO536" s="1" t="s">
        <v>74</v>
      </c>
      <c r="BP536" s="1" t="s">
        <v>74</v>
      </c>
      <c r="BQ536" s="1" t="s">
        <v>74</v>
      </c>
      <c r="BR536" s="1" t="s">
        <v>74</v>
      </c>
      <c r="BS536" s="1" t="s">
        <v>5535</v>
      </c>
      <c r="BT536" s="1" t="str">
        <f>HYPERLINK("https%3A%2F%2Fwww.webofscience.com%2Fwos%2Fwoscc%2Ffull-record%2FWOS:000518244800001","View Full Record in Web of Science")</f>
        <v>View Full Record in Web of Science</v>
      </c>
    </row>
    <row r="537" ht="12.75" customHeight="1">
      <c r="A537" s="1" t="s">
        <v>72</v>
      </c>
      <c r="B537" s="1" t="s">
        <v>5536</v>
      </c>
      <c r="C537" s="1" t="s">
        <v>74</v>
      </c>
      <c r="D537" s="1" t="s">
        <v>74</v>
      </c>
      <c r="E537" s="1" t="s">
        <v>74</v>
      </c>
      <c r="F537" s="1" t="s">
        <v>5537</v>
      </c>
      <c r="G537" s="1" t="s">
        <v>74</v>
      </c>
      <c r="H537" s="1" t="s">
        <v>74</v>
      </c>
      <c r="I537" s="1" t="s">
        <v>5538</v>
      </c>
      <c r="J537" s="1" t="s">
        <v>5539</v>
      </c>
      <c r="K537" s="1" t="s">
        <v>74</v>
      </c>
      <c r="L537" s="1" t="s">
        <v>74</v>
      </c>
      <c r="M537" s="1" t="s">
        <v>74</v>
      </c>
      <c r="N537" s="1" t="s">
        <v>74</v>
      </c>
      <c r="O537" s="1" t="s">
        <v>74</v>
      </c>
      <c r="P537" s="1" t="s">
        <v>74</v>
      </c>
      <c r="Q537" s="1" t="s">
        <v>74</v>
      </c>
      <c r="R537" s="1" t="s">
        <v>74</v>
      </c>
      <c r="S537" s="1" t="s">
        <v>74</v>
      </c>
      <c r="T537" s="1" t="s">
        <v>74</v>
      </c>
      <c r="U537" s="1" t="s">
        <v>74</v>
      </c>
      <c r="V537" s="1" t="s">
        <v>5540</v>
      </c>
      <c r="W537" s="1" t="s">
        <v>74</v>
      </c>
      <c r="X537" s="1" t="s">
        <v>74</v>
      </c>
      <c r="Y537" s="1" t="s">
        <v>74</v>
      </c>
      <c r="Z537" s="1" t="s">
        <v>74</v>
      </c>
      <c r="AA537" s="1" t="s">
        <v>74</v>
      </c>
      <c r="AB537" s="1" t="s">
        <v>5541</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5542</v>
      </c>
      <c r="AP537" s="1" t="s">
        <v>74</v>
      </c>
      <c r="AQ537" s="1" t="s">
        <v>74</v>
      </c>
      <c r="AR537" s="1" t="s">
        <v>74</v>
      </c>
      <c r="AS537" s="1" t="s">
        <v>74</v>
      </c>
      <c r="AT537" s="1" t="s">
        <v>74</v>
      </c>
      <c r="AU537" s="1">
        <v>2019.0</v>
      </c>
      <c r="AV537" s="1">
        <v>47.0</v>
      </c>
      <c r="AW537" s="1">
        <v>2.0</v>
      </c>
      <c r="AX537" s="1" t="s">
        <v>74</v>
      </c>
      <c r="AY537" s="1" t="s">
        <v>74</v>
      </c>
      <c r="AZ537" s="1" t="s">
        <v>74</v>
      </c>
      <c r="BA537" s="1" t="s">
        <v>74</v>
      </c>
      <c r="BB537" s="1">
        <v>73.0</v>
      </c>
      <c r="BC537" s="1">
        <v>92.0</v>
      </c>
      <c r="BD537" s="1" t="s">
        <v>74</v>
      </c>
      <c r="BE537" s="1" t="s">
        <v>74</v>
      </c>
      <c r="BF537" s="1" t="s">
        <v>74</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5543</v>
      </c>
      <c r="BT537" s="1" t="str">
        <f>HYPERLINK("https%3A%2F%2Fwww.webofscience.com%2Fwos%2Fwoscc%2Ffull-record%2FWOS:000508010600005","View Full Record in Web of Science")</f>
        <v>View Full Record in Web of Science</v>
      </c>
    </row>
    <row r="538" ht="12.75" customHeight="1">
      <c r="A538" s="1" t="s">
        <v>72</v>
      </c>
      <c r="B538" s="1" t="s">
        <v>5544</v>
      </c>
      <c r="C538" s="1" t="s">
        <v>74</v>
      </c>
      <c r="D538" s="1" t="s">
        <v>74</v>
      </c>
      <c r="E538" s="1" t="s">
        <v>74</v>
      </c>
      <c r="F538" s="1" t="s">
        <v>5545</v>
      </c>
      <c r="G538" s="1" t="s">
        <v>74</v>
      </c>
      <c r="H538" s="1" t="s">
        <v>74</v>
      </c>
      <c r="I538" s="1" t="s">
        <v>5546</v>
      </c>
      <c r="J538" s="1" t="s">
        <v>5547</v>
      </c>
      <c r="K538" s="1" t="s">
        <v>74</v>
      </c>
      <c r="L538" s="1" t="s">
        <v>74</v>
      </c>
      <c r="M538" s="1" t="s">
        <v>74</v>
      </c>
      <c r="N538" s="1" t="s">
        <v>74</v>
      </c>
      <c r="O538" s="1" t="s">
        <v>74</v>
      </c>
      <c r="P538" s="1" t="s">
        <v>74</v>
      </c>
      <c r="Q538" s="1" t="s">
        <v>74</v>
      </c>
      <c r="R538" s="1" t="s">
        <v>74</v>
      </c>
      <c r="S538" s="1" t="s">
        <v>74</v>
      </c>
      <c r="T538" s="1" t="s">
        <v>74</v>
      </c>
      <c r="U538" s="1" t="s">
        <v>74</v>
      </c>
      <c r="V538" s="1" t="s">
        <v>5548</v>
      </c>
      <c r="W538" s="1" t="s">
        <v>74</v>
      </c>
      <c r="X538" s="1" t="s">
        <v>74</v>
      </c>
      <c r="Y538" s="1" t="s">
        <v>74</v>
      </c>
      <c r="Z538" s="1" t="s">
        <v>74</v>
      </c>
      <c r="AA538" s="1" t="s">
        <v>5549</v>
      </c>
      <c r="AB538" s="1" t="s">
        <v>74</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5550</v>
      </c>
      <c r="AP538" s="1" t="s">
        <v>74</v>
      </c>
      <c r="AQ538" s="1" t="s">
        <v>74</v>
      </c>
      <c r="AR538" s="1" t="s">
        <v>74</v>
      </c>
      <c r="AS538" s="1" t="s">
        <v>74</v>
      </c>
      <c r="AT538" s="1" t="s">
        <v>5551</v>
      </c>
      <c r="AU538" s="1">
        <v>2018.0</v>
      </c>
      <c r="AV538" s="1">
        <v>26.0</v>
      </c>
      <c r="AW538" s="1">
        <v>77.0</v>
      </c>
      <c r="AX538" s="1" t="s">
        <v>74</v>
      </c>
      <c r="AY538" s="1" t="s">
        <v>74</v>
      </c>
      <c r="AZ538" s="1" t="s">
        <v>74</v>
      </c>
      <c r="BA538" s="1" t="s">
        <v>74</v>
      </c>
      <c r="BB538" s="1">
        <v>77.0</v>
      </c>
      <c r="BC538" s="1">
        <v>100.0</v>
      </c>
      <c r="BD538" s="1" t="s">
        <v>74</v>
      </c>
      <c r="BE538" s="1" t="s">
        <v>74</v>
      </c>
      <c r="BF538" s="1" t="s">
        <v>74</v>
      </c>
      <c r="BG538" s="1" t="s">
        <v>74</v>
      </c>
      <c r="BH538" s="1" t="s">
        <v>74</v>
      </c>
      <c r="BI538" s="1" t="s">
        <v>74</v>
      </c>
      <c r="BJ538" s="1" t="s">
        <v>74</v>
      </c>
      <c r="BK538" s="1" t="s">
        <v>74</v>
      </c>
      <c r="BL538" s="1" t="s">
        <v>74</v>
      </c>
      <c r="BM538" s="1" t="s">
        <v>74</v>
      </c>
      <c r="BN538" s="1" t="s">
        <v>74</v>
      </c>
      <c r="BO538" s="1" t="s">
        <v>74</v>
      </c>
      <c r="BP538" s="1" t="s">
        <v>74</v>
      </c>
      <c r="BQ538" s="1" t="s">
        <v>74</v>
      </c>
      <c r="BR538" s="1" t="s">
        <v>74</v>
      </c>
      <c r="BS538" s="1" t="s">
        <v>5552</v>
      </c>
      <c r="BT538" s="1" t="str">
        <f>HYPERLINK("https%3A%2F%2Fwww.webofscience.com%2Fwos%2Fwoscc%2Ffull-record%2FWOS:000450124400005","View Full Record in Web of Science")</f>
        <v>View Full Record in Web of Science</v>
      </c>
    </row>
    <row r="539" ht="12.75" customHeight="1">
      <c r="A539" s="1" t="s">
        <v>207</v>
      </c>
      <c r="B539" s="1" t="s">
        <v>5553</v>
      </c>
      <c r="C539" s="1" t="s">
        <v>74</v>
      </c>
      <c r="D539" s="1" t="s">
        <v>74</v>
      </c>
      <c r="E539" s="1" t="s">
        <v>224</v>
      </c>
      <c r="F539" s="1" t="s">
        <v>5554</v>
      </c>
      <c r="G539" s="1" t="s">
        <v>74</v>
      </c>
      <c r="H539" s="1" t="s">
        <v>74</v>
      </c>
      <c r="I539" s="1" t="s">
        <v>5555</v>
      </c>
      <c r="J539" s="1" t="s">
        <v>5556</v>
      </c>
      <c r="K539" s="1" t="s">
        <v>74</v>
      </c>
      <c r="L539" s="1" t="s">
        <v>74</v>
      </c>
      <c r="M539" s="1" t="s">
        <v>74</v>
      </c>
      <c r="N539" s="1" t="s">
        <v>74</v>
      </c>
      <c r="O539" s="1" t="s">
        <v>5557</v>
      </c>
      <c r="P539" s="1" t="s">
        <v>5558</v>
      </c>
      <c r="Q539" s="1" t="s">
        <v>5559</v>
      </c>
      <c r="R539" s="1" t="s">
        <v>74</v>
      </c>
      <c r="S539" s="1" t="s">
        <v>74</v>
      </c>
      <c r="T539" s="1" t="s">
        <v>74</v>
      </c>
      <c r="U539" s="1" t="s">
        <v>74</v>
      </c>
      <c r="V539" s="1" t="s">
        <v>5560</v>
      </c>
      <c r="W539" s="1" t="s">
        <v>74</v>
      </c>
      <c r="X539" s="1" t="s">
        <v>74</v>
      </c>
      <c r="Y539" s="1" t="s">
        <v>74</v>
      </c>
      <c r="Z539" s="1" t="s">
        <v>74</v>
      </c>
      <c r="AA539" s="1" t="s">
        <v>3742</v>
      </c>
      <c r="AB539" s="1" t="s">
        <v>5561</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74</v>
      </c>
      <c r="AP539" s="1" t="s">
        <v>74</v>
      </c>
      <c r="AQ539" s="1" t="s">
        <v>5562</v>
      </c>
      <c r="AR539" s="1" t="s">
        <v>74</v>
      </c>
      <c r="AS539" s="1" t="s">
        <v>74</v>
      </c>
      <c r="AT539" s="1" t="s">
        <v>74</v>
      </c>
      <c r="AU539" s="1">
        <v>2018.0</v>
      </c>
      <c r="AV539" s="1" t="s">
        <v>74</v>
      </c>
      <c r="AW539" s="1" t="s">
        <v>74</v>
      </c>
      <c r="AX539" s="1" t="s">
        <v>74</v>
      </c>
      <c r="AY539" s="1" t="s">
        <v>74</v>
      </c>
      <c r="AZ539" s="1" t="s">
        <v>74</v>
      </c>
      <c r="BA539" s="1" t="s">
        <v>74</v>
      </c>
      <c r="BB539" s="1" t="s">
        <v>74</v>
      </c>
      <c r="BC539" s="1" t="s">
        <v>74</v>
      </c>
      <c r="BD539" s="1" t="s">
        <v>74</v>
      </c>
      <c r="BE539" s="1" t="s">
        <v>74</v>
      </c>
      <c r="BF539" s="1" t="s">
        <v>74</v>
      </c>
      <c r="BG539" s="1" t="s">
        <v>74</v>
      </c>
      <c r="BH539" s="1" t="s">
        <v>74</v>
      </c>
      <c r="BI539" s="1" t="s">
        <v>74</v>
      </c>
      <c r="BJ539" s="1" t="s">
        <v>74</v>
      </c>
      <c r="BK539" s="1" t="s">
        <v>74</v>
      </c>
      <c r="BL539" s="1" t="s">
        <v>74</v>
      </c>
      <c r="BM539" s="1" t="s">
        <v>74</v>
      </c>
      <c r="BN539" s="1" t="s">
        <v>74</v>
      </c>
      <c r="BO539" s="1" t="s">
        <v>74</v>
      </c>
      <c r="BP539" s="1" t="s">
        <v>74</v>
      </c>
      <c r="BQ539" s="1" t="s">
        <v>74</v>
      </c>
      <c r="BR539" s="1" t="s">
        <v>74</v>
      </c>
      <c r="BS539" s="1" t="s">
        <v>5563</v>
      </c>
      <c r="BT539" s="1" t="str">
        <f>HYPERLINK("https%3A%2F%2Fwww.webofscience.com%2Fwos%2Fwoscc%2Ffull-record%2FWOS:000458455100010","View Full Record in Web of Science")</f>
        <v>View Full Record in Web of Science</v>
      </c>
    </row>
    <row r="540" ht="12.75" customHeight="1">
      <c r="A540" s="1" t="s">
        <v>72</v>
      </c>
      <c r="B540" s="1" t="s">
        <v>5564</v>
      </c>
      <c r="C540" s="1" t="s">
        <v>74</v>
      </c>
      <c r="D540" s="1" t="s">
        <v>74</v>
      </c>
      <c r="E540" s="1" t="s">
        <v>74</v>
      </c>
      <c r="F540" s="1" t="s">
        <v>5565</v>
      </c>
      <c r="G540" s="1" t="s">
        <v>74</v>
      </c>
      <c r="H540" s="1" t="s">
        <v>74</v>
      </c>
      <c r="I540" s="1" t="s">
        <v>5566</v>
      </c>
      <c r="J540" s="1" t="s">
        <v>5567</v>
      </c>
      <c r="K540" s="1" t="s">
        <v>74</v>
      </c>
      <c r="L540" s="1" t="s">
        <v>74</v>
      </c>
      <c r="M540" s="1" t="s">
        <v>74</v>
      </c>
      <c r="N540" s="1" t="s">
        <v>74</v>
      </c>
      <c r="O540" s="1" t="s">
        <v>74</v>
      </c>
      <c r="P540" s="1" t="s">
        <v>74</v>
      </c>
      <c r="Q540" s="1" t="s">
        <v>74</v>
      </c>
      <c r="R540" s="1" t="s">
        <v>74</v>
      </c>
      <c r="S540" s="1" t="s">
        <v>74</v>
      </c>
      <c r="T540" s="1" t="s">
        <v>74</v>
      </c>
      <c r="U540" s="1" t="s">
        <v>74</v>
      </c>
      <c r="V540" s="1" t="s">
        <v>5568</v>
      </c>
      <c r="W540" s="1" t="s">
        <v>74</v>
      </c>
      <c r="X540" s="1" t="s">
        <v>74</v>
      </c>
      <c r="Y540" s="1" t="s">
        <v>74</v>
      </c>
      <c r="Z540" s="1" t="s">
        <v>74</v>
      </c>
      <c r="AA540" s="1" t="s">
        <v>5569</v>
      </c>
      <c r="AB540" s="1" t="s">
        <v>5570</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5571</v>
      </c>
      <c r="AP540" s="1" t="s">
        <v>5572</v>
      </c>
      <c r="AQ540" s="1" t="s">
        <v>74</v>
      </c>
      <c r="AR540" s="1" t="s">
        <v>74</v>
      </c>
      <c r="AS540" s="1" t="s">
        <v>74</v>
      </c>
      <c r="AT540" s="1" t="s">
        <v>74</v>
      </c>
      <c r="AU540" s="1">
        <v>2016.0</v>
      </c>
      <c r="AV540" s="1">
        <v>26.0</v>
      </c>
      <c r="AW540" s="1" t="s">
        <v>5331</v>
      </c>
      <c r="AX540" s="1" t="s">
        <v>74</v>
      </c>
      <c r="AY540" s="1" t="s">
        <v>74</v>
      </c>
      <c r="AZ540" s="1" t="s">
        <v>74</v>
      </c>
      <c r="BA540" s="1" t="s">
        <v>74</v>
      </c>
      <c r="BB540" s="1">
        <v>722.0</v>
      </c>
      <c r="BC540" s="1">
        <v>744.0</v>
      </c>
      <c r="BD540" s="1" t="s">
        <v>74</v>
      </c>
      <c r="BE540" s="1" t="s">
        <v>5573</v>
      </c>
      <c r="BF540" s="2" t="str">
        <f>HYPERLINK("http://dx.doi.org/10.1108/HFF-08-2015-0315","http://dx.doi.org/10.1108/HFF-08-2015-0315")</f>
        <v>http://dx.doi.org/10.1108/HFF-08-2015-0315</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5574</v>
      </c>
      <c r="BT540" s="1" t="str">
        <f>HYPERLINK("https%3A%2F%2Fwww.webofscience.com%2Fwos%2Fwoscc%2Ffull-record%2FWOS:000379688900008","View Full Record in Web of Science")</f>
        <v>View Full Record in Web of Science</v>
      </c>
    </row>
    <row r="541" ht="12.75" customHeight="1">
      <c r="A541" s="1" t="s">
        <v>72</v>
      </c>
      <c r="B541" s="1" t="s">
        <v>5575</v>
      </c>
      <c r="C541" s="1" t="s">
        <v>74</v>
      </c>
      <c r="D541" s="1" t="s">
        <v>74</v>
      </c>
      <c r="E541" s="1" t="s">
        <v>74</v>
      </c>
      <c r="F541" s="1" t="s">
        <v>5576</v>
      </c>
      <c r="G541" s="1" t="s">
        <v>74</v>
      </c>
      <c r="H541" s="1" t="s">
        <v>74</v>
      </c>
      <c r="I541" s="1" t="s">
        <v>5577</v>
      </c>
      <c r="J541" s="1" t="s">
        <v>5578</v>
      </c>
      <c r="K541" s="1" t="s">
        <v>74</v>
      </c>
      <c r="L541" s="1" t="s">
        <v>74</v>
      </c>
      <c r="M541" s="1" t="s">
        <v>74</v>
      </c>
      <c r="N541" s="1" t="s">
        <v>74</v>
      </c>
      <c r="O541" s="1" t="s">
        <v>74</v>
      </c>
      <c r="P541" s="1" t="s">
        <v>74</v>
      </c>
      <c r="Q541" s="1" t="s">
        <v>74</v>
      </c>
      <c r="R541" s="1" t="s">
        <v>74</v>
      </c>
      <c r="S541" s="1" t="s">
        <v>74</v>
      </c>
      <c r="T541" s="1" t="s">
        <v>74</v>
      </c>
      <c r="U541" s="1" t="s">
        <v>74</v>
      </c>
      <c r="V541" s="1" t="s">
        <v>5579</v>
      </c>
      <c r="W541" s="1" t="s">
        <v>74</v>
      </c>
      <c r="X541" s="1" t="s">
        <v>74</v>
      </c>
      <c r="Y541" s="1" t="s">
        <v>74</v>
      </c>
      <c r="Z541" s="1" t="s">
        <v>74</v>
      </c>
      <c r="AA541" s="1" t="s">
        <v>5580</v>
      </c>
      <c r="AB541" s="1" t="s">
        <v>5581</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5582</v>
      </c>
      <c r="AP541" s="1" t="s">
        <v>5583</v>
      </c>
      <c r="AQ541" s="1" t="s">
        <v>74</v>
      </c>
      <c r="AR541" s="1" t="s">
        <v>74</v>
      </c>
      <c r="AS541" s="1" t="s">
        <v>74</v>
      </c>
      <c r="AT541" s="1" t="s">
        <v>1086</v>
      </c>
      <c r="AU541" s="1">
        <v>2015.0</v>
      </c>
      <c r="AV541" s="1">
        <v>117.0</v>
      </c>
      <c r="AW541" s="1">
        <v>17.0</v>
      </c>
      <c r="AX541" s="1" t="s">
        <v>74</v>
      </c>
      <c r="AY541" s="1" t="s">
        <v>74</v>
      </c>
      <c r="AZ541" s="1" t="s">
        <v>74</v>
      </c>
      <c r="BA541" s="1" t="s">
        <v>74</v>
      </c>
      <c r="BB541" s="1" t="s">
        <v>74</v>
      </c>
      <c r="BC541" s="1" t="s">
        <v>74</v>
      </c>
      <c r="BD541" s="1" t="s">
        <v>5584</v>
      </c>
      <c r="BE541" s="1" t="s">
        <v>5585</v>
      </c>
      <c r="BF541" s="2" t="str">
        <f>HYPERLINK("http://dx.doi.org/10.1063/1.4918565","http://dx.doi.org/10.1063/1.4918565")</f>
        <v>http://dx.doi.org/10.1063/1.4918565</v>
      </c>
      <c r="BG541" s="1" t="s">
        <v>74</v>
      </c>
      <c r="BH541" s="1" t="s">
        <v>74</v>
      </c>
      <c r="BI541" s="1" t="s">
        <v>74</v>
      </c>
      <c r="BJ541" s="1" t="s">
        <v>74</v>
      </c>
      <c r="BK541" s="1" t="s">
        <v>74</v>
      </c>
      <c r="BL541" s="1" t="s">
        <v>74</v>
      </c>
      <c r="BM541" s="1" t="s">
        <v>74</v>
      </c>
      <c r="BN541" s="1" t="s">
        <v>74</v>
      </c>
      <c r="BO541" s="1" t="s">
        <v>74</v>
      </c>
      <c r="BP541" s="1" t="s">
        <v>74</v>
      </c>
      <c r="BQ541" s="1" t="s">
        <v>74</v>
      </c>
      <c r="BR541" s="1" t="s">
        <v>74</v>
      </c>
      <c r="BS541" s="1" t="s">
        <v>5586</v>
      </c>
      <c r="BT541" s="1" t="str">
        <f>HYPERLINK("https%3A%2F%2Fwww.webofscience.com%2Fwos%2Fwoscc%2Ffull-record%2FWOS:000354984100524","View Full Record in Web of Science")</f>
        <v>View Full Record in Web of Science</v>
      </c>
    </row>
    <row r="542" ht="12.75" customHeight="1">
      <c r="A542" s="1" t="s">
        <v>72</v>
      </c>
      <c r="B542" s="1" t="s">
        <v>5587</v>
      </c>
      <c r="C542" s="1" t="s">
        <v>74</v>
      </c>
      <c r="D542" s="1" t="s">
        <v>74</v>
      </c>
      <c r="E542" s="1" t="s">
        <v>74</v>
      </c>
      <c r="F542" s="1" t="s">
        <v>5588</v>
      </c>
      <c r="G542" s="1" t="s">
        <v>74</v>
      </c>
      <c r="H542" s="1" t="s">
        <v>74</v>
      </c>
      <c r="I542" s="1" t="s">
        <v>5589</v>
      </c>
      <c r="J542" s="1" t="s">
        <v>5590</v>
      </c>
      <c r="K542" s="1" t="s">
        <v>74</v>
      </c>
      <c r="L542" s="1" t="s">
        <v>74</v>
      </c>
      <c r="M542" s="1" t="s">
        <v>74</v>
      </c>
      <c r="N542" s="1" t="s">
        <v>74</v>
      </c>
      <c r="O542" s="1" t="s">
        <v>74</v>
      </c>
      <c r="P542" s="1" t="s">
        <v>74</v>
      </c>
      <c r="Q542" s="1" t="s">
        <v>74</v>
      </c>
      <c r="R542" s="1" t="s">
        <v>74</v>
      </c>
      <c r="S542" s="1" t="s">
        <v>74</v>
      </c>
      <c r="T542" s="1" t="s">
        <v>74</v>
      </c>
      <c r="U542" s="1" t="s">
        <v>74</v>
      </c>
      <c r="V542" s="1" t="s">
        <v>5591</v>
      </c>
      <c r="W542" s="1" t="s">
        <v>74</v>
      </c>
      <c r="X542" s="1" t="s">
        <v>74</v>
      </c>
      <c r="Y542" s="1" t="s">
        <v>74</v>
      </c>
      <c r="Z542" s="1" t="s">
        <v>74</v>
      </c>
      <c r="AA542" s="1" t="s">
        <v>5592</v>
      </c>
      <c r="AB542" s="1" t="s">
        <v>5593</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5594</v>
      </c>
      <c r="AP542" s="1" t="s">
        <v>5595</v>
      </c>
      <c r="AQ542" s="1" t="s">
        <v>74</v>
      </c>
      <c r="AR542" s="1" t="s">
        <v>74</v>
      </c>
      <c r="AS542" s="1" t="s">
        <v>74</v>
      </c>
      <c r="AT542" s="1" t="s">
        <v>74</v>
      </c>
      <c r="AU542" s="1">
        <v>2015.0</v>
      </c>
      <c r="AV542" s="1">
        <v>39.0</v>
      </c>
      <c r="AW542" s="1">
        <v>2.0</v>
      </c>
      <c r="AX542" s="1" t="s">
        <v>74</v>
      </c>
      <c r="AY542" s="1" t="s">
        <v>74</v>
      </c>
      <c r="AZ542" s="1" t="s">
        <v>74</v>
      </c>
      <c r="BA542" s="1" t="s">
        <v>74</v>
      </c>
      <c r="BB542" s="1">
        <v>1237.0</v>
      </c>
      <c r="BC542" s="1">
        <v>1246.0</v>
      </c>
      <c r="BD542" s="1" t="s">
        <v>74</v>
      </c>
      <c r="BE542" s="1" t="s">
        <v>5596</v>
      </c>
      <c r="BF542" s="2" t="str">
        <f>HYPERLINK("http://dx.doi.org/10.1039/c4nj01657b","http://dx.doi.org/10.1039/c4nj01657b")</f>
        <v>http://dx.doi.org/10.1039/c4nj01657b</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5597</v>
      </c>
      <c r="BT542" s="1" t="str">
        <f>HYPERLINK("https%3A%2F%2Fwww.webofscience.com%2Fwos%2Fwoscc%2Ffull-record%2FWOS:000349222800057","View Full Record in Web of Science")</f>
        <v>View Full Record in Web of Science</v>
      </c>
    </row>
    <row r="543" ht="12.75" customHeight="1">
      <c r="A543" s="1" t="s">
        <v>72</v>
      </c>
      <c r="B543" s="1" t="s">
        <v>5598</v>
      </c>
      <c r="C543" s="1" t="s">
        <v>74</v>
      </c>
      <c r="D543" s="1" t="s">
        <v>74</v>
      </c>
      <c r="E543" s="1" t="s">
        <v>74</v>
      </c>
      <c r="F543" s="1" t="s">
        <v>5599</v>
      </c>
      <c r="G543" s="1" t="s">
        <v>74</v>
      </c>
      <c r="H543" s="1" t="s">
        <v>74</v>
      </c>
      <c r="I543" s="1" t="s">
        <v>5600</v>
      </c>
      <c r="J543" s="1" t="s">
        <v>5601</v>
      </c>
      <c r="K543" s="1" t="s">
        <v>74</v>
      </c>
      <c r="L543" s="1" t="s">
        <v>74</v>
      </c>
      <c r="M543" s="1" t="s">
        <v>74</v>
      </c>
      <c r="N543" s="1" t="s">
        <v>74</v>
      </c>
      <c r="O543" s="1" t="s">
        <v>74</v>
      </c>
      <c r="P543" s="1" t="s">
        <v>74</v>
      </c>
      <c r="Q543" s="1" t="s">
        <v>74</v>
      </c>
      <c r="R543" s="1" t="s">
        <v>74</v>
      </c>
      <c r="S543" s="1" t="s">
        <v>74</v>
      </c>
      <c r="T543" s="1" t="s">
        <v>74</v>
      </c>
      <c r="U543" s="1" t="s">
        <v>74</v>
      </c>
      <c r="V543" s="1" t="s">
        <v>5602</v>
      </c>
      <c r="W543" s="1" t="s">
        <v>74</v>
      </c>
      <c r="X543" s="1" t="s">
        <v>74</v>
      </c>
      <c r="Y543" s="1" t="s">
        <v>74</v>
      </c>
      <c r="Z543" s="1" t="s">
        <v>74</v>
      </c>
      <c r="AA543" s="1" t="s">
        <v>5603</v>
      </c>
      <c r="AB543" s="1" t="s">
        <v>5604</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5605</v>
      </c>
      <c r="AP543" s="1" t="s">
        <v>5606</v>
      </c>
      <c r="AQ543" s="1" t="s">
        <v>74</v>
      </c>
      <c r="AR543" s="1" t="s">
        <v>74</v>
      </c>
      <c r="AS543" s="1" t="s">
        <v>74</v>
      </c>
      <c r="AT543" s="1" t="s">
        <v>1258</v>
      </c>
      <c r="AU543" s="1">
        <v>2014.0</v>
      </c>
      <c r="AV543" s="1">
        <v>90.0</v>
      </c>
      <c r="AW543" s="1">
        <v>6.0</v>
      </c>
      <c r="AX543" s="1" t="s">
        <v>74</v>
      </c>
      <c r="AY543" s="1" t="s">
        <v>74</v>
      </c>
      <c r="AZ543" s="1" t="s">
        <v>74</v>
      </c>
      <c r="BA543" s="1" t="s">
        <v>74</v>
      </c>
      <c r="BB543" s="1" t="s">
        <v>74</v>
      </c>
      <c r="BC543" s="1" t="s">
        <v>74</v>
      </c>
      <c r="BD543" s="1">
        <v>62103.0</v>
      </c>
      <c r="BE543" s="1" t="s">
        <v>5607</v>
      </c>
      <c r="BF543" s="2" t="str">
        <f>HYPERLINK("http://dx.doi.org/10.1103/PhysRevA.90.062103","http://dx.doi.org/10.1103/PhysRevA.90.062103")</f>
        <v>http://dx.doi.org/10.1103/PhysRevA.90.062103</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5608</v>
      </c>
      <c r="BT543" s="1" t="str">
        <f>HYPERLINK("https%3A%2F%2Fwww.webofscience.com%2Fwos%2Fwoscc%2Ffull-record%2FWOS:000346385900007","View Full Record in Web of Science")</f>
        <v>View Full Record in Web of Science</v>
      </c>
    </row>
    <row r="544" ht="12.75" customHeight="1">
      <c r="A544" s="1" t="s">
        <v>72</v>
      </c>
      <c r="B544" s="1" t="s">
        <v>5609</v>
      </c>
      <c r="C544" s="1" t="s">
        <v>74</v>
      </c>
      <c r="D544" s="1" t="s">
        <v>74</v>
      </c>
      <c r="E544" s="1" t="s">
        <v>74</v>
      </c>
      <c r="F544" s="1" t="s">
        <v>5610</v>
      </c>
      <c r="G544" s="1" t="s">
        <v>74</v>
      </c>
      <c r="H544" s="1" t="s">
        <v>74</v>
      </c>
      <c r="I544" s="1" t="s">
        <v>5611</v>
      </c>
      <c r="J544" s="1" t="s">
        <v>5612</v>
      </c>
      <c r="K544" s="1" t="s">
        <v>74</v>
      </c>
      <c r="L544" s="1" t="s">
        <v>74</v>
      </c>
      <c r="M544" s="1" t="s">
        <v>74</v>
      </c>
      <c r="N544" s="1" t="s">
        <v>74</v>
      </c>
      <c r="O544" s="1" t="s">
        <v>74</v>
      </c>
      <c r="P544" s="1" t="s">
        <v>74</v>
      </c>
      <c r="Q544" s="1" t="s">
        <v>74</v>
      </c>
      <c r="R544" s="1" t="s">
        <v>74</v>
      </c>
      <c r="S544" s="1" t="s">
        <v>74</v>
      </c>
      <c r="T544" s="1" t="s">
        <v>74</v>
      </c>
      <c r="U544" s="1" t="s">
        <v>74</v>
      </c>
      <c r="V544" s="1" t="s">
        <v>5613</v>
      </c>
      <c r="W544" s="1" t="s">
        <v>74</v>
      </c>
      <c r="X544" s="1" t="s">
        <v>74</v>
      </c>
      <c r="Y544" s="1" t="s">
        <v>74</v>
      </c>
      <c r="Z544" s="1" t="s">
        <v>74</v>
      </c>
      <c r="AA544" s="1" t="s">
        <v>74</v>
      </c>
      <c r="AB544" s="1" t="s">
        <v>5614</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5615</v>
      </c>
      <c r="AP544" s="1" t="s">
        <v>5616</v>
      </c>
      <c r="AQ544" s="1" t="s">
        <v>74</v>
      </c>
      <c r="AR544" s="1" t="s">
        <v>74</v>
      </c>
      <c r="AS544" s="1" t="s">
        <v>74</v>
      </c>
      <c r="AT544" s="1" t="s">
        <v>164</v>
      </c>
      <c r="AU544" s="1">
        <v>2014.0</v>
      </c>
      <c r="AV544" s="1">
        <v>21.0</v>
      </c>
      <c r="AW544" s="1">
        <v>12.0</v>
      </c>
      <c r="AX544" s="1" t="s">
        <v>74</v>
      </c>
      <c r="AY544" s="1" t="s">
        <v>74</v>
      </c>
      <c r="AZ544" s="1" t="s">
        <v>74</v>
      </c>
      <c r="BA544" s="1" t="s">
        <v>74</v>
      </c>
      <c r="BB544" s="1">
        <v>1628.0</v>
      </c>
      <c r="BC544" s="1">
        <v>1634.0</v>
      </c>
      <c r="BD544" s="1" t="s">
        <v>74</v>
      </c>
      <c r="BE544" s="1" t="s">
        <v>5617</v>
      </c>
      <c r="BF544" s="2" t="str">
        <f>HYPERLINK("http://dx.doi.org/10.1128/CVI.00416-14","http://dx.doi.org/10.1128/CVI.00416-14")</f>
        <v>http://dx.doi.org/10.1128/CVI.00416-14</v>
      </c>
      <c r="BG544" s="1" t="s">
        <v>74</v>
      </c>
      <c r="BH544" s="1" t="s">
        <v>74</v>
      </c>
      <c r="BI544" s="1" t="s">
        <v>74</v>
      </c>
      <c r="BJ544" s="1" t="s">
        <v>74</v>
      </c>
      <c r="BK544" s="1" t="s">
        <v>74</v>
      </c>
      <c r="BL544" s="1" t="s">
        <v>74</v>
      </c>
      <c r="BM544" s="1" t="s">
        <v>74</v>
      </c>
      <c r="BN544" s="1">
        <v>2.5274802E7</v>
      </c>
      <c r="BO544" s="1" t="s">
        <v>74</v>
      </c>
      <c r="BP544" s="1" t="s">
        <v>74</v>
      </c>
      <c r="BQ544" s="1" t="s">
        <v>74</v>
      </c>
      <c r="BR544" s="1" t="s">
        <v>74</v>
      </c>
      <c r="BS544" s="1" t="s">
        <v>5618</v>
      </c>
      <c r="BT544" s="1" t="str">
        <f>HYPERLINK("https%3A%2F%2Fwww.webofscience.com%2Fwos%2Fwoscc%2Ffull-record%2FWOS:000345532300004","View Full Record in Web of Science")</f>
        <v>View Full Record in Web of Science</v>
      </c>
    </row>
    <row r="545" ht="12.75" customHeight="1">
      <c r="A545" s="1" t="s">
        <v>72</v>
      </c>
      <c r="B545" s="1" t="s">
        <v>5619</v>
      </c>
      <c r="C545" s="1" t="s">
        <v>74</v>
      </c>
      <c r="D545" s="1" t="s">
        <v>74</v>
      </c>
      <c r="E545" s="1" t="s">
        <v>74</v>
      </c>
      <c r="F545" s="1" t="s">
        <v>5620</v>
      </c>
      <c r="G545" s="1" t="s">
        <v>74</v>
      </c>
      <c r="H545" s="1" t="s">
        <v>74</v>
      </c>
      <c r="I545" s="1" t="s">
        <v>5621</v>
      </c>
      <c r="J545" s="1" t="s">
        <v>2006</v>
      </c>
      <c r="K545" s="1" t="s">
        <v>74</v>
      </c>
      <c r="L545" s="1" t="s">
        <v>74</v>
      </c>
      <c r="M545" s="1" t="s">
        <v>74</v>
      </c>
      <c r="N545" s="1" t="s">
        <v>74</v>
      </c>
      <c r="O545" s="1" t="s">
        <v>74</v>
      </c>
      <c r="P545" s="1" t="s">
        <v>74</v>
      </c>
      <c r="Q545" s="1" t="s">
        <v>74</v>
      </c>
      <c r="R545" s="1" t="s">
        <v>74</v>
      </c>
      <c r="S545" s="1" t="s">
        <v>74</v>
      </c>
      <c r="T545" s="1" t="s">
        <v>74</v>
      </c>
      <c r="U545" s="1" t="s">
        <v>74</v>
      </c>
      <c r="V545" s="1" t="s">
        <v>5622</v>
      </c>
      <c r="W545" s="1" t="s">
        <v>74</v>
      </c>
      <c r="X545" s="1" t="s">
        <v>74</v>
      </c>
      <c r="Y545" s="1" t="s">
        <v>74</v>
      </c>
      <c r="Z545" s="1" t="s">
        <v>74</v>
      </c>
      <c r="AA545" s="1" t="s">
        <v>74</v>
      </c>
      <c r="AB545" s="1" t="s">
        <v>74</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2010</v>
      </c>
      <c r="AP545" s="1" t="s">
        <v>74</v>
      </c>
      <c r="AQ545" s="1" t="s">
        <v>74</v>
      </c>
      <c r="AR545" s="1" t="s">
        <v>74</v>
      </c>
      <c r="AS545" s="1" t="s">
        <v>74</v>
      </c>
      <c r="AT545" s="1" t="s">
        <v>374</v>
      </c>
      <c r="AU545" s="1">
        <v>2014.0</v>
      </c>
      <c r="AV545" s="1">
        <v>13.0</v>
      </c>
      <c r="AW545" s="1">
        <v>6.0</v>
      </c>
      <c r="AX545" s="1" t="s">
        <v>74</v>
      </c>
      <c r="AY545" s="1" t="s">
        <v>74</v>
      </c>
      <c r="AZ545" s="1" t="s">
        <v>74</v>
      </c>
      <c r="BA545" s="1" t="s">
        <v>74</v>
      </c>
      <c r="BB545" s="1">
        <v>566.0</v>
      </c>
      <c r="BC545" s="1">
        <v>574.0</v>
      </c>
      <c r="BD545" s="1" t="s">
        <v>74</v>
      </c>
      <c r="BE545" s="1" t="s">
        <v>74</v>
      </c>
      <c r="BF545" s="1" t="s">
        <v>74</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5623</v>
      </c>
      <c r="BT545" s="1" t="str">
        <f>HYPERLINK("https%3A%2F%2Fwww.webofscience.com%2Fwos%2Fwoscc%2Ffull-record%2FWOS:000347445600007","View Full Record in Web of Science")</f>
        <v>View Full Record in Web of Science</v>
      </c>
    </row>
    <row r="546" ht="12.75" customHeight="1">
      <c r="A546" s="1" t="s">
        <v>72</v>
      </c>
      <c r="B546" s="1" t="s">
        <v>5624</v>
      </c>
      <c r="C546" s="1" t="s">
        <v>74</v>
      </c>
      <c r="D546" s="1" t="s">
        <v>74</v>
      </c>
      <c r="E546" s="1" t="s">
        <v>74</v>
      </c>
      <c r="F546" s="1" t="s">
        <v>5625</v>
      </c>
      <c r="G546" s="1" t="s">
        <v>74</v>
      </c>
      <c r="H546" s="1" t="s">
        <v>74</v>
      </c>
      <c r="I546" s="1" t="s">
        <v>5626</v>
      </c>
      <c r="J546" s="1" t="s">
        <v>5627</v>
      </c>
      <c r="K546" s="1" t="s">
        <v>74</v>
      </c>
      <c r="L546" s="1" t="s">
        <v>74</v>
      </c>
      <c r="M546" s="1" t="s">
        <v>74</v>
      </c>
      <c r="N546" s="1" t="s">
        <v>74</v>
      </c>
      <c r="O546" s="1" t="s">
        <v>74</v>
      </c>
      <c r="P546" s="1" t="s">
        <v>74</v>
      </c>
      <c r="Q546" s="1" t="s">
        <v>74</v>
      </c>
      <c r="R546" s="1" t="s">
        <v>74</v>
      </c>
      <c r="S546" s="1" t="s">
        <v>74</v>
      </c>
      <c r="T546" s="1" t="s">
        <v>74</v>
      </c>
      <c r="U546" s="1" t="s">
        <v>74</v>
      </c>
      <c r="V546" s="1" t="s">
        <v>5628</v>
      </c>
      <c r="W546" s="1" t="s">
        <v>74</v>
      </c>
      <c r="X546" s="1" t="s">
        <v>74</v>
      </c>
      <c r="Y546" s="1" t="s">
        <v>74</v>
      </c>
      <c r="Z546" s="1" t="s">
        <v>74</v>
      </c>
      <c r="AA546" s="1" t="s">
        <v>5629</v>
      </c>
      <c r="AB546" s="1" t="s">
        <v>5630</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5631</v>
      </c>
      <c r="AP546" s="1" t="s">
        <v>5632</v>
      </c>
      <c r="AQ546" s="1" t="s">
        <v>74</v>
      </c>
      <c r="AR546" s="1" t="s">
        <v>74</v>
      </c>
      <c r="AS546" s="1" t="s">
        <v>74</v>
      </c>
      <c r="AT546" s="1" t="s">
        <v>271</v>
      </c>
      <c r="AU546" s="1">
        <v>2014.0</v>
      </c>
      <c r="AV546" s="1">
        <v>70.0</v>
      </c>
      <c r="AW546" s="1" t="s">
        <v>74</v>
      </c>
      <c r="AX546" s="1" t="s">
        <v>74</v>
      </c>
      <c r="AY546" s="1" t="s">
        <v>74</v>
      </c>
      <c r="AZ546" s="1" t="s">
        <v>74</v>
      </c>
      <c r="BA546" s="1" t="s">
        <v>74</v>
      </c>
      <c r="BB546" s="1">
        <v>437.0</v>
      </c>
      <c r="BC546" s="1">
        <v>445.0</v>
      </c>
      <c r="BD546" s="1" t="s">
        <v>74</v>
      </c>
      <c r="BE546" s="1" t="s">
        <v>5633</v>
      </c>
      <c r="BF546" s="2" t="str">
        <f>HYPERLINK("http://dx.doi.org/10.1016/j.ecoleng.2014.06.007","http://dx.doi.org/10.1016/j.ecoleng.2014.06.007")</f>
        <v>http://dx.doi.org/10.1016/j.ecoleng.2014.06.007</v>
      </c>
      <c r="BG546" s="1" t="s">
        <v>74</v>
      </c>
      <c r="BH546" s="1" t="s">
        <v>74</v>
      </c>
      <c r="BI546" s="1" t="s">
        <v>74</v>
      </c>
      <c r="BJ546" s="1" t="s">
        <v>74</v>
      </c>
      <c r="BK546" s="1" t="s">
        <v>74</v>
      </c>
      <c r="BL546" s="1" t="s">
        <v>74</v>
      </c>
      <c r="BM546" s="1" t="s">
        <v>74</v>
      </c>
      <c r="BN546" s="1" t="s">
        <v>74</v>
      </c>
      <c r="BO546" s="1" t="s">
        <v>74</v>
      </c>
      <c r="BP546" s="1" t="s">
        <v>74</v>
      </c>
      <c r="BQ546" s="1" t="s">
        <v>74</v>
      </c>
      <c r="BR546" s="1" t="s">
        <v>74</v>
      </c>
      <c r="BS546" s="1" t="s">
        <v>5634</v>
      </c>
      <c r="BT546" s="1" t="str">
        <f>HYPERLINK("https%3A%2F%2Fwww.webofscience.com%2Fwos%2Fwoscc%2Ffull-record%2FWOS:000340652100056","View Full Record in Web of Science")</f>
        <v>View Full Record in Web of Science</v>
      </c>
    </row>
    <row r="547" ht="12.75" customHeight="1">
      <c r="A547" s="1" t="s">
        <v>72</v>
      </c>
      <c r="B547" s="1" t="s">
        <v>4548</v>
      </c>
      <c r="C547" s="1" t="s">
        <v>74</v>
      </c>
      <c r="D547" s="1" t="s">
        <v>74</v>
      </c>
      <c r="E547" s="1" t="s">
        <v>74</v>
      </c>
      <c r="F547" s="1" t="s">
        <v>4549</v>
      </c>
      <c r="G547" s="1" t="s">
        <v>74</v>
      </c>
      <c r="H547" s="1" t="s">
        <v>74</v>
      </c>
      <c r="I547" s="1" t="s">
        <v>5635</v>
      </c>
      <c r="J547" s="1" t="s">
        <v>5636</v>
      </c>
      <c r="K547" s="1" t="s">
        <v>74</v>
      </c>
      <c r="L547" s="1" t="s">
        <v>74</v>
      </c>
      <c r="M547" s="1" t="s">
        <v>74</v>
      </c>
      <c r="N547" s="1" t="s">
        <v>74</v>
      </c>
      <c r="O547" s="1" t="s">
        <v>74</v>
      </c>
      <c r="P547" s="1" t="s">
        <v>74</v>
      </c>
      <c r="Q547" s="1" t="s">
        <v>74</v>
      </c>
      <c r="R547" s="1" t="s">
        <v>74</v>
      </c>
      <c r="S547" s="1" t="s">
        <v>74</v>
      </c>
      <c r="T547" s="1" t="s">
        <v>74</v>
      </c>
      <c r="U547" s="1" t="s">
        <v>74</v>
      </c>
      <c r="V547" s="1" t="s">
        <v>5637</v>
      </c>
      <c r="W547" s="1" t="s">
        <v>74</v>
      </c>
      <c r="X547" s="1" t="s">
        <v>74</v>
      </c>
      <c r="Y547" s="1" t="s">
        <v>74</v>
      </c>
      <c r="Z547" s="1" t="s">
        <v>74</v>
      </c>
      <c r="AA547" s="1" t="s">
        <v>4553</v>
      </c>
      <c r="AB547" s="1" t="s">
        <v>4554</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5638</v>
      </c>
      <c r="AP547" s="1" t="s">
        <v>5639</v>
      </c>
      <c r="AQ547" s="1" t="s">
        <v>74</v>
      </c>
      <c r="AR547" s="1" t="s">
        <v>74</v>
      </c>
      <c r="AS547" s="1" t="s">
        <v>74</v>
      </c>
      <c r="AT547" s="1" t="s">
        <v>745</v>
      </c>
      <c r="AU547" s="1">
        <v>2014.0</v>
      </c>
      <c r="AV547" s="1">
        <v>68.0</v>
      </c>
      <c r="AW547" s="1">
        <v>5.0</v>
      </c>
      <c r="AX547" s="1" t="s">
        <v>74</v>
      </c>
      <c r="AY547" s="1" t="s">
        <v>74</v>
      </c>
      <c r="AZ547" s="1" t="s">
        <v>74</v>
      </c>
      <c r="BA547" s="1" t="s">
        <v>74</v>
      </c>
      <c r="BB547" s="1">
        <v>1365.0</v>
      </c>
      <c r="BC547" s="1">
        <v>1373.0</v>
      </c>
      <c r="BD547" s="1" t="s">
        <v>74</v>
      </c>
      <c r="BE547" s="1" t="s">
        <v>5640</v>
      </c>
      <c r="BF547" s="2" t="str">
        <f>HYPERLINK("http://dx.doi.org/10.1111/evo.12354","http://dx.doi.org/10.1111/evo.12354")</f>
        <v>http://dx.doi.org/10.1111/evo.12354</v>
      </c>
      <c r="BG547" s="1" t="s">
        <v>74</v>
      </c>
      <c r="BH547" s="1" t="s">
        <v>74</v>
      </c>
      <c r="BI547" s="1" t="s">
        <v>74</v>
      </c>
      <c r="BJ547" s="1" t="s">
        <v>74</v>
      </c>
      <c r="BK547" s="1" t="s">
        <v>74</v>
      </c>
      <c r="BL547" s="1" t="s">
        <v>74</v>
      </c>
      <c r="BM547" s="1" t="s">
        <v>74</v>
      </c>
      <c r="BN547" s="1">
        <v>2.4433364E7</v>
      </c>
      <c r="BO547" s="1" t="s">
        <v>74</v>
      </c>
      <c r="BP547" s="1" t="s">
        <v>74</v>
      </c>
      <c r="BQ547" s="1" t="s">
        <v>74</v>
      </c>
      <c r="BR547" s="1" t="s">
        <v>74</v>
      </c>
      <c r="BS547" s="1" t="s">
        <v>5641</v>
      </c>
      <c r="BT547" s="1" t="str">
        <f>HYPERLINK("https%3A%2F%2Fwww.webofscience.com%2Fwos%2Fwoscc%2Ffull-record%2FWOS:000335209800012","View Full Record in Web of Science")</f>
        <v>View Full Record in Web of Science</v>
      </c>
    </row>
    <row r="548" ht="12.75" customHeight="1">
      <c r="A548" s="1" t="s">
        <v>207</v>
      </c>
      <c r="B548" s="1" t="s">
        <v>5642</v>
      </c>
      <c r="C548" s="1" t="s">
        <v>74</v>
      </c>
      <c r="D548" s="1" t="s">
        <v>5643</v>
      </c>
      <c r="E548" s="1" t="s">
        <v>74</v>
      </c>
      <c r="F548" s="1" t="s">
        <v>5644</v>
      </c>
      <c r="G548" s="1" t="s">
        <v>74</v>
      </c>
      <c r="H548" s="1" t="s">
        <v>74</v>
      </c>
      <c r="I548" s="1" t="s">
        <v>5645</v>
      </c>
      <c r="J548" s="1" t="s">
        <v>5646</v>
      </c>
      <c r="K548" s="1" t="s">
        <v>5647</v>
      </c>
      <c r="L548" s="1" t="s">
        <v>74</v>
      </c>
      <c r="M548" s="1" t="s">
        <v>74</v>
      </c>
      <c r="N548" s="1" t="s">
        <v>74</v>
      </c>
      <c r="O548" s="1" t="s">
        <v>5648</v>
      </c>
      <c r="P548" s="1" t="s">
        <v>5649</v>
      </c>
      <c r="Q548" s="1" t="s">
        <v>5650</v>
      </c>
      <c r="R548" s="1" t="s">
        <v>5651</v>
      </c>
      <c r="S548" s="1" t="s">
        <v>74</v>
      </c>
      <c r="T548" s="1" t="s">
        <v>74</v>
      </c>
      <c r="U548" s="1" t="s">
        <v>74</v>
      </c>
      <c r="V548" s="1" t="s">
        <v>5652</v>
      </c>
      <c r="W548" s="1" t="s">
        <v>74</v>
      </c>
      <c r="X548" s="1" t="s">
        <v>74</v>
      </c>
      <c r="Y548" s="1" t="s">
        <v>74</v>
      </c>
      <c r="Z548" s="1" t="s">
        <v>74</v>
      </c>
      <c r="AA548" s="1" t="s">
        <v>5653</v>
      </c>
      <c r="AB548" s="1" t="s">
        <v>5654</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5655</v>
      </c>
      <c r="AP548" s="1" t="s">
        <v>74</v>
      </c>
      <c r="AQ548" s="1" t="s">
        <v>5656</v>
      </c>
      <c r="AR548" s="1" t="s">
        <v>74</v>
      </c>
      <c r="AS548" s="1" t="s">
        <v>74</v>
      </c>
      <c r="AT548" s="1" t="s">
        <v>74</v>
      </c>
      <c r="AU548" s="1">
        <v>2014.0</v>
      </c>
      <c r="AV548" s="1">
        <v>49.0</v>
      </c>
      <c r="AW548" s="1" t="s">
        <v>74</v>
      </c>
      <c r="AX548" s="1" t="s">
        <v>74</v>
      </c>
      <c r="AY548" s="1" t="s">
        <v>74</v>
      </c>
      <c r="AZ548" s="1" t="s">
        <v>74</v>
      </c>
      <c r="BA548" s="1" t="s">
        <v>74</v>
      </c>
      <c r="BB548" s="1">
        <v>544.0</v>
      </c>
      <c r="BC548" s="1">
        <v>547.0</v>
      </c>
      <c r="BD548" s="1" t="s">
        <v>74</v>
      </c>
      <c r="BE548" s="1" t="s">
        <v>5657</v>
      </c>
      <c r="BF548" s="2" t="str">
        <f>HYPERLINK("http://dx.doi.org/10.1007/978-3-319-13117-7_139","http://dx.doi.org/10.1007/978-3-319-13117-7_139")</f>
        <v>http://dx.doi.org/10.1007/978-3-319-13117-7_139</v>
      </c>
      <c r="BG548" s="1" t="s">
        <v>74</v>
      </c>
      <c r="BH548" s="1" t="s">
        <v>74</v>
      </c>
      <c r="BI548" s="1" t="s">
        <v>74</v>
      </c>
      <c r="BJ548" s="1" t="s">
        <v>74</v>
      </c>
      <c r="BK548" s="1" t="s">
        <v>74</v>
      </c>
      <c r="BL548" s="1" t="s">
        <v>74</v>
      </c>
      <c r="BM548" s="1" t="s">
        <v>74</v>
      </c>
      <c r="BN548" s="1" t="s">
        <v>74</v>
      </c>
      <c r="BO548" s="1" t="s">
        <v>74</v>
      </c>
      <c r="BP548" s="1" t="s">
        <v>74</v>
      </c>
      <c r="BQ548" s="1" t="s">
        <v>74</v>
      </c>
      <c r="BR548" s="1" t="s">
        <v>74</v>
      </c>
      <c r="BS548" s="1" t="s">
        <v>5658</v>
      </c>
      <c r="BT548" s="1" t="str">
        <f>HYPERLINK("https%3A%2F%2Fwww.webofscience.com%2Fwos%2Fwoscc%2Ffull-record%2FWOS:000363767200138","View Full Record in Web of Science")</f>
        <v>View Full Record in Web of Science</v>
      </c>
    </row>
    <row r="549" ht="12.75" customHeight="1">
      <c r="A549" s="1" t="s">
        <v>72</v>
      </c>
      <c r="B549" s="1" t="s">
        <v>5659</v>
      </c>
      <c r="C549" s="1" t="s">
        <v>74</v>
      </c>
      <c r="D549" s="1" t="s">
        <v>74</v>
      </c>
      <c r="E549" s="1" t="s">
        <v>74</v>
      </c>
      <c r="F549" s="1" t="s">
        <v>5660</v>
      </c>
      <c r="G549" s="1" t="s">
        <v>74</v>
      </c>
      <c r="H549" s="1" t="s">
        <v>74</v>
      </c>
      <c r="I549" s="1" t="s">
        <v>5661</v>
      </c>
      <c r="J549" s="1" t="s">
        <v>341</v>
      </c>
      <c r="K549" s="1" t="s">
        <v>74</v>
      </c>
      <c r="L549" s="1" t="s">
        <v>74</v>
      </c>
      <c r="M549" s="1" t="s">
        <v>74</v>
      </c>
      <c r="N549" s="1" t="s">
        <v>74</v>
      </c>
      <c r="O549" s="1" t="s">
        <v>74</v>
      </c>
      <c r="P549" s="1" t="s">
        <v>74</v>
      </c>
      <c r="Q549" s="1" t="s">
        <v>74</v>
      </c>
      <c r="R549" s="1" t="s">
        <v>74</v>
      </c>
      <c r="S549" s="1" t="s">
        <v>74</v>
      </c>
      <c r="T549" s="1" t="s">
        <v>74</v>
      </c>
      <c r="U549" s="1" t="s">
        <v>74</v>
      </c>
      <c r="V549" s="1" t="s">
        <v>5662</v>
      </c>
      <c r="W549" s="1" t="s">
        <v>74</v>
      </c>
      <c r="X549" s="1" t="s">
        <v>74</v>
      </c>
      <c r="Y549" s="1" t="s">
        <v>74</v>
      </c>
      <c r="Z549" s="1" t="s">
        <v>74</v>
      </c>
      <c r="AA549" s="1" t="s">
        <v>5663</v>
      </c>
      <c r="AB549" s="1" t="s">
        <v>5664</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343</v>
      </c>
      <c r="AP549" s="1" t="s">
        <v>344</v>
      </c>
      <c r="AQ549" s="1" t="s">
        <v>74</v>
      </c>
      <c r="AR549" s="1" t="s">
        <v>74</v>
      </c>
      <c r="AS549" s="1" t="s">
        <v>74</v>
      </c>
      <c r="AT549" s="1" t="s">
        <v>164</v>
      </c>
      <c r="AU549" s="1">
        <v>2013.0</v>
      </c>
      <c r="AV549" s="1">
        <v>65.0</v>
      </c>
      <c r="AW549" s="1" t="s">
        <v>74</v>
      </c>
      <c r="AX549" s="1" t="s">
        <v>74</v>
      </c>
      <c r="AY549" s="1" t="s">
        <v>74</v>
      </c>
      <c r="AZ549" s="1" t="s">
        <v>74</v>
      </c>
      <c r="BA549" s="1" t="s">
        <v>74</v>
      </c>
      <c r="BB549" s="1">
        <v>217.0</v>
      </c>
      <c r="BC549" s="1">
        <v>223.0</v>
      </c>
      <c r="BD549" s="1" t="s">
        <v>74</v>
      </c>
      <c r="BE549" s="1" t="s">
        <v>5665</v>
      </c>
      <c r="BF549" s="2" t="str">
        <f>HYPERLINK("http://dx.doi.org/10.1016/j.freeradbiomed.2013.06.006","http://dx.doi.org/10.1016/j.freeradbiomed.2013.06.006")</f>
        <v>http://dx.doi.org/10.1016/j.freeradbiomed.2013.06.006</v>
      </c>
      <c r="BG549" s="1" t="s">
        <v>74</v>
      </c>
      <c r="BH549" s="1" t="s">
        <v>74</v>
      </c>
      <c r="BI549" s="1" t="s">
        <v>74</v>
      </c>
      <c r="BJ549" s="1" t="s">
        <v>74</v>
      </c>
      <c r="BK549" s="1" t="s">
        <v>74</v>
      </c>
      <c r="BL549" s="1" t="s">
        <v>74</v>
      </c>
      <c r="BM549" s="1" t="s">
        <v>74</v>
      </c>
      <c r="BN549" s="1">
        <v>2.3774043E7</v>
      </c>
      <c r="BO549" s="1" t="s">
        <v>74</v>
      </c>
      <c r="BP549" s="1" t="s">
        <v>74</v>
      </c>
      <c r="BQ549" s="1" t="s">
        <v>74</v>
      </c>
      <c r="BR549" s="1" t="s">
        <v>74</v>
      </c>
      <c r="BS549" s="1" t="s">
        <v>5666</v>
      </c>
      <c r="BT549" s="1" t="str">
        <f>HYPERLINK("https%3A%2F%2Fwww.webofscience.com%2Fwos%2Fwoscc%2Ffull-record%2FWOS:000328868900020","View Full Record in Web of Science")</f>
        <v>View Full Record in Web of Science</v>
      </c>
    </row>
    <row r="550" ht="12.75" customHeight="1">
      <c r="A550" s="1" t="s">
        <v>72</v>
      </c>
      <c r="B550" s="1" t="s">
        <v>5667</v>
      </c>
      <c r="C550" s="1" t="s">
        <v>74</v>
      </c>
      <c r="D550" s="1" t="s">
        <v>74</v>
      </c>
      <c r="E550" s="1" t="s">
        <v>74</v>
      </c>
      <c r="F550" s="1" t="s">
        <v>5668</v>
      </c>
      <c r="G550" s="1" t="s">
        <v>74</v>
      </c>
      <c r="H550" s="1" t="s">
        <v>74</v>
      </c>
      <c r="I550" s="1" t="s">
        <v>5669</v>
      </c>
      <c r="J550" s="1" t="s">
        <v>5670</v>
      </c>
      <c r="K550" s="1" t="s">
        <v>74</v>
      </c>
      <c r="L550" s="1" t="s">
        <v>74</v>
      </c>
      <c r="M550" s="1" t="s">
        <v>74</v>
      </c>
      <c r="N550" s="1" t="s">
        <v>74</v>
      </c>
      <c r="O550" s="1" t="s">
        <v>74</v>
      </c>
      <c r="P550" s="1" t="s">
        <v>74</v>
      </c>
      <c r="Q550" s="1" t="s">
        <v>74</v>
      </c>
      <c r="R550" s="1" t="s">
        <v>74</v>
      </c>
      <c r="S550" s="1" t="s">
        <v>74</v>
      </c>
      <c r="T550" s="1" t="s">
        <v>74</v>
      </c>
      <c r="U550" s="1" t="s">
        <v>74</v>
      </c>
      <c r="V550" s="1" t="s">
        <v>5671</v>
      </c>
      <c r="W550" s="1" t="s">
        <v>74</v>
      </c>
      <c r="X550" s="1" t="s">
        <v>74</v>
      </c>
      <c r="Y550" s="1" t="s">
        <v>74</v>
      </c>
      <c r="Z550" s="1" t="s">
        <v>74</v>
      </c>
      <c r="AA550" s="1" t="s">
        <v>5672</v>
      </c>
      <c r="AB550" s="1" t="s">
        <v>5673</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5674</v>
      </c>
      <c r="AP550" s="1" t="s">
        <v>74</v>
      </c>
      <c r="AQ550" s="1" t="s">
        <v>74</v>
      </c>
      <c r="AR550" s="1" t="s">
        <v>74</v>
      </c>
      <c r="AS550" s="1" t="s">
        <v>74</v>
      </c>
      <c r="AT550" s="1" t="s">
        <v>5675</v>
      </c>
      <c r="AU550" s="1">
        <v>2009.0</v>
      </c>
      <c r="AV550" s="1">
        <v>91.0</v>
      </c>
      <c r="AW550" s="1" t="s">
        <v>409</v>
      </c>
      <c r="AX550" s="1" t="s">
        <v>74</v>
      </c>
      <c r="AY550" s="1" t="s">
        <v>74</v>
      </c>
      <c r="AZ550" s="1" t="s">
        <v>74</v>
      </c>
      <c r="BA550" s="1" t="s">
        <v>74</v>
      </c>
      <c r="BB550" s="1">
        <v>423.0</v>
      </c>
      <c r="BC550" s="1">
        <v>427.0</v>
      </c>
      <c r="BD550" s="1" t="s">
        <v>74</v>
      </c>
      <c r="BE550" s="1" t="s">
        <v>5676</v>
      </c>
      <c r="BF550" s="2" t="str">
        <f>HYPERLINK("http://dx.doi.org/10.1016/j.apcatb.2009.06.010","http://dx.doi.org/10.1016/j.apcatb.2009.06.010")</f>
        <v>http://dx.doi.org/10.1016/j.apcatb.2009.06.010</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5677</v>
      </c>
      <c r="BT550" s="1" t="str">
        <f>HYPERLINK("https%3A%2F%2Fwww.webofscience.com%2Fwos%2Fwoscc%2Ffull-record%2FWOS:000269374400051","View Full Record in Web of Science")</f>
        <v>View Full Record in Web of Science</v>
      </c>
    </row>
    <row r="551" ht="12.75" customHeight="1">
      <c r="A551" s="1" t="s">
        <v>72</v>
      </c>
      <c r="B551" s="1" t="s">
        <v>5678</v>
      </c>
      <c r="C551" s="1" t="s">
        <v>74</v>
      </c>
      <c r="D551" s="1" t="s">
        <v>74</v>
      </c>
      <c r="E551" s="1" t="s">
        <v>74</v>
      </c>
      <c r="F551" s="1" t="s">
        <v>5679</v>
      </c>
      <c r="G551" s="1" t="s">
        <v>74</v>
      </c>
      <c r="H551" s="1" t="s">
        <v>74</v>
      </c>
      <c r="I551" s="1" t="s">
        <v>5680</v>
      </c>
      <c r="J551" s="1" t="s">
        <v>5681</v>
      </c>
      <c r="K551" s="1" t="s">
        <v>74</v>
      </c>
      <c r="L551" s="1" t="s">
        <v>74</v>
      </c>
      <c r="M551" s="1" t="s">
        <v>74</v>
      </c>
      <c r="N551" s="1" t="s">
        <v>74</v>
      </c>
      <c r="O551" s="1" t="s">
        <v>74</v>
      </c>
      <c r="P551" s="1" t="s">
        <v>74</v>
      </c>
      <c r="Q551" s="1" t="s">
        <v>74</v>
      </c>
      <c r="R551" s="1" t="s">
        <v>74</v>
      </c>
      <c r="S551" s="1" t="s">
        <v>74</v>
      </c>
      <c r="T551" s="1" t="s">
        <v>74</v>
      </c>
      <c r="U551" s="1" t="s">
        <v>74</v>
      </c>
      <c r="V551" s="1" t="s">
        <v>74</v>
      </c>
      <c r="W551" s="1" t="s">
        <v>74</v>
      </c>
      <c r="X551" s="1" t="s">
        <v>74</v>
      </c>
      <c r="Y551" s="1" t="s">
        <v>74</v>
      </c>
      <c r="Z551" s="1" t="s">
        <v>74</v>
      </c>
      <c r="AA551" s="1" t="s">
        <v>5682</v>
      </c>
      <c r="AB551" s="1" t="s">
        <v>5683</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5684</v>
      </c>
      <c r="AP551" s="1" t="s">
        <v>5685</v>
      </c>
      <c r="AQ551" s="1" t="s">
        <v>74</v>
      </c>
      <c r="AR551" s="1" t="s">
        <v>74</v>
      </c>
      <c r="AS551" s="1" t="s">
        <v>74</v>
      </c>
      <c r="AT551" s="1" t="s">
        <v>408</v>
      </c>
      <c r="AU551" s="1">
        <v>2008.0</v>
      </c>
      <c r="AV551" s="1">
        <v>12.0</v>
      </c>
      <c r="AW551" s="1">
        <v>3.0</v>
      </c>
      <c r="AX551" s="1" t="s">
        <v>74</v>
      </c>
      <c r="AY551" s="1" t="s">
        <v>74</v>
      </c>
      <c r="AZ551" s="1" t="s">
        <v>74</v>
      </c>
      <c r="BA551" s="1" t="s">
        <v>74</v>
      </c>
      <c r="BB551" s="1">
        <v>222.0</v>
      </c>
      <c r="BC551" s="1">
        <v>224.0</v>
      </c>
      <c r="BD551" s="1" t="s">
        <v>74</v>
      </c>
      <c r="BE551" s="1" t="s">
        <v>5686</v>
      </c>
      <c r="BF551" s="2" t="str">
        <f>HYPERLINK("http://dx.doi.org/10.1007/BF02982625","http://dx.doi.org/10.1007/BF02982625")</f>
        <v>http://dx.doi.org/10.1007/BF02982625</v>
      </c>
      <c r="BG551" s="1" t="s">
        <v>74</v>
      </c>
      <c r="BH551" s="1" t="s">
        <v>74</v>
      </c>
      <c r="BI551" s="1" t="s">
        <v>74</v>
      </c>
      <c r="BJ551" s="1" t="s">
        <v>74</v>
      </c>
      <c r="BK551" s="1" t="s">
        <v>74</v>
      </c>
      <c r="BL551" s="1" t="s">
        <v>74</v>
      </c>
      <c r="BM551" s="1" t="s">
        <v>74</v>
      </c>
      <c r="BN551" s="1">
        <v>1.8309447E7</v>
      </c>
      <c r="BO551" s="1" t="s">
        <v>74</v>
      </c>
      <c r="BP551" s="1" t="s">
        <v>74</v>
      </c>
      <c r="BQ551" s="1" t="s">
        <v>74</v>
      </c>
      <c r="BR551" s="1" t="s">
        <v>74</v>
      </c>
      <c r="BS551" s="1" t="s">
        <v>5687</v>
      </c>
      <c r="BT551" s="1" t="str">
        <f>HYPERLINK("https%3A%2F%2Fwww.webofscience.com%2Fwos%2Fwoscc%2Ffull-record%2FWOS:000254428000013","View Full Record in Web of Science")</f>
        <v>View Full Record in Web of Science</v>
      </c>
    </row>
    <row r="552" ht="12.75" customHeight="1">
      <c r="A552" s="1" t="s">
        <v>72</v>
      </c>
      <c r="B552" s="1" t="s">
        <v>5688</v>
      </c>
      <c r="C552" s="1" t="s">
        <v>74</v>
      </c>
      <c r="D552" s="1" t="s">
        <v>74</v>
      </c>
      <c r="E552" s="1" t="s">
        <v>74</v>
      </c>
      <c r="F552" s="1" t="s">
        <v>5689</v>
      </c>
      <c r="G552" s="1" t="s">
        <v>74</v>
      </c>
      <c r="H552" s="1" t="s">
        <v>74</v>
      </c>
      <c r="I552" s="1" t="s">
        <v>5690</v>
      </c>
      <c r="J552" s="1" t="s">
        <v>5691</v>
      </c>
      <c r="K552" s="1" t="s">
        <v>74</v>
      </c>
      <c r="L552" s="1" t="s">
        <v>74</v>
      </c>
      <c r="M552" s="1" t="s">
        <v>74</v>
      </c>
      <c r="N552" s="1" t="s">
        <v>74</v>
      </c>
      <c r="O552" s="1" t="s">
        <v>5692</v>
      </c>
      <c r="P552" s="1" t="s">
        <v>5693</v>
      </c>
      <c r="Q552" s="1" t="s">
        <v>5694</v>
      </c>
      <c r="R552" s="1" t="s">
        <v>5695</v>
      </c>
      <c r="S552" s="1" t="s">
        <v>74</v>
      </c>
      <c r="T552" s="1" t="s">
        <v>74</v>
      </c>
      <c r="U552" s="1" t="s">
        <v>74</v>
      </c>
      <c r="V552" s="1" t="s">
        <v>5696</v>
      </c>
      <c r="W552" s="1" t="s">
        <v>74</v>
      </c>
      <c r="X552" s="1" t="s">
        <v>74</v>
      </c>
      <c r="Y552" s="1" t="s">
        <v>74</v>
      </c>
      <c r="Z552" s="1" t="s">
        <v>74</v>
      </c>
      <c r="AA552" s="1" t="s">
        <v>5697</v>
      </c>
      <c r="AB552" s="1" t="s">
        <v>5698</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5699</v>
      </c>
      <c r="AP552" s="1" t="s">
        <v>74</v>
      </c>
      <c r="AQ552" s="1" t="s">
        <v>74</v>
      </c>
      <c r="AR552" s="1" t="s">
        <v>74</v>
      </c>
      <c r="AS552" s="1" t="s">
        <v>74</v>
      </c>
      <c r="AT552" s="1" t="s">
        <v>4588</v>
      </c>
      <c r="AU552" s="1">
        <v>2007.0</v>
      </c>
      <c r="AV552" s="1">
        <v>254.0</v>
      </c>
      <c r="AW552" s="1">
        <v>1.0</v>
      </c>
      <c r="AX552" s="1" t="s">
        <v>74</v>
      </c>
      <c r="AY552" s="1" t="s">
        <v>74</v>
      </c>
      <c r="AZ552" s="1" t="s">
        <v>569</v>
      </c>
      <c r="BA552" s="1" t="s">
        <v>74</v>
      </c>
      <c r="BB552" s="1">
        <v>351.0</v>
      </c>
      <c r="BC552" s="1">
        <v>354.0</v>
      </c>
      <c r="BD552" s="1" t="s">
        <v>74</v>
      </c>
      <c r="BE552" s="1" t="s">
        <v>5700</v>
      </c>
      <c r="BF552" s="2" t="str">
        <f>HYPERLINK("http://dx.doi.org/10.1016/j.apsusc.2007.07.035","http://dx.doi.org/10.1016/j.apsusc.2007.07.035")</f>
        <v>http://dx.doi.org/10.1016/j.apsusc.2007.07.035</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5701</v>
      </c>
      <c r="BT552" s="1" t="str">
        <f>HYPERLINK("https%3A%2F%2Fwww.webofscience.com%2Fwos%2Fwoscc%2Ffull-record%2FWOS:000250800100079","View Full Record in Web of Science")</f>
        <v>View Full Record in Web of Science</v>
      </c>
    </row>
    <row r="553" ht="12.75" customHeight="1">
      <c r="A553" s="1" t="s">
        <v>72</v>
      </c>
      <c r="B553" s="1" t="s">
        <v>5702</v>
      </c>
      <c r="C553" s="1" t="s">
        <v>74</v>
      </c>
      <c r="D553" s="1" t="s">
        <v>74</v>
      </c>
      <c r="E553" s="1" t="s">
        <v>74</v>
      </c>
      <c r="F553" s="1" t="s">
        <v>5702</v>
      </c>
      <c r="G553" s="1" t="s">
        <v>74</v>
      </c>
      <c r="H553" s="1" t="s">
        <v>74</v>
      </c>
      <c r="I553" s="1" t="s">
        <v>5703</v>
      </c>
      <c r="J553" s="1" t="s">
        <v>2173</v>
      </c>
      <c r="K553" s="1" t="s">
        <v>74</v>
      </c>
      <c r="L553" s="1" t="s">
        <v>74</v>
      </c>
      <c r="M553" s="1" t="s">
        <v>74</v>
      </c>
      <c r="N553" s="1" t="s">
        <v>74</v>
      </c>
      <c r="O553" s="1" t="s">
        <v>74</v>
      </c>
      <c r="P553" s="1" t="s">
        <v>74</v>
      </c>
      <c r="Q553" s="1" t="s">
        <v>74</v>
      </c>
      <c r="R553" s="1" t="s">
        <v>74</v>
      </c>
      <c r="S553" s="1" t="s">
        <v>74</v>
      </c>
      <c r="T553" s="1" t="s">
        <v>74</v>
      </c>
      <c r="U553" s="1" t="s">
        <v>74</v>
      </c>
      <c r="V553" s="1" t="s">
        <v>5704</v>
      </c>
      <c r="W553" s="1" t="s">
        <v>74</v>
      </c>
      <c r="X553" s="1" t="s">
        <v>74</v>
      </c>
      <c r="Y553" s="1" t="s">
        <v>74</v>
      </c>
      <c r="Z553" s="1" t="s">
        <v>74</v>
      </c>
      <c r="AA553" s="1" t="s">
        <v>5705</v>
      </c>
      <c r="AB553" s="1" t="s">
        <v>5706</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5707</v>
      </c>
      <c r="AP553" s="1" t="s">
        <v>74</v>
      </c>
      <c r="AQ553" s="1" t="s">
        <v>74</v>
      </c>
      <c r="AR553" s="1" t="s">
        <v>74</v>
      </c>
      <c r="AS553" s="1" t="s">
        <v>74</v>
      </c>
      <c r="AT553" s="1" t="s">
        <v>2987</v>
      </c>
      <c r="AU553" s="1">
        <v>2005.0</v>
      </c>
      <c r="AV553" s="1">
        <v>580.0</v>
      </c>
      <c r="AW553" s="1">
        <v>1.0</v>
      </c>
      <c r="AX553" s="1" t="s">
        <v>74</v>
      </c>
      <c r="AY553" s="1" t="s">
        <v>74</v>
      </c>
      <c r="AZ553" s="1" t="s">
        <v>74</v>
      </c>
      <c r="BA553" s="1" t="s">
        <v>74</v>
      </c>
      <c r="BB553" s="1">
        <v>50.0</v>
      </c>
      <c r="BC553" s="1">
        <v>56.0</v>
      </c>
      <c r="BD553" s="1" t="s">
        <v>74</v>
      </c>
      <c r="BE553" s="1" t="s">
        <v>5708</v>
      </c>
      <c r="BF553" s="2" t="str">
        <f>HYPERLINK("http://dx.doi.org/10.1016/j.jelechem.2005.03.010","http://dx.doi.org/10.1016/j.jelechem.2005.03.010")</f>
        <v>http://dx.doi.org/10.1016/j.jelechem.2005.03.010</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5709</v>
      </c>
      <c r="BT553" s="1" t="str">
        <f>HYPERLINK("https%3A%2F%2Fwww.webofscience.com%2Fwos%2Fwoscc%2Ffull-record%2FWOS:000229512700007","View Full Record in Web of Science")</f>
        <v>View Full Record in Web of Science</v>
      </c>
    </row>
    <row r="554" ht="12.75" customHeight="1">
      <c r="A554" s="1" t="s">
        <v>72</v>
      </c>
      <c r="B554" s="1" t="s">
        <v>5710</v>
      </c>
      <c r="C554" s="1" t="s">
        <v>74</v>
      </c>
      <c r="D554" s="1" t="s">
        <v>74</v>
      </c>
      <c r="E554" s="1" t="s">
        <v>74</v>
      </c>
      <c r="F554" s="1" t="s">
        <v>5710</v>
      </c>
      <c r="G554" s="1" t="s">
        <v>74</v>
      </c>
      <c r="H554" s="1" t="s">
        <v>74</v>
      </c>
      <c r="I554" s="1" t="s">
        <v>5711</v>
      </c>
      <c r="J554" s="1" t="s">
        <v>253</v>
      </c>
      <c r="K554" s="1" t="s">
        <v>74</v>
      </c>
      <c r="L554" s="1" t="s">
        <v>74</v>
      </c>
      <c r="M554" s="1" t="s">
        <v>74</v>
      </c>
      <c r="N554" s="1" t="s">
        <v>74</v>
      </c>
      <c r="O554" s="1" t="s">
        <v>5712</v>
      </c>
      <c r="P554" s="1" t="s">
        <v>5713</v>
      </c>
      <c r="Q554" s="1" t="s">
        <v>5714</v>
      </c>
      <c r="R554" s="1" t="s">
        <v>5715</v>
      </c>
      <c r="S554" s="1" t="s">
        <v>74</v>
      </c>
      <c r="T554" s="1" t="s">
        <v>74</v>
      </c>
      <c r="U554" s="1" t="s">
        <v>74</v>
      </c>
      <c r="V554" s="1" t="s">
        <v>5716</v>
      </c>
      <c r="W554" s="1" t="s">
        <v>74</v>
      </c>
      <c r="X554" s="1" t="s">
        <v>74</v>
      </c>
      <c r="Y554" s="1" t="s">
        <v>74</v>
      </c>
      <c r="Z554" s="1" t="s">
        <v>74</v>
      </c>
      <c r="AA554" s="1" t="s">
        <v>3501</v>
      </c>
      <c r="AB554" s="1" t="s">
        <v>5717</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257</v>
      </c>
      <c r="AP554" s="1" t="s">
        <v>258</v>
      </c>
      <c r="AQ554" s="1" t="s">
        <v>74</v>
      </c>
      <c r="AR554" s="1" t="s">
        <v>74</v>
      </c>
      <c r="AS554" s="1" t="s">
        <v>74</v>
      </c>
      <c r="AT554" s="1" t="s">
        <v>745</v>
      </c>
      <c r="AU554" s="1">
        <v>2001.0</v>
      </c>
      <c r="AV554" s="1">
        <v>226.0</v>
      </c>
      <c r="AW554" s="1" t="s">
        <v>74</v>
      </c>
      <c r="AX554" s="1">
        <v>2.0</v>
      </c>
      <c r="AY554" s="1" t="s">
        <v>74</v>
      </c>
      <c r="AZ554" s="1" t="s">
        <v>569</v>
      </c>
      <c r="BA554" s="1" t="s">
        <v>74</v>
      </c>
      <c r="BB554" s="1">
        <v>1248.0</v>
      </c>
      <c r="BC554" s="1">
        <v>1250.0</v>
      </c>
      <c r="BD554" s="1" t="s">
        <v>74</v>
      </c>
      <c r="BE554" s="1" t="s">
        <v>5718</v>
      </c>
      <c r="BF554" s="2" t="str">
        <f>HYPERLINK("http://dx.doi.org/10.1016/S0304-8853(00)01005-2","http://dx.doi.org/10.1016/S0304-8853(00)01005-2")</f>
        <v>http://dx.doi.org/10.1016/S0304-8853(00)01005-2</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5719</v>
      </c>
      <c r="BT554" s="1" t="str">
        <f>HYPERLINK("https%3A%2F%2Fwww.webofscience.com%2Fwos%2Fwoscc%2Ffull-record%2FWOS:000170628400069","View Full Record in Web of Science")</f>
        <v>View Full Record in Web of Science</v>
      </c>
    </row>
    <row r="555" ht="12.75" customHeight="1">
      <c r="A555" s="1" t="s">
        <v>72</v>
      </c>
      <c r="B555" s="1" t="s">
        <v>5720</v>
      </c>
      <c r="C555" s="1" t="s">
        <v>74</v>
      </c>
      <c r="D555" s="1" t="s">
        <v>74</v>
      </c>
      <c r="E555" s="1" t="s">
        <v>74</v>
      </c>
      <c r="F555" s="1" t="s">
        <v>5720</v>
      </c>
      <c r="G555" s="1" t="s">
        <v>74</v>
      </c>
      <c r="H555" s="1" t="s">
        <v>74</v>
      </c>
      <c r="I555" s="1" t="s">
        <v>5721</v>
      </c>
      <c r="J555" s="1" t="s">
        <v>876</v>
      </c>
      <c r="K555" s="1" t="s">
        <v>74</v>
      </c>
      <c r="L555" s="1" t="s">
        <v>74</v>
      </c>
      <c r="M555" s="1" t="s">
        <v>74</v>
      </c>
      <c r="N555" s="1" t="s">
        <v>74</v>
      </c>
      <c r="O555" s="1" t="s">
        <v>74</v>
      </c>
      <c r="P555" s="1" t="s">
        <v>74</v>
      </c>
      <c r="Q555" s="1" t="s">
        <v>74</v>
      </c>
      <c r="R555" s="1" t="s">
        <v>74</v>
      </c>
      <c r="S555" s="1" t="s">
        <v>74</v>
      </c>
      <c r="T555" s="1" t="s">
        <v>74</v>
      </c>
      <c r="U555" s="1" t="s">
        <v>74</v>
      </c>
      <c r="V555" s="1" t="s">
        <v>5722</v>
      </c>
      <c r="W555" s="1" t="s">
        <v>74</v>
      </c>
      <c r="X555" s="1" t="s">
        <v>74</v>
      </c>
      <c r="Y555" s="1" t="s">
        <v>74</v>
      </c>
      <c r="Z555" s="1" t="s">
        <v>74</v>
      </c>
      <c r="AA555" s="1" t="s">
        <v>5723</v>
      </c>
      <c r="AB555" s="1" t="s">
        <v>5724</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880</v>
      </c>
      <c r="AP555" s="1" t="s">
        <v>74</v>
      </c>
      <c r="AQ555" s="1" t="s">
        <v>74</v>
      </c>
      <c r="AR555" s="1" t="s">
        <v>74</v>
      </c>
      <c r="AS555" s="1" t="s">
        <v>74</v>
      </c>
      <c r="AT555" s="1" t="s">
        <v>1106</v>
      </c>
      <c r="AU555" s="1">
        <v>1998.0</v>
      </c>
      <c r="AV555" s="1">
        <v>36.0</v>
      </c>
      <c r="AW555" s="1">
        <v>1.0</v>
      </c>
      <c r="AX555" s="1" t="s">
        <v>74</v>
      </c>
      <c r="AY555" s="1" t="s">
        <v>74</v>
      </c>
      <c r="AZ555" s="1" t="s">
        <v>74</v>
      </c>
      <c r="BA555" s="1" t="s">
        <v>74</v>
      </c>
      <c r="BB555" s="1">
        <v>165.0</v>
      </c>
      <c r="BC555" s="1">
        <v>178.0</v>
      </c>
      <c r="BD555" s="1" t="s">
        <v>74</v>
      </c>
      <c r="BE555" s="1" t="s">
        <v>5725</v>
      </c>
      <c r="BF555" s="2" t="str">
        <f>HYPERLINK("http://dx.doi.org/10.1016/S0041-0101(97)00069-X","http://dx.doi.org/10.1016/S0041-0101(97)00069-X")</f>
        <v>http://dx.doi.org/10.1016/S0041-0101(97)00069-X</v>
      </c>
      <c r="BG555" s="1" t="s">
        <v>74</v>
      </c>
      <c r="BH555" s="1" t="s">
        <v>74</v>
      </c>
      <c r="BI555" s="1" t="s">
        <v>74</v>
      </c>
      <c r="BJ555" s="1" t="s">
        <v>74</v>
      </c>
      <c r="BK555" s="1" t="s">
        <v>74</v>
      </c>
      <c r="BL555" s="1" t="s">
        <v>74</v>
      </c>
      <c r="BM555" s="1" t="s">
        <v>74</v>
      </c>
      <c r="BN555" s="1">
        <v>9604290.0</v>
      </c>
      <c r="BO555" s="1" t="s">
        <v>74</v>
      </c>
      <c r="BP555" s="1" t="s">
        <v>74</v>
      </c>
      <c r="BQ555" s="1" t="s">
        <v>74</v>
      </c>
      <c r="BR555" s="1" t="s">
        <v>74</v>
      </c>
      <c r="BS555" s="1" t="s">
        <v>5726</v>
      </c>
      <c r="BT555" s="1" t="str">
        <f>HYPERLINK("https%3A%2F%2Fwww.webofscience.com%2Fwos%2Fwoscc%2Ffull-record%2FWOS:000073385700014","View Full Record in Web of Science")</f>
        <v>View Full Record in Web of Science</v>
      </c>
    </row>
    <row r="556" ht="12.75" customHeight="1">
      <c r="A556" s="1" t="s">
        <v>72</v>
      </c>
      <c r="B556" s="1" t="s">
        <v>5727</v>
      </c>
      <c r="C556" s="1" t="s">
        <v>74</v>
      </c>
      <c r="D556" s="1" t="s">
        <v>74</v>
      </c>
      <c r="E556" s="1" t="s">
        <v>74</v>
      </c>
      <c r="F556" s="1" t="s">
        <v>5727</v>
      </c>
      <c r="G556" s="1" t="s">
        <v>74</v>
      </c>
      <c r="H556" s="1" t="s">
        <v>74</v>
      </c>
      <c r="I556" s="1" t="s">
        <v>5728</v>
      </c>
      <c r="J556" s="1" t="s">
        <v>5729</v>
      </c>
      <c r="K556" s="1" t="s">
        <v>74</v>
      </c>
      <c r="L556" s="1" t="s">
        <v>74</v>
      </c>
      <c r="M556" s="1" t="s">
        <v>74</v>
      </c>
      <c r="N556" s="1" t="s">
        <v>74</v>
      </c>
      <c r="O556" s="1" t="s">
        <v>74</v>
      </c>
      <c r="P556" s="1" t="s">
        <v>74</v>
      </c>
      <c r="Q556" s="1" t="s">
        <v>74</v>
      </c>
      <c r="R556" s="1" t="s">
        <v>74</v>
      </c>
      <c r="S556" s="1" t="s">
        <v>74</v>
      </c>
      <c r="T556" s="1" t="s">
        <v>74</v>
      </c>
      <c r="U556" s="1" t="s">
        <v>74</v>
      </c>
      <c r="V556" s="1" t="s">
        <v>5730</v>
      </c>
      <c r="W556" s="1" t="s">
        <v>74</v>
      </c>
      <c r="X556" s="1" t="s">
        <v>74</v>
      </c>
      <c r="Y556" s="1" t="s">
        <v>74</v>
      </c>
      <c r="Z556" s="1" t="s">
        <v>74</v>
      </c>
      <c r="AA556" s="1" t="s">
        <v>5731</v>
      </c>
      <c r="AB556" s="1" t="s">
        <v>5732</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5733</v>
      </c>
      <c r="AP556" s="1" t="s">
        <v>74</v>
      </c>
      <c r="AQ556" s="1" t="s">
        <v>74</v>
      </c>
      <c r="AR556" s="1" t="s">
        <v>74</v>
      </c>
      <c r="AS556" s="1" t="s">
        <v>74</v>
      </c>
      <c r="AT556" s="1" t="s">
        <v>5734</v>
      </c>
      <c r="AU556" s="1">
        <v>1997.0</v>
      </c>
      <c r="AV556" s="1">
        <v>79.0</v>
      </c>
      <c r="AW556" s="1">
        <v>23.0</v>
      </c>
      <c r="AX556" s="1" t="s">
        <v>74</v>
      </c>
      <c r="AY556" s="1" t="s">
        <v>74</v>
      </c>
      <c r="AZ556" s="1" t="s">
        <v>74</v>
      </c>
      <c r="BA556" s="1" t="s">
        <v>74</v>
      </c>
      <c r="BB556" s="1">
        <v>4570.0</v>
      </c>
      <c r="BC556" s="1">
        <v>4573.0</v>
      </c>
      <c r="BD556" s="1" t="s">
        <v>74</v>
      </c>
      <c r="BE556" s="1" t="s">
        <v>5735</v>
      </c>
      <c r="BF556" s="2" t="str">
        <f>HYPERLINK("http://dx.doi.org/10.1103/PhysRevLett.79.4570","http://dx.doi.org/10.1103/PhysRevLett.79.4570")</f>
        <v>http://dx.doi.org/10.1103/PhysRevLett.79.4570</v>
      </c>
      <c r="BG556" s="1" t="s">
        <v>74</v>
      </c>
      <c r="BH556" s="1" t="s">
        <v>74</v>
      </c>
      <c r="BI556" s="1" t="s">
        <v>74</v>
      </c>
      <c r="BJ556" s="1" t="s">
        <v>74</v>
      </c>
      <c r="BK556" s="1" t="s">
        <v>74</v>
      </c>
      <c r="BL556" s="1" t="s">
        <v>74</v>
      </c>
      <c r="BM556" s="1" t="s">
        <v>74</v>
      </c>
      <c r="BN556" s="1" t="s">
        <v>74</v>
      </c>
      <c r="BO556" s="1" t="s">
        <v>74</v>
      </c>
      <c r="BP556" s="1" t="s">
        <v>74</v>
      </c>
      <c r="BQ556" s="1" t="s">
        <v>74</v>
      </c>
      <c r="BR556" s="1" t="s">
        <v>74</v>
      </c>
      <c r="BS556" s="1" t="s">
        <v>5736</v>
      </c>
      <c r="BT556" s="1" t="str">
        <f>HYPERLINK("https%3A%2F%2Fwww.webofscience.com%2Fwos%2Fwoscc%2Ffull-record%2FWOS:A1997YK36500014","View Full Record in Web of Science")</f>
        <v>View Full Record in Web of Science</v>
      </c>
    </row>
    <row r="557" ht="12.75" customHeight="1">
      <c r="A557" s="1" t="s">
        <v>72</v>
      </c>
      <c r="B557" s="1" t="s">
        <v>5737</v>
      </c>
      <c r="C557" s="1" t="s">
        <v>74</v>
      </c>
      <c r="D557" s="1" t="s">
        <v>74</v>
      </c>
      <c r="E557" s="1" t="s">
        <v>74</v>
      </c>
      <c r="F557" s="1" t="s">
        <v>5738</v>
      </c>
      <c r="G557" s="1" t="s">
        <v>74</v>
      </c>
      <c r="H557" s="1" t="s">
        <v>74</v>
      </c>
      <c r="I557" s="1" t="s">
        <v>5739</v>
      </c>
      <c r="J557" s="1" t="s">
        <v>5417</v>
      </c>
      <c r="K557" s="1" t="s">
        <v>74</v>
      </c>
      <c r="L557" s="1" t="s">
        <v>74</v>
      </c>
      <c r="M557" s="1" t="s">
        <v>74</v>
      </c>
      <c r="N557" s="1" t="s">
        <v>74</v>
      </c>
      <c r="O557" s="1" t="s">
        <v>74</v>
      </c>
      <c r="P557" s="1" t="s">
        <v>74</v>
      </c>
      <c r="Q557" s="1" t="s">
        <v>74</v>
      </c>
      <c r="R557" s="1" t="s">
        <v>74</v>
      </c>
      <c r="S557" s="1" t="s">
        <v>74</v>
      </c>
      <c r="T557" s="1" t="s">
        <v>74</v>
      </c>
      <c r="U557" s="1" t="s">
        <v>74</v>
      </c>
      <c r="V557" s="1" t="s">
        <v>5740</v>
      </c>
      <c r="W557" s="1" t="s">
        <v>74</v>
      </c>
      <c r="X557" s="1" t="s">
        <v>74</v>
      </c>
      <c r="Y557" s="1" t="s">
        <v>74</v>
      </c>
      <c r="Z557" s="1" t="s">
        <v>74</v>
      </c>
      <c r="AA557" s="1" t="s">
        <v>5741</v>
      </c>
      <c r="AB557" s="1" t="s">
        <v>74</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5421</v>
      </c>
      <c r="AP557" s="1" t="s">
        <v>5422</v>
      </c>
      <c r="AQ557" s="1" t="s">
        <v>74</v>
      </c>
      <c r="AR557" s="1" t="s">
        <v>74</v>
      </c>
      <c r="AS557" s="1" t="s">
        <v>74</v>
      </c>
      <c r="AT557" s="1" t="s">
        <v>745</v>
      </c>
      <c r="AU557" s="1">
        <v>2025.0</v>
      </c>
      <c r="AV557" s="1">
        <v>55.0</v>
      </c>
      <c r="AW557" s="1">
        <v>5.0</v>
      </c>
      <c r="AX557" s="1" t="s">
        <v>74</v>
      </c>
      <c r="AY557" s="1" t="s">
        <v>74</v>
      </c>
      <c r="AZ557" s="1" t="s">
        <v>74</v>
      </c>
      <c r="BA557" s="1" t="s">
        <v>74</v>
      </c>
      <c r="BB557" s="1">
        <v>1371.0</v>
      </c>
      <c r="BC557" s="1">
        <v>1380.0</v>
      </c>
      <c r="BD557" s="1" t="s">
        <v>74</v>
      </c>
      <c r="BE557" s="1" t="s">
        <v>5742</v>
      </c>
      <c r="BF557" s="2" t="str">
        <f>HYPERLINK("http://dx.doi.org/10.1007/s10800-024-02240-7","http://dx.doi.org/10.1007/s10800-024-02240-7")</f>
        <v>http://dx.doi.org/10.1007/s10800-024-02240-7</v>
      </c>
      <c r="BG557" s="1" t="s">
        <v>74</v>
      </c>
      <c r="BH557" s="1" t="s">
        <v>1108</v>
      </c>
      <c r="BI557" s="1" t="s">
        <v>74</v>
      </c>
      <c r="BJ557" s="1" t="s">
        <v>74</v>
      </c>
      <c r="BK557" s="1" t="s">
        <v>74</v>
      </c>
      <c r="BL557" s="1" t="s">
        <v>74</v>
      </c>
      <c r="BM557" s="1" t="s">
        <v>74</v>
      </c>
      <c r="BN557" s="1" t="s">
        <v>74</v>
      </c>
      <c r="BO557" s="1" t="s">
        <v>74</v>
      </c>
      <c r="BP557" s="1" t="s">
        <v>74</v>
      </c>
      <c r="BQ557" s="1" t="s">
        <v>74</v>
      </c>
      <c r="BR557" s="1" t="s">
        <v>74</v>
      </c>
      <c r="BS557" s="1" t="s">
        <v>5743</v>
      </c>
      <c r="BT557" s="1" t="str">
        <f>HYPERLINK("https%3A%2F%2Fwww.webofscience.com%2Fwos%2Fwoscc%2Ffull-record%2FWOS:001381907800001","View Full Record in Web of Science")</f>
        <v>View Full Record in Web of Science</v>
      </c>
    </row>
    <row r="558" ht="12.75" customHeight="1">
      <c r="A558" s="1" t="s">
        <v>72</v>
      </c>
      <c r="B558" s="1" t="s">
        <v>5744</v>
      </c>
      <c r="C558" s="1" t="s">
        <v>74</v>
      </c>
      <c r="D558" s="1" t="s">
        <v>74</v>
      </c>
      <c r="E558" s="1" t="s">
        <v>74</v>
      </c>
      <c r="F558" s="1" t="s">
        <v>5745</v>
      </c>
      <c r="G558" s="1" t="s">
        <v>74</v>
      </c>
      <c r="H558" s="1" t="s">
        <v>74</v>
      </c>
      <c r="I558" s="1" t="s">
        <v>5746</v>
      </c>
      <c r="J558" s="1" t="s">
        <v>5747</v>
      </c>
      <c r="K558" s="1" t="s">
        <v>74</v>
      </c>
      <c r="L558" s="1" t="s">
        <v>74</v>
      </c>
      <c r="M558" s="1" t="s">
        <v>74</v>
      </c>
      <c r="N558" s="1" t="s">
        <v>74</v>
      </c>
      <c r="O558" s="1" t="s">
        <v>74</v>
      </c>
      <c r="P558" s="1" t="s">
        <v>74</v>
      </c>
      <c r="Q558" s="1" t="s">
        <v>74</v>
      </c>
      <c r="R558" s="1" t="s">
        <v>74</v>
      </c>
      <c r="S558" s="1" t="s">
        <v>74</v>
      </c>
      <c r="T558" s="1" t="s">
        <v>74</v>
      </c>
      <c r="U558" s="1" t="s">
        <v>74</v>
      </c>
      <c r="V558" s="1" t="s">
        <v>5748</v>
      </c>
      <c r="W558" s="1" t="s">
        <v>74</v>
      </c>
      <c r="X558" s="1" t="s">
        <v>74</v>
      </c>
      <c r="Y558" s="1" t="s">
        <v>74</v>
      </c>
      <c r="Z558" s="1" t="s">
        <v>74</v>
      </c>
      <c r="AA558" s="1" t="s">
        <v>5749</v>
      </c>
      <c r="AB558" s="1" t="s">
        <v>5750</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5751</v>
      </c>
      <c r="AP558" s="1" t="s">
        <v>5752</v>
      </c>
      <c r="AQ558" s="1" t="s">
        <v>74</v>
      </c>
      <c r="AR558" s="1" t="s">
        <v>74</v>
      </c>
      <c r="AS558" s="1" t="s">
        <v>74</v>
      </c>
      <c r="AT558" s="1" t="s">
        <v>271</v>
      </c>
      <c r="AU558" s="1">
        <v>2024.0</v>
      </c>
      <c r="AV558" s="1">
        <v>69.0</v>
      </c>
      <c r="AW558" s="1" t="s">
        <v>74</v>
      </c>
      <c r="AX558" s="1" t="s">
        <v>74</v>
      </c>
      <c r="AY558" s="1" t="s">
        <v>74</v>
      </c>
      <c r="AZ558" s="1" t="s">
        <v>74</v>
      </c>
      <c r="BA558" s="1" t="s">
        <v>74</v>
      </c>
      <c r="BB558" s="1" t="s">
        <v>74</v>
      </c>
      <c r="BC558" s="1" t="s">
        <v>74</v>
      </c>
      <c r="BD558" s="1">
        <v>103894.0</v>
      </c>
      <c r="BE558" s="1" t="s">
        <v>5753</v>
      </c>
      <c r="BF558" s="2" t="str">
        <f>HYPERLINK("http://dx.doi.org/10.1016/j.seta.2024.103894","http://dx.doi.org/10.1016/j.seta.2024.103894")</f>
        <v>http://dx.doi.org/10.1016/j.seta.2024.103894</v>
      </c>
      <c r="BG558" s="1" t="s">
        <v>74</v>
      </c>
      <c r="BH558" s="1" t="s">
        <v>557</v>
      </c>
      <c r="BI558" s="1" t="s">
        <v>74</v>
      </c>
      <c r="BJ558" s="1" t="s">
        <v>74</v>
      </c>
      <c r="BK558" s="1" t="s">
        <v>74</v>
      </c>
      <c r="BL558" s="1" t="s">
        <v>74</v>
      </c>
      <c r="BM558" s="1" t="s">
        <v>74</v>
      </c>
      <c r="BN558" s="1" t="s">
        <v>74</v>
      </c>
      <c r="BO558" s="1" t="s">
        <v>74</v>
      </c>
      <c r="BP558" s="1" t="s">
        <v>74</v>
      </c>
      <c r="BQ558" s="1" t="s">
        <v>74</v>
      </c>
      <c r="BR558" s="1" t="s">
        <v>74</v>
      </c>
      <c r="BS558" s="1" t="s">
        <v>5754</v>
      </c>
      <c r="BT558" s="1" t="str">
        <f>HYPERLINK("https%3A%2F%2Fwww.webofscience.com%2Fwos%2Fwoscc%2Ffull-record%2FWOS:001280356800001","View Full Record in Web of Science")</f>
        <v>View Full Record in Web of Science</v>
      </c>
    </row>
    <row r="559" ht="12.75" customHeight="1">
      <c r="A559" s="1" t="s">
        <v>72</v>
      </c>
      <c r="B559" s="1" t="s">
        <v>5755</v>
      </c>
      <c r="C559" s="1" t="s">
        <v>74</v>
      </c>
      <c r="D559" s="1" t="s">
        <v>74</v>
      </c>
      <c r="E559" s="1" t="s">
        <v>74</v>
      </c>
      <c r="F559" s="1" t="s">
        <v>5756</v>
      </c>
      <c r="G559" s="1" t="s">
        <v>74</v>
      </c>
      <c r="H559" s="1" t="s">
        <v>74</v>
      </c>
      <c r="I559" s="1" t="s">
        <v>5757</v>
      </c>
      <c r="J559" s="1" t="s">
        <v>5758</v>
      </c>
      <c r="K559" s="1" t="s">
        <v>74</v>
      </c>
      <c r="L559" s="1" t="s">
        <v>74</v>
      </c>
      <c r="M559" s="1" t="s">
        <v>74</v>
      </c>
      <c r="N559" s="1" t="s">
        <v>74</v>
      </c>
      <c r="O559" s="1" t="s">
        <v>74</v>
      </c>
      <c r="P559" s="1" t="s">
        <v>74</v>
      </c>
      <c r="Q559" s="1" t="s">
        <v>74</v>
      </c>
      <c r="R559" s="1" t="s">
        <v>74</v>
      </c>
      <c r="S559" s="1" t="s">
        <v>74</v>
      </c>
      <c r="T559" s="1" t="s">
        <v>74</v>
      </c>
      <c r="U559" s="1" t="s">
        <v>74</v>
      </c>
      <c r="V559" s="1" t="s">
        <v>5759</v>
      </c>
      <c r="W559" s="1" t="s">
        <v>74</v>
      </c>
      <c r="X559" s="1" t="s">
        <v>74</v>
      </c>
      <c r="Y559" s="1" t="s">
        <v>74</v>
      </c>
      <c r="Z559" s="1" t="s">
        <v>74</v>
      </c>
      <c r="AA559" s="1" t="s">
        <v>5760</v>
      </c>
      <c r="AB559" s="1" t="s">
        <v>5761</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5762</v>
      </c>
      <c r="AP559" s="1" t="s">
        <v>5763</v>
      </c>
      <c r="AQ559" s="1" t="s">
        <v>74</v>
      </c>
      <c r="AR559" s="1" t="s">
        <v>74</v>
      </c>
      <c r="AS559" s="1" t="s">
        <v>74</v>
      </c>
      <c r="AT559" s="1" t="s">
        <v>94</v>
      </c>
      <c r="AU559" s="1">
        <v>2024.0</v>
      </c>
      <c r="AV559" s="1">
        <v>198.0</v>
      </c>
      <c r="AW559" s="1" t="s">
        <v>74</v>
      </c>
      <c r="AX559" s="1" t="s">
        <v>74</v>
      </c>
      <c r="AY559" s="1" t="s">
        <v>74</v>
      </c>
      <c r="AZ559" s="1" t="s">
        <v>74</v>
      </c>
      <c r="BA559" s="1" t="s">
        <v>74</v>
      </c>
      <c r="BB559" s="1" t="s">
        <v>74</v>
      </c>
      <c r="BC559" s="1" t="s">
        <v>74</v>
      </c>
      <c r="BD559" s="1">
        <v>106489.0</v>
      </c>
      <c r="BE559" s="1" t="s">
        <v>5764</v>
      </c>
      <c r="BF559" s="2" t="str">
        <f>HYPERLINK("http://dx.doi.org/10.1016/j.marenvres.2024.106489","http://dx.doi.org/10.1016/j.marenvres.2024.106489")</f>
        <v>http://dx.doi.org/10.1016/j.marenvres.2024.106489</v>
      </c>
      <c r="BG559" s="1" t="s">
        <v>74</v>
      </c>
      <c r="BH559" s="1" t="s">
        <v>571</v>
      </c>
      <c r="BI559" s="1" t="s">
        <v>74</v>
      </c>
      <c r="BJ559" s="1" t="s">
        <v>74</v>
      </c>
      <c r="BK559" s="1" t="s">
        <v>74</v>
      </c>
      <c r="BL559" s="1" t="s">
        <v>74</v>
      </c>
      <c r="BM559" s="1" t="s">
        <v>74</v>
      </c>
      <c r="BN559" s="1">
        <v>3.8640688E7</v>
      </c>
      <c r="BO559" s="1" t="s">
        <v>74</v>
      </c>
      <c r="BP559" s="1" t="s">
        <v>74</v>
      </c>
      <c r="BQ559" s="1" t="s">
        <v>74</v>
      </c>
      <c r="BR559" s="1" t="s">
        <v>74</v>
      </c>
      <c r="BS559" s="1" t="s">
        <v>5765</v>
      </c>
      <c r="BT559" s="1" t="str">
        <f>HYPERLINK("https%3A%2F%2Fwww.webofscience.com%2Fwos%2Fwoscc%2Ffull-record%2FWOS:001298516500001","View Full Record in Web of Science")</f>
        <v>View Full Record in Web of Science</v>
      </c>
    </row>
    <row r="560" ht="12.75" customHeight="1">
      <c r="A560" s="1" t="s">
        <v>207</v>
      </c>
      <c r="B560" s="1" t="s">
        <v>5766</v>
      </c>
      <c r="C560" s="1" t="s">
        <v>74</v>
      </c>
      <c r="D560" s="1" t="s">
        <v>5767</v>
      </c>
      <c r="E560" s="1" t="s">
        <v>74</v>
      </c>
      <c r="F560" s="1" t="s">
        <v>5768</v>
      </c>
      <c r="G560" s="1" t="s">
        <v>74</v>
      </c>
      <c r="H560" s="1" t="s">
        <v>74</v>
      </c>
      <c r="I560" s="1" t="s">
        <v>5769</v>
      </c>
      <c r="J560" s="1" t="s">
        <v>5770</v>
      </c>
      <c r="K560" s="1" t="s">
        <v>5771</v>
      </c>
      <c r="L560" s="1" t="s">
        <v>74</v>
      </c>
      <c r="M560" s="1" t="s">
        <v>74</v>
      </c>
      <c r="N560" s="1" t="s">
        <v>74</v>
      </c>
      <c r="O560" s="1" t="s">
        <v>5772</v>
      </c>
      <c r="P560" s="1" t="s">
        <v>5773</v>
      </c>
      <c r="Q560" s="1" t="s">
        <v>1372</v>
      </c>
      <c r="R560" s="1" t="s">
        <v>5774</v>
      </c>
      <c r="S560" s="1" t="s">
        <v>74</v>
      </c>
      <c r="T560" s="1" t="s">
        <v>74</v>
      </c>
      <c r="U560" s="1" t="s">
        <v>74</v>
      </c>
      <c r="V560" s="1" t="s">
        <v>5775</v>
      </c>
      <c r="W560" s="1" t="s">
        <v>74</v>
      </c>
      <c r="X560" s="1" t="s">
        <v>74</v>
      </c>
      <c r="Y560" s="1" t="s">
        <v>74</v>
      </c>
      <c r="Z560" s="1" t="s">
        <v>74</v>
      </c>
      <c r="AA560" s="1" t="s">
        <v>74</v>
      </c>
      <c r="AB560" s="1" t="s">
        <v>5776</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5777</v>
      </c>
      <c r="AP560" s="1" t="s">
        <v>5778</v>
      </c>
      <c r="AQ560" s="1" t="s">
        <v>5779</v>
      </c>
      <c r="AR560" s="1" t="s">
        <v>74</v>
      </c>
      <c r="AS560" s="1" t="s">
        <v>74</v>
      </c>
      <c r="AT560" s="1" t="s">
        <v>74</v>
      </c>
      <c r="AU560" s="1">
        <v>2024.0</v>
      </c>
      <c r="AV560" s="1">
        <v>462.0</v>
      </c>
      <c r="AW560" s="1" t="s">
        <v>74</v>
      </c>
      <c r="AX560" s="1" t="s">
        <v>74</v>
      </c>
      <c r="AY560" s="1" t="s">
        <v>74</v>
      </c>
      <c r="AZ560" s="1" t="s">
        <v>74</v>
      </c>
      <c r="BA560" s="1" t="s">
        <v>74</v>
      </c>
      <c r="BB560" s="1">
        <v>255.0</v>
      </c>
      <c r="BC560" s="1">
        <v>270.0</v>
      </c>
      <c r="BD560" s="1" t="s">
        <v>74</v>
      </c>
      <c r="BE560" s="1" t="s">
        <v>5780</v>
      </c>
      <c r="BF560" s="2" t="str">
        <f>HYPERLINK("http://dx.doi.org/10.1007/978-3-031-53375-4_17","http://dx.doi.org/10.1007/978-3-031-53375-4_17")</f>
        <v>http://dx.doi.org/10.1007/978-3-031-53375-4_17</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5781</v>
      </c>
      <c r="BT560" s="1" t="str">
        <f>HYPERLINK("https%3A%2F%2Fwww.webofscience.com%2Fwos%2Fwoscc%2Ffull-record%2FWOS:001298122200017","View Full Record in Web of Science")</f>
        <v>View Full Record in Web of Science</v>
      </c>
    </row>
    <row r="561" ht="12.75" customHeight="1">
      <c r="A561" s="1" t="s">
        <v>72</v>
      </c>
      <c r="B561" s="1" t="s">
        <v>5782</v>
      </c>
      <c r="C561" s="1" t="s">
        <v>74</v>
      </c>
      <c r="D561" s="1" t="s">
        <v>74</v>
      </c>
      <c r="E561" s="1" t="s">
        <v>74</v>
      </c>
      <c r="F561" s="1" t="s">
        <v>5783</v>
      </c>
      <c r="G561" s="1" t="s">
        <v>74</v>
      </c>
      <c r="H561" s="1" t="s">
        <v>74</v>
      </c>
      <c r="I561" s="1" t="s">
        <v>5784</v>
      </c>
      <c r="J561" s="1" t="s">
        <v>5785</v>
      </c>
      <c r="K561" s="1" t="s">
        <v>74</v>
      </c>
      <c r="L561" s="1" t="s">
        <v>74</v>
      </c>
      <c r="M561" s="1" t="s">
        <v>74</v>
      </c>
      <c r="N561" s="1" t="s">
        <v>74</v>
      </c>
      <c r="O561" s="1" t="s">
        <v>74</v>
      </c>
      <c r="P561" s="1" t="s">
        <v>74</v>
      </c>
      <c r="Q561" s="1" t="s">
        <v>74</v>
      </c>
      <c r="R561" s="1" t="s">
        <v>74</v>
      </c>
      <c r="S561" s="1" t="s">
        <v>74</v>
      </c>
      <c r="T561" s="1" t="s">
        <v>74</v>
      </c>
      <c r="U561" s="1" t="s">
        <v>74</v>
      </c>
      <c r="V561" s="1" t="s">
        <v>5786</v>
      </c>
      <c r="W561" s="1" t="s">
        <v>74</v>
      </c>
      <c r="X561" s="1" t="s">
        <v>74</v>
      </c>
      <c r="Y561" s="1" t="s">
        <v>74</v>
      </c>
      <c r="Z561" s="1" t="s">
        <v>74</v>
      </c>
      <c r="AA561" s="1" t="s">
        <v>74</v>
      </c>
      <c r="AB561" s="1" t="s">
        <v>74</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5787</v>
      </c>
      <c r="AP561" s="1" t="s">
        <v>74</v>
      </c>
      <c r="AQ561" s="1" t="s">
        <v>74</v>
      </c>
      <c r="AR561" s="1" t="s">
        <v>74</v>
      </c>
      <c r="AS561" s="1" t="s">
        <v>74</v>
      </c>
      <c r="AT561" s="1" t="s">
        <v>74</v>
      </c>
      <c r="AU561" s="1">
        <v>2024.0</v>
      </c>
      <c r="AV561" s="1">
        <v>13.0</v>
      </c>
      <c r="AW561" s="1" t="s">
        <v>74</v>
      </c>
      <c r="AX561" s="1" t="s">
        <v>74</v>
      </c>
      <c r="AY561" s="1">
        <v>3.0</v>
      </c>
      <c r="AZ561" s="1" t="s">
        <v>74</v>
      </c>
      <c r="BA561" s="1" t="s">
        <v>74</v>
      </c>
      <c r="BB561" s="1" t="s">
        <v>74</v>
      </c>
      <c r="BC561" s="1" t="s">
        <v>74</v>
      </c>
      <c r="BD561" s="1">
        <v>1.0</v>
      </c>
      <c r="BE561" s="1" t="s">
        <v>74</v>
      </c>
      <c r="BF561" s="1" t="s">
        <v>74</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5788</v>
      </c>
      <c r="BT561" s="1" t="str">
        <f>HYPERLINK("https%3A%2F%2Fwww.webofscience.com%2Fwos%2Fwoscc%2Ffull-record%2FWOS:001360797000004","View Full Record in Web of Science")</f>
        <v>View Full Record in Web of Science</v>
      </c>
    </row>
    <row r="562" ht="12.75" customHeight="1">
      <c r="A562" s="1" t="s">
        <v>72</v>
      </c>
      <c r="B562" s="1" t="s">
        <v>5789</v>
      </c>
      <c r="C562" s="1" t="s">
        <v>74</v>
      </c>
      <c r="D562" s="1" t="s">
        <v>74</v>
      </c>
      <c r="E562" s="1" t="s">
        <v>74</v>
      </c>
      <c r="F562" s="1" t="s">
        <v>5790</v>
      </c>
      <c r="G562" s="1" t="s">
        <v>74</v>
      </c>
      <c r="H562" s="1" t="s">
        <v>74</v>
      </c>
      <c r="I562" s="1" t="s">
        <v>5791</v>
      </c>
      <c r="J562" s="1" t="s">
        <v>5792</v>
      </c>
      <c r="K562" s="1" t="s">
        <v>74</v>
      </c>
      <c r="L562" s="1" t="s">
        <v>74</v>
      </c>
      <c r="M562" s="1" t="s">
        <v>74</v>
      </c>
      <c r="N562" s="1" t="s">
        <v>74</v>
      </c>
      <c r="O562" s="1" t="s">
        <v>74</v>
      </c>
      <c r="P562" s="1" t="s">
        <v>74</v>
      </c>
      <c r="Q562" s="1" t="s">
        <v>74</v>
      </c>
      <c r="R562" s="1" t="s">
        <v>74</v>
      </c>
      <c r="S562" s="1" t="s">
        <v>74</v>
      </c>
      <c r="T562" s="1" t="s">
        <v>74</v>
      </c>
      <c r="U562" s="1" t="s">
        <v>74</v>
      </c>
      <c r="V562" s="1" t="s">
        <v>5793</v>
      </c>
      <c r="W562" s="1" t="s">
        <v>74</v>
      </c>
      <c r="X562" s="1" t="s">
        <v>74</v>
      </c>
      <c r="Y562" s="1" t="s">
        <v>74</v>
      </c>
      <c r="Z562" s="1" t="s">
        <v>74</v>
      </c>
      <c r="AA562" s="1" t="s">
        <v>5794</v>
      </c>
      <c r="AB562" s="1" t="s">
        <v>74</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5795</v>
      </c>
      <c r="AP562" s="1" t="s">
        <v>74</v>
      </c>
      <c r="AQ562" s="1" t="s">
        <v>74</v>
      </c>
      <c r="AR562" s="1" t="s">
        <v>74</v>
      </c>
      <c r="AS562" s="1" t="s">
        <v>74</v>
      </c>
      <c r="AT562" s="1" t="s">
        <v>74</v>
      </c>
      <c r="AU562" s="1">
        <v>2024.0</v>
      </c>
      <c r="AV562" s="1">
        <v>35.0</v>
      </c>
      <c r="AW562" s="1" t="s">
        <v>74</v>
      </c>
      <c r="AX562" s="1" t="s">
        <v>74</v>
      </c>
      <c r="AY562" s="1" t="s">
        <v>74</v>
      </c>
      <c r="AZ562" s="1" t="s">
        <v>74</v>
      </c>
      <c r="BA562" s="1" t="s">
        <v>74</v>
      </c>
      <c r="BB562" s="1" t="s">
        <v>74</v>
      </c>
      <c r="BC562" s="1" t="s">
        <v>74</v>
      </c>
      <c r="BD562" s="1" t="s">
        <v>5796</v>
      </c>
      <c r="BE562" s="1" t="s">
        <v>5797</v>
      </c>
      <c r="BF562" s="2" t="str">
        <f>HYPERLINK("http://dx.doi.org/10.32930/nuances.v35i00.10410","http://dx.doi.org/10.32930/nuances.v35i00.10410")</f>
        <v>http://dx.doi.org/10.32930/nuances.v35i00.10410</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5798</v>
      </c>
      <c r="BT562" s="1" t="str">
        <f>HYPERLINK("https%3A%2F%2Fwww.webofscience.com%2Fwos%2Fwoscc%2Ffull-record%2FWOS:001286125300001","View Full Record in Web of Science")</f>
        <v>View Full Record in Web of Science</v>
      </c>
    </row>
    <row r="563" ht="12.75" customHeight="1">
      <c r="A563" s="1" t="s">
        <v>72</v>
      </c>
      <c r="B563" s="1" t="s">
        <v>5799</v>
      </c>
      <c r="C563" s="1" t="s">
        <v>74</v>
      </c>
      <c r="D563" s="1" t="s">
        <v>74</v>
      </c>
      <c r="E563" s="1" t="s">
        <v>74</v>
      </c>
      <c r="F563" s="1" t="s">
        <v>5800</v>
      </c>
      <c r="G563" s="1" t="s">
        <v>74</v>
      </c>
      <c r="H563" s="1" t="s">
        <v>74</v>
      </c>
      <c r="I563" s="1" t="s">
        <v>5801</v>
      </c>
      <c r="J563" s="1" t="s">
        <v>253</v>
      </c>
      <c r="K563" s="1" t="s">
        <v>74</v>
      </c>
      <c r="L563" s="1" t="s">
        <v>74</v>
      </c>
      <c r="M563" s="1" t="s">
        <v>74</v>
      </c>
      <c r="N563" s="1" t="s">
        <v>74</v>
      </c>
      <c r="O563" s="1" t="s">
        <v>74</v>
      </c>
      <c r="P563" s="1" t="s">
        <v>74</v>
      </c>
      <c r="Q563" s="1" t="s">
        <v>74</v>
      </c>
      <c r="R563" s="1" t="s">
        <v>74</v>
      </c>
      <c r="S563" s="1" t="s">
        <v>74</v>
      </c>
      <c r="T563" s="1" t="s">
        <v>74</v>
      </c>
      <c r="U563" s="1" t="s">
        <v>74</v>
      </c>
      <c r="V563" s="1" t="s">
        <v>5802</v>
      </c>
      <c r="W563" s="1" t="s">
        <v>74</v>
      </c>
      <c r="X563" s="1" t="s">
        <v>74</v>
      </c>
      <c r="Y563" s="1" t="s">
        <v>74</v>
      </c>
      <c r="Z563" s="1" t="s">
        <v>74</v>
      </c>
      <c r="AA563" s="1" t="s">
        <v>5803</v>
      </c>
      <c r="AB563" s="1" t="s">
        <v>5804</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257</v>
      </c>
      <c r="AP563" s="1" t="s">
        <v>258</v>
      </c>
      <c r="AQ563" s="1" t="s">
        <v>74</v>
      </c>
      <c r="AR563" s="1" t="s">
        <v>74</v>
      </c>
      <c r="AS563" s="1" t="s">
        <v>74</v>
      </c>
      <c r="AT563" s="1" t="s">
        <v>870</v>
      </c>
      <c r="AU563" s="1">
        <v>2023.0</v>
      </c>
      <c r="AV563" s="1">
        <v>588.0</v>
      </c>
      <c r="AW563" s="1" t="s">
        <v>74</v>
      </c>
      <c r="AX563" s="1" t="s">
        <v>2279</v>
      </c>
      <c r="AY563" s="1" t="s">
        <v>74</v>
      </c>
      <c r="AZ563" s="1" t="s">
        <v>74</v>
      </c>
      <c r="BA563" s="1" t="s">
        <v>74</v>
      </c>
      <c r="BB563" s="1" t="s">
        <v>74</v>
      </c>
      <c r="BC563" s="1" t="s">
        <v>74</v>
      </c>
      <c r="BD563" s="1">
        <v>171384.0</v>
      </c>
      <c r="BE563" s="1" t="s">
        <v>5805</v>
      </c>
      <c r="BF563" s="2" t="str">
        <f>HYPERLINK("http://dx.doi.org/10.1016/j.jmmm.2023.171384","http://dx.doi.org/10.1016/j.jmmm.2023.171384")</f>
        <v>http://dx.doi.org/10.1016/j.jmmm.2023.171384</v>
      </c>
      <c r="BG563" s="1" t="s">
        <v>74</v>
      </c>
      <c r="BH563" s="1" t="s">
        <v>5806</v>
      </c>
      <c r="BI563" s="1" t="s">
        <v>74</v>
      </c>
      <c r="BJ563" s="1" t="s">
        <v>74</v>
      </c>
      <c r="BK563" s="1" t="s">
        <v>74</v>
      </c>
      <c r="BL563" s="1" t="s">
        <v>74</v>
      </c>
      <c r="BM563" s="1" t="s">
        <v>74</v>
      </c>
      <c r="BN563" s="1" t="s">
        <v>74</v>
      </c>
      <c r="BO563" s="1" t="s">
        <v>74</v>
      </c>
      <c r="BP563" s="1" t="s">
        <v>74</v>
      </c>
      <c r="BQ563" s="1" t="s">
        <v>74</v>
      </c>
      <c r="BR563" s="1" t="s">
        <v>74</v>
      </c>
      <c r="BS563" s="1" t="s">
        <v>5807</v>
      </c>
      <c r="BT563" s="1" t="str">
        <f>HYPERLINK("https%3A%2F%2Fwww.webofscience.com%2Fwos%2Fwoscc%2Ffull-record%2FWOS:001105431700001","View Full Record in Web of Science")</f>
        <v>View Full Record in Web of Science</v>
      </c>
    </row>
    <row r="564" ht="12.75" customHeight="1">
      <c r="A564" s="1" t="s">
        <v>72</v>
      </c>
      <c r="B564" s="1" t="s">
        <v>5808</v>
      </c>
      <c r="C564" s="1" t="s">
        <v>74</v>
      </c>
      <c r="D564" s="1" t="s">
        <v>74</v>
      </c>
      <c r="E564" s="1" t="s">
        <v>74</v>
      </c>
      <c r="F564" s="1" t="s">
        <v>5809</v>
      </c>
      <c r="G564" s="1" t="s">
        <v>74</v>
      </c>
      <c r="H564" s="1" t="s">
        <v>74</v>
      </c>
      <c r="I564" s="1" t="s">
        <v>5810</v>
      </c>
      <c r="J564" s="1" t="s">
        <v>5811</v>
      </c>
      <c r="K564" s="1" t="s">
        <v>74</v>
      </c>
      <c r="L564" s="1" t="s">
        <v>74</v>
      </c>
      <c r="M564" s="1" t="s">
        <v>74</v>
      </c>
      <c r="N564" s="1" t="s">
        <v>74</v>
      </c>
      <c r="O564" s="1" t="s">
        <v>74</v>
      </c>
      <c r="P564" s="1" t="s">
        <v>74</v>
      </c>
      <c r="Q564" s="1" t="s">
        <v>74</v>
      </c>
      <c r="R564" s="1" t="s">
        <v>74</v>
      </c>
      <c r="S564" s="1" t="s">
        <v>74</v>
      </c>
      <c r="T564" s="1" t="s">
        <v>74</v>
      </c>
      <c r="U564" s="1" t="s">
        <v>74</v>
      </c>
      <c r="V564" s="1" t="s">
        <v>5812</v>
      </c>
      <c r="W564" s="1" t="s">
        <v>74</v>
      </c>
      <c r="X564" s="1" t="s">
        <v>74</v>
      </c>
      <c r="Y564" s="1" t="s">
        <v>74</v>
      </c>
      <c r="Z564" s="1" t="s">
        <v>74</v>
      </c>
      <c r="AA564" s="1" t="s">
        <v>74</v>
      </c>
      <c r="AB564" s="1" t="s">
        <v>74</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74</v>
      </c>
      <c r="AP564" s="1" t="s">
        <v>5813</v>
      </c>
      <c r="AQ564" s="1" t="s">
        <v>74</v>
      </c>
      <c r="AR564" s="1" t="s">
        <v>74</v>
      </c>
      <c r="AS564" s="1" t="s">
        <v>74</v>
      </c>
      <c r="AT564" s="1" t="s">
        <v>2208</v>
      </c>
      <c r="AU564" s="1">
        <v>2023.0</v>
      </c>
      <c r="AV564" s="1">
        <v>34.0</v>
      </c>
      <c r="AW564" s="1">
        <v>1.0</v>
      </c>
      <c r="AX564" s="1" t="s">
        <v>74</v>
      </c>
      <c r="AY564" s="1" t="s">
        <v>74</v>
      </c>
      <c r="AZ564" s="1" t="s">
        <v>74</v>
      </c>
      <c r="BA564" s="1" t="s">
        <v>74</v>
      </c>
      <c r="BB564" s="1">
        <v>71.0</v>
      </c>
      <c r="BC564" s="1">
        <v>74.0</v>
      </c>
      <c r="BD564" s="1" t="s">
        <v>74</v>
      </c>
      <c r="BE564" s="1" t="s">
        <v>5814</v>
      </c>
      <c r="BF564" s="2" t="str">
        <f>HYPERLINK("http://dx.doi.org/10.1016/j.rmclc.2023.01.009","http://dx.doi.org/10.1016/j.rmclc.2023.01.009")</f>
        <v>http://dx.doi.org/10.1016/j.rmclc.2023.01.009</v>
      </c>
      <c r="BG564" s="1" t="s">
        <v>74</v>
      </c>
      <c r="BH564" s="1" t="s">
        <v>5815</v>
      </c>
      <c r="BI564" s="1" t="s">
        <v>74</v>
      </c>
      <c r="BJ564" s="1" t="s">
        <v>74</v>
      </c>
      <c r="BK564" s="1" t="s">
        <v>74</v>
      </c>
      <c r="BL564" s="1" t="s">
        <v>74</v>
      </c>
      <c r="BM564" s="1" t="s">
        <v>74</v>
      </c>
      <c r="BN564" s="1" t="s">
        <v>74</v>
      </c>
      <c r="BO564" s="1" t="s">
        <v>74</v>
      </c>
      <c r="BP564" s="1" t="s">
        <v>74</v>
      </c>
      <c r="BQ564" s="1" t="s">
        <v>74</v>
      </c>
      <c r="BR564" s="1" t="s">
        <v>74</v>
      </c>
      <c r="BS564" s="1" t="s">
        <v>5816</v>
      </c>
      <c r="BT564" s="1" t="str">
        <f>HYPERLINK("https%3A%2F%2Fwww.webofscience.com%2Fwos%2Fwoscc%2Ffull-record%2FWOS:001009458100001","View Full Record in Web of Science")</f>
        <v>View Full Record in Web of Science</v>
      </c>
    </row>
    <row r="565" ht="12.75" customHeight="1">
      <c r="A565" s="1" t="s">
        <v>72</v>
      </c>
      <c r="B565" s="1" t="s">
        <v>5817</v>
      </c>
      <c r="C565" s="1" t="s">
        <v>74</v>
      </c>
      <c r="D565" s="1" t="s">
        <v>74</v>
      </c>
      <c r="E565" s="1" t="s">
        <v>74</v>
      </c>
      <c r="F565" s="1" t="s">
        <v>5818</v>
      </c>
      <c r="G565" s="1" t="s">
        <v>74</v>
      </c>
      <c r="H565" s="1" t="s">
        <v>74</v>
      </c>
      <c r="I565" s="1" t="s">
        <v>5819</v>
      </c>
      <c r="J565" s="1" t="s">
        <v>5820</v>
      </c>
      <c r="K565" s="1" t="s">
        <v>74</v>
      </c>
      <c r="L565" s="1" t="s">
        <v>74</v>
      </c>
      <c r="M565" s="1" t="s">
        <v>74</v>
      </c>
      <c r="N565" s="1" t="s">
        <v>74</v>
      </c>
      <c r="O565" s="1" t="s">
        <v>74</v>
      </c>
      <c r="P565" s="1" t="s">
        <v>74</v>
      </c>
      <c r="Q565" s="1" t="s">
        <v>74</v>
      </c>
      <c r="R565" s="1" t="s">
        <v>74</v>
      </c>
      <c r="S565" s="1" t="s">
        <v>74</v>
      </c>
      <c r="T565" s="1" t="s">
        <v>74</v>
      </c>
      <c r="U565" s="1" t="s">
        <v>74</v>
      </c>
      <c r="V565" s="1" t="s">
        <v>5821</v>
      </c>
      <c r="W565" s="1" t="s">
        <v>74</v>
      </c>
      <c r="X565" s="1" t="s">
        <v>74</v>
      </c>
      <c r="Y565" s="1" t="s">
        <v>74</v>
      </c>
      <c r="Z565" s="1" t="s">
        <v>74</v>
      </c>
      <c r="AA565" s="1" t="s">
        <v>5822</v>
      </c>
      <c r="AB565" s="1" t="s">
        <v>5823</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5824</v>
      </c>
      <c r="AP565" s="1" t="s">
        <v>5825</v>
      </c>
      <c r="AQ565" s="1" t="s">
        <v>74</v>
      </c>
      <c r="AR565" s="1" t="s">
        <v>74</v>
      </c>
      <c r="AS565" s="1" t="s">
        <v>74</v>
      </c>
      <c r="AT565" s="1" t="s">
        <v>2691</v>
      </c>
      <c r="AU565" s="1">
        <v>2022.0</v>
      </c>
      <c r="AV565" s="1">
        <v>269.0</v>
      </c>
      <c r="AW565" s="1" t="s">
        <v>74</v>
      </c>
      <c r="AX565" s="1" t="s">
        <v>74</v>
      </c>
      <c r="AY565" s="1" t="s">
        <v>74</v>
      </c>
      <c r="AZ565" s="1" t="s">
        <v>74</v>
      </c>
      <c r="BA565" s="1" t="s">
        <v>74</v>
      </c>
      <c r="BB565" s="1" t="s">
        <v>74</v>
      </c>
      <c r="BC565" s="1" t="s">
        <v>74</v>
      </c>
      <c r="BD565" s="1">
        <v>120740.0</v>
      </c>
      <c r="BE565" s="1" t="s">
        <v>5826</v>
      </c>
      <c r="BF565" s="2" t="str">
        <f>HYPERLINK("http://dx.doi.org/10.1016/j.saa.2021.120740","http://dx.doi.org/10.1016/j.saa.2021.120740")</f>
        <v>http://dx.doi.org/10.1016/j.saa.2021.120740</v>
      </c>
      <c r="BG565" s="1" t="s">
        <v>74</v>
      </c>
      <c r="BH565" s="1" t="s">
        <v>5827</v>
      </c>
      <c r="BI565" s="1" t="s">
        <v>74</v>
      </c>
      <c r="BJ565" s="1" t="s">
        <v>74</v>
      </c>
      <c r="BK565" s="1" t="s">
        <v>74</v>
      </c>
      <c r="BL565" s="1" t="s">
        <v>74</v>
      </c>
      <c r="BM565" s="1" t="s">
        <v>74</v>
      </c>
      <c r="BN565" s="1">
        <v>3.4968837E7</v>
      </c>
      <c r="BO565" s="1" t="s">
        <v>74</v>
      </c>
      <c r="BP565" s="1" t="s">
        <v>74</v>
      </c>
      <c r="BQ565" s="1" t="s">
        <v>74</v>
      </c>
      <c r="BR565" s="1" t="s">
        <v>74</v>
      </c>
      <c r="BS565" s="1" t="s">
        <v>5828</v>
      </c>
      <c r="BT565" s="1" t="str">
        <f>HYPERLINK("https%3A%2F%2Fwww.webofscience.com%2Fwos%2Fwoscc%2Ffull-record%2FWOS:000751759500008","View Full Record in Web of Science")</f>
        <v>View Full Record in Web of Science</v>
      </c>
    </row>
    <row r="566" ht="12.75" customHeight="1">
      <c r="A566" s="1" t="s">
        <v>72</v>
      </c>
      <c r="B566" s="1" t="s">
        <v>5829</v>
      </c>
      <c r="C566" s="1" t="s">
        <v>74</v>
      </c>
      <c r="D566" s="1" t="s">
        <v>74</v>
      </c>
      <c r="E566" s="1" t="s">
        <v>74</v>
      </c>
      <c r="F566" s="1" t="s">
        <v>5830</v>
      </c>
      <c r="G566" s="1" t="s">
        <v>74</v>
      </c>
      <c r="H566" s="1" t="s">
        <v>74</v>
      </c>
      <c r="I566" s="1" t="s">
        <v>5831</v>
      </c>
      <c r="J566" s="1" t="s">
        <v>4064</v>
      </c>
      <c r="K566" s="1" t="s">
        <v>74</v>
      </c>
      <c r="L566" s="1" t="s">
        <v>74</v>
      </c>
      <c r="M566" s="1" t="s">
        <v>74</v>
      </c>
      <c r="N566" s="1" t="s">
        <v>74</v>
      </c>
      <c r="O566" s="1" t="s">
        <v>74</v>
      </c>
      <c r="P566" s="1" t="s">
        <v>74</v>
      </c>
      <c r="Q566" s="1" t="s">
        <v>74</v>
      </c>
      <c r="R566" s="1" t="s">
        <v>74</v>
      </c>
      <c r="S566" s="1" t="s">
        <v>74</v>
      </c>
      <c r="T566" s="1" t="s">
        <v>74</v>
      </c>
      <c r="U566" s="1" t="s">
        <v>74</v>
      </c>
      <c r="V566" s="1" t="s">
        <v>5832</v>
      </c>
      <c r="W566" s="1" t="s">
        <v>74</v>
      </c>
      <c r="X566" s="1" t="s">
        <v>74</v>
      </c>
      <c r="Y566" s="1" t="s">
        <v>74</v>
      </c>
      <c r="Z566" s="1" t="s">
        <v>74</v>
      </c>
      <c r="AA566" s="1" t="s">
        <v>5833</v>
      </c>
      <c r="AB566" s="1" t="s">
        <v>5834</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4068</v>
      </c>
      <c r="AP566" s="1" t="s">
        <v>4069</v>
      </c>
      <c r="AQ566" s="1" t="s">
        <v>74</v>
      </c>
      <c r="AR566" s="1" t="s">
        <v>74</v>
      </c>
      <c r="AS566" s="1" t="s">
        <v>74</v>
      </c>
      <c r="AT566" s="1" t="s">
        <v>5835</v>
      </c>
      <c r="AU566" s="1">
        <v>2021.0</v>
      </c>
      <c r="AV566" s="1">
        <v>104.0</v>
      </c>
      <c r="AW566" s="1">
        <v>20.0</v>
      </c>
      <c r="AX566" s="1" t="s">
        <v>74</v>
      </c>
      <c r="AY566" s="1" t="s">
        <v>74</v>
      </c>
      <c r="AZ566" s="1" t="s">
        <v>74</v>
      </c>
      <c r="BA566" s="1" t="s">
        <v>74</v>
      </c>
      <c r="BB566" s="1" t="s">
        <v>74</v>
      </c>
      <c r="BC566" s="1" t="s">
        <v>74</v>
      </c>
      <c r="BD566" s="1">
        <v>184406.0</v>
      </c>
      <c r="BE566" s="1" t="s">
        <v>5836</v>
      </c>
      <c r="BF566" s="2" t="str">
        <f>HYPERLINK("http://dx.doi.org/10.1103/PhysRevB.104.184406","http://dx.doi.org/10.1103/PhysRevB.104.184406")</f>
        <v>http://dx.doi.org/10.1103/PhysRevB.104.184406</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5837</v>
      </c>
      <c r="BT566" s="1" t="str">
        <f>HYPERLINK("https%3A%2F%2Fwww.webofscience.com%2Fwos%2Fwoscc%2Ffull-record%2FWOS:000717972500009","View Full Record in Web of Science")</f>
        <v>View Full Record in Web of Science</v>
      </c>
    </row>
    <row r="567" ht="12.75" customHeight="1">
      <c r="A567" s="1" t="s">
        <v>72</v>
      </c>
      <c r="B567" s="1" t="s">
        <v>5838</v>
      </c>
      <c r="C567" s="1" t="s">
        <v>74</v>
      </c>
      <c r="D567" s="1" t="s">
        <v>74</v>
      </c>
      <c r="E567" s="1" t="s">
        <v>74</v>
      </c>
      <c r="F567" s="1" t="s">
        <v>5839</v>
      </c>
      <c r="G567" s="1" t="s">
        <v>74</v>
      </c>
      <c r="H567" s="1" t="s">
        <v>74</v>
      </c>
      <c r="I567" s="1" t="s">
        <v>5840</v>
      </c>
      <c r="J567" s="1" t="s">
        <v>5841</v>
      </c>
      <c r="K567" s="1" t="s">
        <v>74</v>
      </c>
      <c r="L567" s="1" t="s">
        <v>74</v>
      </c>
      <c r="M567" s="1" t="s">
        <v>74</v>
      </c>
      <c r="N567" s="1" t="s">
        <v>74</v>
      </c>
      <c r="O567" s="1" t="s">
        <v>74</v>
      </c>
      <c r="P567" s="1" t="s">
        <v>74</v>
      </c>
      <c r="Q567" s="1" t="s">
        <v>74</v>
      </c>
      <c r="R567" s="1" t="s">
        <v>74</v>
      </c>
      <c r="S567" s="1" t="s">
        <v>74</v>
      </c>
      <c r="T567" s="1" t="s">
        <v>74</v>
      </c>
      <c r="U567" s="1" t="s">
        <v>74</v>
      </c>
      <c r="V567" s="1" t="s">
        <v>5842</v>
      </c>
      <c r="W567" s="1" t="s">
        <v>74</v>
      </c>
      <c r="X567" s="1" t="s">
        <v>74</v>
      </c>
      <c r="Y567" s="1" t="s">
        <v>74</v>
      </c>
      <c r="Z567" s="1" t="s">
        <v>74</v>
      </c>
      <c r="AA567" s="1" t="s">
        <v>5843</v>
      </c>
      <c r="AB567" s="1" t="s">
        <v>5844</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74</v>
      </c>
      <c r="AP567" s="1" t="s">
        <v>5845</v>
      </c>
      <c r="AQ567" s="1" t="s">
        <v>74</v>
      </c>
      <c r="AR567" s="1" t="s">
        <v>74</v>
      </c>
      <c r="AS567" s="1" t="s">
        <v>74</v>
      </c>
      <c r="AT567" s="1" t="s">
        <v>94</v>
      </c>
      <c r="AU567" s="1">
        <v>2021.0</v>
      </c>
      <c r="AV567" s="1">
        <v>6.0</v>
      </c>
      <c r="AW567" s="1">
        <v>6.0</v>
      </c>
      <c r="AX567" s="1" t="s">
        <v>74</v>
      </c>
      <c r="AY567" s="1" t="s">
        <v>74</v>
      </c>
      <c r="AZ567" s="1" t="s">
        <v>74</v>
      </c>
      <c r="BA567" s="1" t="s">
        <v>74</v>
      </c>
      <c r="BB567" s="1" t="s">
        <v>74</v>
      </c>
      <c r="BC567" s="1" t="s">
        <v>74</v>
      </c>
      <c r="BD567" s="1">
        <v>222.0</v>
      </c>
      <c r="BE567" s="1" t="s">
        <v>5846</v>
      </c>
      <c r="BF567" s="2" t="str">
        <f>HYPERLINK("http://dx.doi.org/10.3390/fluids6060222","http://dx.doi.org/10.3390/fluids6060222")</f>
        <v>http://dx.doi.org/10.3390/fluids6060222</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5847</v>
      </c>
      <c r="BT567" s="1" t="str">
        <f>HYPERLINK("https%3A%2F%2Fwww.webofscience.com%2Fwos%2Fwoscc%2Ffull-record%2FWOS:000666748900001","View Full Record in Web of Science")</f>
        <v>View Full Record in Web of Science</v>
      </c>
    </row>
    <row r="568" ht="12.75" customHeight="1">
      <c r="A568" s="1" t="s">
        <v>72</v>
      </c>
      <c r="B568" s="1" t="s">
        <v>5848</v>
      </c>
      <c r="C568" s="1" t="s">
        <v>74</v>
      </c>
      <c r="D568" s="1" t="s">
        <v>74</v>
      </c>
      <c r="E568" s="1" t="s">
        <v>74</v>
      </c>
      <c r="F568" s="1" t="s">
        <v>5849</v>
      </c>
      <c r="G568" s="1" t="s">
        <v>74</v>
      </c>
      <c r="H568" s="1" t="s">
        <v>74</v>
      </c>
      <c r="I568" s="1" t="s">
        <v>5850</v>
      </c>
      <c r="J568" s="1" t="s">
        <v>4135</v>
      </c>
      <c r="K568" s="1" t="s">
        <v>74</v>
      </c>
      <c r="L568" s="1" t="s">
        <v>74</v>
      </c>
      <c r="M568" s="1" t="s">
        <v>74</v>
      </c>
      <c r="N568" s="1" t="s">
        <v>74</v>
      </c>
      <c r="O568" s="1" t="s">
        <v>74</v>
      </c>
      <c r="P568" s="1" t="s">
        <v>74</v>
      </c>
      <c r="Q568" s="1" t="s">
        <v>74</v>
      </c>
      <c r="R568" s="1" t="s">
        <v>74</v>
      </c>
      <c r="S568" s="1" t="s">
        <v>74</v>
      </c>
      <c r="T568" s="1" t="s">
        <v>74</v>
      </c>
      <c r="U568" s="1" t="s">
        <v>74</v>
      </c>
      <c r="V568" s="1" t="s">
        <v>5851</v>
      </c>
      <c r="W568" s="1" t="s">
        <v>74</v>
      </c>
      <c r="X568" s="1" t="s">
        <v>74</v>
      </c>
      <c r="Y568" s="1" t="s">
        <v>74</v>
      </c>
      <c r="Z568" s="1" t="s">
        <v>74</v>
      </c>
      <c r="AA568" s="1" t="s">
        <v>5852</v>
      </c>
      <c r="AB568" s="1" t="s">
        <v>5853</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4137</v>
      </c>
      <c r="AP568" s="1" t="s">
        <v>74</v>
      </c>
      <c r="AQ568" s="1" t="s">
        <v>74</v>
      </c>
      <c r="AR568" s="1" t="s">
        <v>74</v>
      </c>
      <c r="AS568" s="1" t="s">
        <v>74</v>
      </c>
      <c r="AT568" s="1" t="s">
        <v>74</v>
      </c>
      <c r="AU568" s="1">
        <v>2021.0</v>
      </c>
      <c r="AV568" s="1">
        <v>13.0</v>
      </c>
      <c r="AW568" s="1" t="s">
        <v>74</v>
      </c>
      <c r="AX568" s="1" t="s">
        <v>74</v>
      </c>
      <c r="AY568" s="1" t="s">
        <v>178</v>
      </c>
      <c r="AZ568" s="1" t="s">
        <v>74</v>
      </c>
      <c r="BA568" s="1" t="s">
        <v>74</v>
      </c>
      <c r="BB568" s="1">
        <v>75.0</v>
      </c>
      <c r="BC568" s="1">
        <v>86.0</v>
      </c>
      <c r="BD568" s="1" t="s">
        <v>74</v>
      </c>
      <c r="BE568" s="1" t="s">
        <v>74</v>
      </c>
      <c r="BF568" s="1" t="s">
        <v>74</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5854</v>
      </c>
      <c r="BT568" s="1" t="str">
        <f>HYPERLINK("https%3A%2F%2Fwww.webofscience.com%2Fwos%2Fwoscc%2Ffull-record%2FWOS:000709411800006","View Full Record in Web of Science")</f>
        <v>View Full Record in Web of Science</v>
      </c>
    </row>
    <row r="569" ht="12.75" customHeight="1">
      <c r="A569" s="1" t="s">
        <v>72</v>
      </c>
      <c r="B569" s="1" t="s">
        <v>5855</v>
      </c>
      <c r="C569" s="1" t="s">
        <v>74</v>
      </c>
      <c r="D569" s="1" t="s">
        <v>74</v>
      </c>
      <c r="E569" s="1" t="s">
        <v>74</v>
      </c>
      <c r="F569" s="1" t="s">
        <v>5856</v>
      </c>
      <c r="G569" s="1" t="s">
        <v>74</v>
      </c>
      <c r="H569" s="1" t="s">
        <v>74</v>
      </c>
      <c r="I569" s="1" t="s">
        <v>5857</v>
      </c>
      <c r="J569" s="1" t="s">
        <v>3127</v>
      </c>
      <c r="K569" s="1" t="s">
        <v>74</v>
      </c>
      <c r="L569" s="1" t="s">
        <v>74</v>
      </c>
      <c r="M569" s="1" t="s">
        <v>74</v>
      </c>
      <c r="N569" s="1" t="s">
        <v>74</v>
      </c>
      <c r="O569" s="1" t="s">
        <v>74</v>
      </c>
      <c r="P569" s="1" t="s">
        <v>74</v>
      </c>
      <c r="Q569" s="1" t="s">
        <v>74</v>
      </c>
      <c r="R569" s="1" t="s">
        <v>74</v>
      </c>
      <c r="S569" s="1" t="s">
        <v>74</v>
      </c>
      <c r="T569" s="1" t="s">
        <v>74</v>
      </c>
      <c r="U569" s="1" t="s">
        <v>74</v>
      </c>
      <c r="V569" s="1" t="s">
        <v>5858</v>
      </c>
      <c r="W569" s="1" t="s">
        <v>74</v>
      </c>
      <c r="X569" s="1" t="s">
        <v>74</v>
      </c>
      <c r="Y569" s="1" t="s">
        <v>74</v>
      </c>
      <c r="Z569" s="1" t="s">
        <v>74</v>
      </c>
      <c r="AA569" s="1" t="s">
        <v>5859</v>
      </c>
      <c r="AB569" s="1" t="s">
        <v>5860</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74</v>
      </c>
      <c r="AP569" s="1" t="s">
        <v>3131</v>
      </c>
      <c r="AQ569" s="1" t="s">
        <v>74</v>
      </c>
      <c r="AR569" s="1" t="s">
        <v>74</v>
      </c>
      <c r="AS569" s="1" t="s">
        <v>74</v>
      </c>
      <c r="AT569" s="1" t="s">
        <v>5861</v>
      </c>
      <c r="AU569" s="1">
        <v>2020.0</v>
      </c>
      <c r="AV569" s="1">
        <v>10.0</v>
      </c>
      <c r="AW569" s="1">
        <v>57.0</v>
      </c>
      <c r="AX569" s="1" t="s">
        <v>74</v>
      </c>
      <c r="AY569" s="1" t="s">
        <v>74</v>
      </c>
      <c r="AZ569" s="1" t="s">
        <v>74</v>
      </c>
      <c r="BA569" s="1" t="s">
        <v>74</v>
      </c>
      <c r="BB569" s="1">
        <v>34712.0</v>
      </c>
      <c r="BC569" s="1">
        <v>34718.0</v>
      </c>
      <c r="BD569" s="1" t="s">
        <v>74</v>
      </c>
      <c r="BE569" s="1" t="s">
        <v>5862</v>
      </c>
      <c r="BF569" s="2" t="str">
        <f>HYPERLINK("http://dx.doi.org/10.1039/d0ra07017c","http://dx.doi.org/10.1039/d0ra07017c")</f>
        <v>http://dx.doi.org/10.1039/d0ra07017c</v>
      </c>
      <c r="BG569" s="1" t="s">
        <v>74</v>
      </c>
      <c r="BH569" s="1" t="s">
        <v>74</v>
      </c>
      <c r="BI569" s="1" t="s">
        <v>74</v>
      </c>
      <c r="BJ569" s="1" t="s">
        <v>74</v>
      </c>
      <c r="BK569" s="1" t="s">
        <v>74</v>
      </c>
      <c r="BL569" s="1" t="s">
        <v>74</v>
      </c>
      <c r="BM569" s="1" t="s">
        <v>74</v>
      </c>
      <c r="BN569" s="1">
        <v>3.5514389E7</v>
      </c>
      <c r="BO569" s="1" t="s">
        <v>74</v>
      </c>
      <c r="BP569" s="1" t="s">
        <v>74</v>
      </c>
      <c r="BQ569" s="1" t="s">
        <v>74</v>
      </c>
      <c r="BR569" s="1" t="s">
        <v>74</v>
      </c>
      <c r="BS569" s="1" t="s">
        <v>5863</v>
      </c>
      <c r="BT569" s="1" t="str">
        <f>HYPERLINK("https%3A%2F%2Fwww.webofscience.com%2Fwos%2Fwoscc%2Ffull-record%2FWOS:000572299600038","View Full Record in Web of Science")</f>
        <v>View Full Record in Web of Science</v>
      </c>
    </row>
    <row r="570" ht="12.75" customHeight="1">
      <c r="A570" s="1" t="s">
        <v>72</v>
      </c>
      <c r="B570" s="1" t="s">
        <v>5864</v>
      </c>
      <c r="C570" s="1" t="s">
        <v>74</v>
      </c>
      <c r="D570" s="1" t="s">
        <v>74</v>
      </c>
      <c r="E570" s="1" t="s">
        <v>74</v>
      </c>
      <c r="F570" s="1" t="s">
        <v>5865</v>
      </c>
      <c r="G570" s="1" t="s">
        <v>74</v>
      </c>
      <c r="H570" s="1" t="s">
        <v>74</v>
      </c>
      <c r="I570" s="1" t="s">
        <v>5866</v>
      </c>
      <c r="J570" s="1" t="s">
        <v>4064</v>
      </c>
      <c r="K570" s="1" t="s">
        <v>74</v>
      </c>
      <c r="L570" s="1" t="s">
        <v>74</v>
      </c>
      <c r="M570" s="1" t="s">
        <v>74</v>
      </c>
      <c r="N570" s="1" t="s">
        <v>74</v>
      </c>
      <c r="O570" s="1" t="s">
        <v>74</v>
      </c>
      <c r="P570" s="1" t="s">
        <v>74</v>
      </c>
      <c r="Q570" s="1" t="s">
        <v>74</v>
      </c>
      <c r="R570" s="1" t="s">
        <v>74</v>
      </c>
      <c r="S570" s="1" t="s">
        <v>74</v>
      </c>
      <c r="T570" s="1" t="s">
        <v>74</v>
      </c>
      <c r="U570" s="1" t="s">
        <v>74</v>
      </c>
      <c r="V570" s="1" t="s">
        <v>5867</v>
      </c>
      <c r="W570" s="1" t="s">
        <v>74</v>
      </c>
      <c r="X570" s="1" t="s">
        <v>74</v>
      </c>
      <c r="Y570" s="1" t="s">
        <v>74</v>
      </c>
      <c r="Z570" s="1" t="s">
        <v>74</v>
      </c>
      <c r="AA570" s="1" t="s">
        <v>5868</v>
      </c>
      <c r="AB570" s="1" t="s">
        <v>5869</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4068</v>
      </c>
      <c r="AP570" s="1" t="s">
        <v>4069</v>
      </c>
      <c r="AQ570" s="1" t="s">
        <v>74</v>
      </c>
      <c r="AR570" s="1" t="s">
        <v>74</v>
      </c>
      <c r="AS570" s="1" t="s">
        <v>74</v>
      </c>
      <c r="AT570" s="1" t="s">
        <v>4513</v>
      </c>
      <c r="AU570" s="1">
        <v>2020.0</v>
      </c>
      <c r="AV570" s="1">
        <v>102.0</v>
      </c>
      <c r="AW570" s="1">
        <v>2.0</v>
      </c>
      <c r="AX570" s="1" t="s">
        <v>74</v>
      </c>
      <c r="AY570" s="1" t="s">
        <v>74</v>
      </c>
      <c r="AZ570" s="1" t="s">
        <v>74</v>
      </c>
      <c r="BA570" s="1" t="s">
        <v>74</v>
      </c>
      <c r="BB570" s="1" t="s">
        <v>74</v>
      </c>
      <c r="BC570" s="1" t="s">
        <v>74</v>
      </c>
      <c r="BD570" s="1">
        <v>24409.0</v>
      </c>
      <c r="BE570" s="1" t="s">
        <v>5870</v>
      </c>
      <c r="BF570" s="2" t="str">
        <f>HYPERLINK("http://dx.doi.org/10.1103/PhysRevB.102.024409","http://dx.doi.org/10.1103/PhysRevB.102.024409")</f>
        <v>http://dx.doi.org/10.1103/PhysRevB.102.024409</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5871</v>
      </c>
      <c r="BT570" s="1" t="str">
        <f>HYPERLINK("https%3A%2F%2Fwww.webofscience.com%2Fwos%2Fwoscc%2Ffull-record%2FWOS:000545539000011","View Full Record in Web of Science")</f>
        <v>View Full Record in Web of Science</v>
      </c>
    </row>
    <row r="571" ht="12.75" customHeight="1">
      <c r="A571" s="1" t="s">
        <v>72</v>
      </c>
      <c r="B571" s="1" t="s">
        <v>5872</v>
      </c>
      <c r="C571" s="1" t="s">
        <v>74</v>
      </c>
      <c r="D571" s="1" t="s">
        <v>74</v>
      </c>
      <c r="E571" s="1" t="s">
        <v>74</v>
      </c>
      <c r="F571" s="1" t="s">
        <v>5873</v>
      </c>
      <c r="G571" s="1" t="s">
        <v>74</v>
      </c>
      <c r="H571" s="1" t="s">
        <v>74</v>
      </c>
      <c r="I571" s="1" t="s">
        <v>5874</v>
      </c>
      <c r="J571" s="1" t="s">
        <v>3379</v>
      </c>
      <c r="K571" s="1" t="s">
        <v>74</v>
      </c>
      <c r="L571" s="1" t="s">
        <v>74</v>
      </c>
      <c r="M571" s="1" t="s">
        <v>74</v>
      </c>
      <c r="N571" s="1" t="s">
        <v>74</v>
      </c>
      <c r="O571" s="1" t="s">
        <v>74</v>
      </c>
      <c r="P571" s="1" t="s">
        <v>74</v>
      </c>
      <c r="Q571" s="1" t="s">
        <v>74</v>
      </c>
      <c r="R571" s="1" t="s">
        <v>74</v>
      </c>
      <c r="S571" s="1" t="s">
        <v>74</v>
      </c>
      <c r="T571" s="1" t="s">
        <v>74</v>
      </c>
      <c r="U571" s="1" t="s">
        <v>74</v>
      </c>
      <c r="V571" s="1" t="s">
        <v>5875</v>
      </c>
      <c r="W571" s="1" t="s">
        <v>74</v>
      </c>
      <c r="X571" s="1" t="s">
        <v>74</v>
      </c>
      <c r="Y571" s="1" t="s">
        <v>74</v>
      </c>
      <c r="Z571" s="1" t="s">
        <v>74</v>
      </c>
      <c r="AA571" s="1" t="s">
        <v>74</v>
      </c>
      <c r="AB571" s="1" t="s">
        <v>74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3387</v>
      </c>
      <c r="AP571" s="1" t="s">
        <v>5876</v>
      </c>
      <c r="AQ571" s="1" t="s">
        <v>74</v>
      </c>
      <c r="AR571" s="1" t="s">
        <v>74</v>
      </c>
      <c r="AS571" s="1" t="s">
        <v>74</v>
      </c>
      <c r="AT571" s="1" t="s">
        <v>1657</v>
      </c>
      <c r="AU571" s="1">
        <v>2019.0</v>
      </c>
      <c r="AV571" s="1">
        <v>565.0</v>
      </c>
      <c r="AW571" s="1" t="s">
        <v>74</v>
      </c>
      <c r="AX571" s="1" t="s">
        <v>74</v>
      </c>
      <c r="AY571" s="1" t="s">
        <v>74</v>
      </c>
      <c r="AZ571" s="1" t="s">
        <v>74</v>
      </c>
      <c r="BA571" s="1" t="s">
        <v>74</v>
      </c>
      <c r="BB571" s="1">
        <v>14.0</v>
      </c>
      <c r="BC571" s="1">
        <v>17.0</v>
      </c>
      <c r="BD571" s="1" t="s">
        <v>74</v>
      </c>
      <c r="BE571" s="1" t="s">
        <v>5877</v>
      </c>
      <c r="BF571" s="2" t="str">
        <f>HYPERLINK("http://dx.doi.org/10.1016/j.physb.2019.04.028","http://dx.doi.org/10.1016/j.physb.2019.04.028")</f>
        <v>http://dx.doi.org/10.1016/j.physb.2019.04.028</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5878</v>
      </c>
      <c r="BT571" s="1" t="str">
        <f>HYPERLINK("https%3A%2F%2Fwww.webofscience.com%2Fwos%2Fwoscc%2Ffull-record%2FWOS:000468173100003","View Full Record in Web of Science")</f>
        <v>View Full Record in Web of Science</v>
      </c>
    </row>
    <row r="572" ht="12.75" customHeight="1">
      <c r="A572" s="1" t="s">
        <v>72</v>
      </c>
      <c r="B572" s="1" t="s">
        <v>5879</v>
      </c>
      <c r="C572" s="1" t="s">
        <v>74</v>
      </c>
      <c r="D572" s="1" t="s">
        <v>74</v>
      </c>
      <c r="E572" s="1" t="s">
        <v>74</v>
      </c>
      <c r="F572" s="1" t="s">
        <v>5880</v>
      </c>
      <c r="G572" s="1" t="s">
        <v>74</v>
      </c>
      <c r="H572" s="1" t="s">
        <v>74</v>
      </c>
      <c r="I572" s="1" t="s">
        <v>5881</v>
      </c>
      <c r="J572" s="1" t="s">
        <v>5882</v>
      </c>
      <c r="K572" s="1" t="s">
        <v>74</v>
      </c>
      <c r="L572" s="1" t="s">
        <v>74</v>
      </c>
      <c r="M572" s="1" t="s">
        <v>74</v>
      </c>
      <c r="N572" s="1" t="s">
        <v>74</v>
      </c>
      <c r="O572" s="1" t="s">
        <v>74</v>
      </c>
      <c r="P572" s="1" t="s">
        <v>74</v>
      </c>
      <c r="Q572" s="1" t="s">
        <v>74</v>
      </c>
      <c r="R572" s="1" t="s">
        <v>74</v>
      </c>
      <c r="S572" s="1" t="s">
        <v>74</v>
      </c>
      <c r="T572" s="1" t="s">
        <v>74</v>
      </c>
      <c r="U572" s="1" t="s">
        <v>74</v>
      </c>
      <c r="V572" s="1" t="s">
        <v>5883</v>
      </c>
      <c r="W572" s="1" t="s">
        <v>74</v>
      </c>
      <c r="X572" s="1" t="s">
        <v>74</v>
      </c>
      <c r="Y572" s="1" t="s">
        <v>74</v>
      </c>
      <c r="Z572" s="1" t="s">
        <v>74</v>
      </c>
      <c r="AA572" s="1" t="s">
        <v>5884</v>
      </c>
      <c r="AB572" s="1" t="s">
        <v>5885</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5886</v>
      </c>
      <c r="AP572" s="1" t="s">
        <v>5887</v>
      </c>
      <c r="AQ572" s="1" t="s">
        <v>74</v>
      </c>
      <c r="AR572" s="1" t="s">
        <v>74</v>
      </c>
      <c r="AS572" s="1" t="s">
        <v>74</v>
      </c>
      <c r="AT572" s="1" t="s">
        <v>745</v>
      </c>
      <c r="AU572" s="1">
        <v>2019.0</v>
      </c>
      <c r="AV572" s="1">
        <v>33.0</v>
      </c>
      <c r="AW572" s="1" t="s">
        <v>74</v>
      </c>
      <c r="AX572" s="1" t="s">
        <v>74</v>
      </c>
      <c r="AY572" s="1" t="s">
        <v>74</v>
      </c>
      <c r="AZ572" s="1" t="s">
        <v>74</v>
      </c>
      <c r="BA572" s="1" t="s">
        <v>74</v>
      </c>
      <c r="BB572" s="1">
        <v>134.0</v>
      </c>
      <c r="BC572" s="1">
        <v>143.0</v>
      </c>
      <c r="BD572" s="1" t="s">
        <v>74</v>
      </c>
      <c r="BE572" s="1" t="s">
        <v>5888</v>
      </c>
      <c r="BF572" s="2" t="str">
        <f>HYPERLINK("http://dx.doi.org/10.1016/j.ehb.2018.11.003","http://dx.doi.org/10.1016/j.ehb.2018.11.003")</f>
        <v>http://dx.doi.org/10.1016/j.ehb.2018.11.003</v>
      </c>
      <c r="BG572" s="1" t="s">
        <v>74</v>
      </c>
      <c r="BH572" s="1" t="s">
        <v>74</v>
      </c>
      <c r="BI572" s="1" t="s">
        <v>74</v>
      </c>
      <c r="BJ572" s="1" t="s">
        <v>74</v>
      </c>
      <c r="BK572" s="1" t="s">
        <v>74</v>
      </c>
      <c r="BL572" s="1" t="s">
        <v>74</v>
      </c>
      <c r="BM572" s="1" t="s">
        <v>74</v>
      </c>
      <c r="BN572" s="1">
        <v>3.0901619E7</v>
      </c>
      <c r="BO572" s="1" t="s">
        <v>74</v>
      </c>
      <c r="BP572" s="1" t="s">
        <v>74</v>
      </c>
      <c r="BQ572" s="1" t="s">
        <v>74</v>
      </c>
      <c r="BR572" s="1" t="s">
        <v>74</v>
      </c>
      <c r="BS572" s="1" t="s">
        <v>5889</v>
      </c>
      <c r="BT572" s="1" t="str">
        <f>HYPERLINK("https%3A%2F%2Fwww.webofscience.com%2Fwos%2Fwoscc%2Ffull-record%2FWOS:000468014000011","View Full Record in Web of Science")</f>
        <v>View Full Record in Web of Science</v>
      </c>
    </row>
    <row r="573" ht="12.75" customHeight="1">
      <c r="A573" s="1" t="s">
        <v>748</v>
      </c>
      <c r="B573" s="1" t="s">
        <v>5890</v>
      </c>
      <c r="C573" s="1" t="s">
        <v>74</v>
      </c>
      <c r="D573" s="1" t="s">
        <v>5891</v>
      </c>
      <c r="E573" s="1" t="s">
        <v>74</v>
      </c>
      <c r="F573" s="1" t="s">
        <v>5892</v>
      </c>
      <c r="G573" s="1" t="s">
        <v>74</v>
      </c>
      <c r="H573" s="1" t="s">
        <v>74</v>
      </c>
      <c r="I573" s="1" t="s">
        <v>5893</v>
      </c>
      <c r="J573" s="1" t="s">
        <v>5894</v>
      </c>
      <c r="K573" s="1" t="s">
        <v>5895</v>
      </c>
      <c r="L573" s="1" t="s">
        <v>74</v>
      </c>
      <c r="M573" s="1" t="s">
        <v>74</v>
      </c>
      <c r="N573" s="1" t="s">
        <v>74</v>
      </c>
      <c r="O573" s="1" t="s">
        <v>74</v>
      </c>
      <c r="P573" s="1" t="s">
        <v>74</v>
      </c>
      <c r="Q573" s="1" t="s">
        <v>74</v>
      </c>
      <c r="R573" s="1" t="s">
        <v>74</v>
      </c>
      <c r="S573" s="1" t="s">
        <v>74</v>
      </c>
      <c r="T573" s="1" t="s">
        <v>74</v>
      </c>
      <c r="U573" s="1" t="s">
        <v>74</v>
      </c>
      <c r="V573" s="1" t="s">
        <v>74</v>
      </c>
      <c r="W573" s="1" t="s">
        <v>74</v>
      </c>
      <c r="X573" s="1" t="s">
        <v>74</v>
      </c>
      <c r="Y573" s="1" t="s">
        <v>74</v>
      </c>
      <c r="Z573" s="1" t="s">
        <v>74</v>
      </c>
      <c r="AA573" s="1" t="s">
        <v>5896</v>
      </c>
      <c r="AB573" s="1" t="s">
        <v>5897</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74</v>
      </c>
      <c r="AP573" s="1" t="s">
        <v>74</v>
      </c>
      <c r="AQ573" s="1" t="s">
        <v>5898</v>
      </c>
      <c r="AR573" s="1" t="s">
        <v>74</v>
      </c>
      <c r="AS573" s="1" t="s">
        <v>74</v>
      </c>
      <c r="AT573" s="1" t="s">
        <v>74</v>
      </c>
      <c r="AU573" s="1">
        <v>2019.0</v>
      </c>
      <c r="AV573" s="1" t="s">
        <v>74</v>
      </c>
      <c r="AW573" s="1" t="s">
        <v>74</v>
      </c>
      <c r="AX573" s="1" t="s">
        <v>74</v>
      </c>
      <c r="AY573" s="1" t="s">
        <v>74</v>
      </c>
      <c r="AZ573" s="1" t="s">
        <v>74</v>
      </c>
      <c r="BA573" s="1" t="s">
        <v>74</v>
      </c>
      <c r="BB573" s="1">
        <v>109.0</v>
      </c>
      <c r="BC573" s="1">
        <v>150.0</v>
      </c>
      <c r="BD573" s="1" t="s">
        <v>74</v>
      </c>
      <c r="BE573" s="1" t="s">
        <v>5899</v>
      </c>
      <c r="BF573" s="2" t="str">
        <f>HYPERLINK("http://dx.doi.org/10.1016/B978-0-12-814829-7.00003-3","http://dx.doi.org/10.1016/B978-0-12-814829-7.00003-3")</f>
        <v>http://dx.doi.org/10.1016/B978-0-12-814829-7.00003-3</v>
      </c>
      <c r="BG573" s="1" t="s">
        <v>5900</v>
      </c>
      <c r="BH573" s="1" t="s">
        <v>74</v>
      </c>
      <c r="BI573" s="1" t="s">
        <v>74</v>
      </c>
      <c r="BJ573" s="1" t="s">
        <v>74</v>
      </c>
      <c r="BK573" s="1" t="s">
        <v>74</v>
      </c>
      <c r="BL573" s="1" t="s">
        <v>74</v>
      </c>
      <c r="BM573" s="1" t="s">
        <v>74</v>
      </c>
      <c r="BN573" s="1" t="s">
        <v>74</v>
      </c>
      <c r="BO573" s="1" t="s">
        <v>74</v>
      </c>
      <c r="BP573" s="1" t="s">
        <v>74</v>
      </c>
      <c r="BQ573" s="1" t="s">
        <v>74</v>
      </c>
      <c r="BR573" s="1" t="s">
        <v>74</v>
      </c>
      <c r="BS573" s="1" t="s">
        <v>5901</v>
      </c>
      <c r="BT573" s="1" t="str">
        <f>HYPERLINK("https%3A%2F%2Fwww.webofscience.com%2Fwos%2Fwoscc%2Ffull-record%2FWOS:000555438800004","View Full Record in Web of Science")</f>
        <v>View Full Record in Web of Science</v>
      </c>
    </row>
    <row r="574" ht="12.75" customHeight="1">
      <c r="A574" s="1" t="s">
        <v>72</v>
      </c>
      <c r="B574" s="1" t="s">
        <v>5902</v>
      </c>
      <c r="C574" s="1" t="s">
        <v>74</v>
      </c>
      <c r="D574" s="1" t="s">
        <v>74</v>
      </c>
      <c r="E574" s="1" t="s">
        <v>74</v>
      </c>
      <c r="F574" s="1" t="s">
        <v>5903</v>
      </c>
      <c r="G574" s="1" t="s">
        <v>74</v>
      </c>
      <c r="H574" s="1" t="s">
        <v>74</v>
      </c>
      <c r="I574" s="1" t="s">
        <v>5904</v>
      </c>
      <c r="J574" s="1" t="s">
        <v>5590</v>
      </c>
      <c r="K574" s="1" t="s">
        <v>74</v>
      </c>
      <c r="L574" s="1" t="s">
        <v>74</v>
      </c>
      <c r="M574" s="1" t="s">
        <v>74</v>
      </c>
      <c r="N574" s="1" t="s">
        <v>74</v>
      </c>
      <c r="O574" s="1" t="s">
        <v>74</v>
      </c>
      <c r="P574" s="1" t="s">
        <v>74</v>
      </c>
      <c r="Q574" s="1" t="s">
        <v>74</v>
      </c>
      <c r="R574" s="1" t="s">
        <v>74</v>
      </c>
      <c r="S574" s="1" t="s">
        <v>74</v>
      </c>
      <c r="T574" s="1" t="s">
        <v>74</v>
      </c>
      <c r="U574" s="1" t="s">
        <v>74</v>
      </c>
      <c r="V574" s="1" t="s">
        <v>5905</v>
      </c>
      <c r="W574" s="1" t="s">
        <v>74</v>
      </c>
      <c r="X574" s="1" t="s">
        <v>74</v>
      </c>
      <c r="Y574" s="1" t="s">
        <v>74</v>
      </c>
      <c r="Z574" s="1" t="s">
        <v>74</v>
      </c>
      <c r="AA574" s="1" t="s">
        <v>74</v>
      </c>
      <c r="AB574" s="1" t="s">
        <v>5906</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5594</v>
      </c>
      <c r="AP574" s="1" t="s">
        <v>5595</v>
      </c>
      <c r="AQ574" s="1" t="s">
        <v>74</v>
      </c>
      <c r="AR574" s="1" t="s">
        <v>74</v>
      </c>
      <c r="AS574" s="1" t="s">
        <v>74</v>
      </c>
      <c r="AT574" s="1" t="s">
        <v>282</v>
      </c>
      <c r="AU574" s="1">
        <v>2016.0</v>
      </c>
      <c r="AV574" s="1">
        <v>40.0</v>
      </c>
      <c r="AW574" s="1">
        <v>8.0</v>
      </c>
      <c r="AX574" s="1" t="s">
        <v>74</v>
      </c>
      <c r="AY574" s="1" t="s">
        <v>74</v>
      </c>
      <c r="AZ574" s="1" t="s">
        <v>74</v>
      </c>
      <c r="BA574" s="1" t="s">
        <v>74</v>
      </c>
      <c r="BB574" s="1">
        <v>7132.0</v>
      </c>
      <c r="BC574" s="1">
        <v>7139.0</v>
      </c>
      <c r="BD574" s="1" t="s">
        <v>74</v>
      </c>
      <c r="BE574" s="1" t="s">
        <v>5907</v>
      </c>
      <c r="BF574" s="2" t="str">
        <f>HYPERLINK("http://dx.doi.org/10.1039/c6nj00207b","http://dx.doi.org/10.1039/c6nj00207b")</f>
        <v>http://dx.doi.org/10.1039/c6nj00207b</v>
      </c>
      <c r="BG574" s="1" t="s">
        <v>74</v>
      </c>
      <c r="BH574" s="1" t="s">
        <v>74</v>
      </c>
      <c r="BI574" s="1" t="s">
        <v>74</v>
      </c>
      <c r="BJ574" s="1" t="s">
        <v>74</v>
      </c>
      <c r="BK574" s="1" t="s">
        <v>74</v>
      </c>
      <c r="BL574" s="1" t="s">
        <v>74</v>
      </c>
      <c r="BM574" s="1" t="s">
        <v>74</v>
      </c>
      <c r="BN574" s="1" t="s">
        <v>74</v>
      </c>
      <c r="BO574" s="1" t="s">
        <v>74</v>
      </c>
      <c r="BP574" s="1" t="s">
        <v>74</v>
      </c>
      <c r="BQ574" s="1" t="s">
        <v>74</v>
      </c>
      <c r="BR574" s="1" t="s">
        <v>74</v>
      </c>
      <c r="BS574" s="1" t="s">
        <v>5908</v>
      </c>
      <c r="BT574" s="1" t="str">
        <f>HYPERLINK("https%3A%2F%2Fwww.webofscience.com%2Fwos%2Fwoscc%2Ffull-record%2FWOS:000381717500079","View Full Record in Web of Science")</f>
        <v>View Full Record in Web of Science</v>
      </c>
    </row>
    <row r="575" ht="12.75" customHeight="1">
      <c r="A575" s="1" t="s">
        <v>72</v>
      </c>
      <c r="B575" s="1" t="s">
        <v>5909</v>
      </c>
      <c r="C575" s="1" t="s">
        <v>74</v>
      </c>
      <c r="D575" s="1" t="s">
        <v>74</v>
      </c>
      <c r="E575" s="1" t="s">
        <v>74</v>
      </c>
      <c r="F575" s="1" t="s">
        <v>5910</v>
      </c>
      <c r="G575" s="1" t="s">
        <v>74</v>
      </c>
      <c r="H575" s="1" t="s">
        <v>74</v>
      </c>
      <c r="I575" s="1" t="s">
        <v>5911</v>
      </c>
      <c r="J575" s="1" t="s">
        <v>1038</v>
      </c>
      <c r="K575" s="1" t="s">
        <v>74</v>
      </c>
      <c r="L575" s="1" t="s">
        <v>74</v>
      </c>
      <c r="M575" s="1" t="s">
        <v>74</v>
      </c>
      <c r="N575" s="1" t="s">
        <v>74</v>
      </c>
      <c r="O575" s="1" t="s">
        <v>74</v>
      </c>
      <c r="P575" s="1" t="s">
        <v>74</v>
      </c>
      <c r="Q575" s="1" t="s">
        <v>74</v>
      </c>
      <c r="R575" s="1" t="s">
        <v>74</v>
      </c>
      <c r="S575" s="1" t="s">
        <v>74</v>
      </c>
      <c r="T575" s="1" t="s">
        <v>74</v>
      </c>
      <c r="U575" s="1" t="s">
        <v>74</v>
      </c>
      <c r="V575" s="1" t="s">
        <v>5912</v>
      </c>
      <c r="W575" s="1" t="s">
        <v>74</v>
      </c>
      <c r="X575" s="1" t="s">
        <v>74</v>
      </c>
      <c r="Y575" s="1" t="s">
        <v>74</v>
      </c>
      <c r="Z575" s="1" t="s">
        <v>74</v>
      </c>
      <c r="AA575" s="1" t="s">
        <v>5913</v>
      </c>
      <c r="AB575" s="1" t="s">
        <v>5914</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1042</v>
      </c>
      <c r="AP575" s="1" t="s">
        <v>5915</v>
      </c>
      <c r="AQ575" s="1" t="s">
        <v>74</v>
      </c>
      <c r="AR575" s="1" t="s">
        <v>74</v>
      </c>
      <c r="AS575" s="1" t="s">
        <v>74</v>
      </c>
      <c r="AT575" s="1" t="s">
        <v>2987</v>
      </c>
      <c r="AU575" s="1">
        <v>2016.0</v>
      </c>
      <c r="AV575" s="1">
        <v>89.0</v>
      </c>
      <c r="AW575" s="1">
        <v>6.0</v>
      </c>
      <c r="AX575" s="1" t="s">
        <v>74</v>
      </c>
      <c r="AY575" s="1" t="s">
        <v>74</v>
      </c>
      <c r="AZ575" s="1" t="s">
        <v>74</v>
      </c>
      <c r="BA575" s="1" t="s">
        <v>74</v>
      </c>
      <c r="BB575" s="1" t="s">
        <v>74</v>
      </c>
      <c r="BC575" s="1" t="s">
        <v>74</v>
      </c>
      <c r="BD575" s="1">
        <v>153.0</v>
      </c>
      <c r="BE575" s="1" t="s">
        <v>5916</v>
      </c>
      <c r="BF575" s="2" t="str">
        <f>HYPERLINK("http://dx.doi.org/10.1140/epjb/e2016-70076-8","http://dx.doi.org/10.1140/epjb/e2016-70076-8")</f>
        <v>http://dx.doi.org/10.1140/epjb/e2016-70076-8</v>
      </c>
      <c r="BG575" s="1" t="s">
        <v>74</v>
      </c>
      <c r="BH575" s="1" t="s">
        <v>74</v>
      </c>
      <c r="BI575" s="1" t="s">
        <v>74</v>
      </c>
      <c r="BJ575" s="1" t="s">
        <v>74</v>
      </c>
      <c r="BK575" s="1" t="s">
        <v>74</v>
      </c>
      <c r="BL575" s="1" t="s">
        <v>74</v>
      </c>
      <c r="BM575" s="1" t="s">
        <v>74</v>
      </c>
      <c r="BN575" s="1" t="s">
        <v>74</v>
      </c>
      <c r="BO575" s="1" t="s">
        <v>74</v>
      </c>
      <c r="BP575" s="1" t="s">
        <v>74</v>
      </c>
      <c r="BQ575" s="1" t="s">
        <v>74</v>
      </c>
      <c r="BR575" s="1" t="s">
        <v>74</v>
      </c>
      <c r="BS575" s="1" t="s">
        <v>5917</v>
      </c>
      <c r="BT575" s="1" t="str">
        <f>HYPERLINK("https%3A%2F%2Fwww.webofscience.com%2Fwos%2Fwoscc%2Ffull-record%2FWOS:000378523800001","View Full Record in Web of Science")</f>
        <v>View Full Record in Web of Science</v>
      </c>
    </row>
    <row r="576" ht="12.75" customHeight="1">
      <c r="A576" s="1" t="s">
        <v>72</v>
      </c>
      <c r="B576" s="1" t="s">
        <v>5918</v>
      </c>
      <c r="C576" s="1" t="s">
        <v>74</v>
      </c>
      <c r="D576" s="1" t="s">
        <v>74</v>
      </c>
      <c r="E576" s="1" t="s">
        <v>74</v>
      </c>
      <c r="F576" s="1" t="s">
        <v>5919</v>
      </c>
      <c r="G576" s="1" t="s">
        <v>74</v>
      </c>
      <c r="H576" s="1" t="s">
        <v>74</v>
      </c>
      <c r="I576" s="1" t="s">
        <v>5920</v>
      </c>
      <c r="J576" s="1" t="s">
        <v>2460</v>
      </c>
      <c r="K576" s="1" t="s">
        <v>74</v>
      </c>
      <c r="L576" s="1" t="s">
        <v>74</v>
      </c>
      <c r="M576" s="1" t="s">
        <v>74</v>
      </c>
      <c r="N576" s="1" t="s">
        <v>74</v>
      </c>
      <c r="O576" s="1" t="s">
        <v>74</v>
      </c>
      <c r="P576" s="1" t="s">
        <v>74</v>
      </c>
      <c r="Q576" s="1" t="s">
        <v>74</v>
      </c>
      <c r="R576" s="1" t="s">
        <v>74</v>
      </c>
      <c r="S576" s="1" t="s">
        <v>74</v>
      </c>
      <c r="T576" s="1" t="s">
        <v>74</v>
      </c>
      <c r="U576" s="1" t="s">
        <v>74</v>
      </c>
      <c r="V576" s="1" t="s">
        <v>5921</v>
      </c>
      <c r="W576" s="1" t="s">
        <v>74</v>
      </c>
      <c r="X576" s="1" t="s">
        <v>74</v>
      </c>
      <c r="Y576" s="1" t="s">
        <v>74</v>
      </c>
      <c r="Z576" s="1" t="s">
        <v>74</v>
      </c>
      <c r="AA576" s="1" t="s">
        <v>5922</v>
      </c>
      <c r="AB576" s="1" t="s">
        <v>74</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2464</v>
      </c>
      <c r="AP576" s="1" t="s">
        <v>2465</v>
      </c>
      <c r="AQ576" s="1" t="s">
        <v>74</v>
      </c>
      <c r="AR576" s="1" t="s">
        <v>74</v>
      </c>
      <c r="AS576" s="1" t="s">
        <v>74</v>
      </c>
      <c r="AT576" s="1" t="s">
        <v>94</v>
      </c>
      <c r="AU576" s="1">
        <v>2016.0</v>
      </c>
      <c r="AV576" s="1">
        <v>144.0</v>
      </c>
      <c r="AW576" s="1">
        <v>6.0</v>
      </c>
      <c r="AX576" s="1" t="s">
        <v>74</v>
      </c>
      <c r="AY576" s="1" t="s">
        <v>74</v>
      </c>
      <c r="AZ576" s="1" t="s">
        <v>74</v>
      </c>
      <c r="BA576" s="1" t="s">
        <v>74</v>
      </c>
      <c r="BB576" s="1">
        <v>806.0</v>
      </c>
      <c r="BC576" s="1">
        <v>811.0</v>
      </c>
      <c r="BD576" s="1" t="s">
        <v>74</v>
      </c>
      <c r="BE576" s="1" t="s">
        <v>74</v>
      </c>
      <c r="BF576" s="1" t="s">
        <v>74</v>
      </c>
      <c r="BG576" s="1" t="s">
        <v>74</v>
      </c>
      <c r="BH576" s="1" t="s">
        <v>74</v>
      </c>
      <c r="BI576" s="1" t="s">
        <v>74</v>
      </c>
      <c r="BJ576" s="1" t="s">
        <v>74</v>
      </c>
      <c r="BK576" s="1" t="s">
        <v>74</v>
      </c>
      <c r="BL576" s="1" t="s">
        <v>74</v>
      </c>
      <c r="BM576" s="1" t="s">
        <v>74</v>
      </c>
      <c r="BN576" s="1" t="s">
        <v>74</v>
      </c>
      <c r="BO576" s="1" t="s">
        <v>74</v>
      </c>
      <c r="BP576" s="1" t="s">
        <v>74</v>
      </c>
      <c r="BQ576" s="1" t="s">
        <v>74</v>
      </c>
      <c r="BR576" s="1" t="s">
        <v>74</v>
      </c>
      <c r="BS576" s="1" t="s">
        <v>5923</v>
      </c>
      <c r="BT576" s="1" t="str">
        <f>HYPERLINK("https%3A%2F%2Fwww.webofscience.com%2Fwos%2Fwoscc%2Ffull-record%2FWOS:000380293800016","View Full Record in Web of Science")</f>
        <v>View Full Record in Web of Science</v>
      </c>
    </row>
    <row r="577" ht="12.75" customHeight="1">
      <c r="A577" s="1" t="s">
        <v>72</v>
      </c>
      <c r="B577" s="1" t="s">
        <v>5924</v>
      </c>
      <c r="C577" s="1" t="s">
        <v>74</v>
      </c>
      <c r="D577" s="1" t="s">
        <v>74</v>
      </c>
      <c r="E577" s="1" t="s">
        <v>74</v>
      </c>
      <c r="F577" s="1" t="s">
        <v>5925</v>
      </c>
      <c r="G577" s="1" t="s">
        <v>74</v>
      </c>
      <c r="H577" s="1" t="s">
        <v>74</v>
      </c>
      <c r="I577" s="1" t="s">
        <v>5926</v>
      </c>
      <c r="J577" s="1" t="s">
        <v>5927</v>
      </c>
      <c r="K577" s="1" t="s">
        <v>74</v>
      </c>
      <c r="L577" s="1" t="s">
        <v>74</v>
      </c>
      <c r="M577" s="1" t="s">
        <v>74</v>
      </c>
      <c r="N577" s="1" t="s">
        <v>74</v>
      </c>
      <c r="O577" s="1" t="s">
        <v>74</v>
      </c>
      <c r="P577" s="1" t="s">
        <v>74</v>
      </c>
      <c r="Q577" s="1" t="s">
        <v>74</v>
      </c>
      <c r="R577" s="1" t="s">
        <v>74</v>
      </c>
      <c r="S577" s="1" t="s">
        <v>74</v>
      </c>
      <c r="T577" s="1" t="s">
        <v>74</v>
      </c>
      <c r="U577" s="1" t="s">
        <v>74</v>
      </c>
      <c r="V577" s="1" t="s">
        <v>74</v>
      </c>
      <c r="W577" s="1" t="s">
        <v>74</v>
      </c>
      <c r="X577" s="1" t="s">
        <v>74</v>
      </c>
      <c r="Y577" s="1" t="s">
        <v>74</v>
      </c>
      <c r="Z577" s="1" t="s">
        <v>74</v>
      </c>
      <c r="AA577" s="1" t="s">
        <v>5928</v>
      </c>
      <c r="AB577" s="1" t="s">
        <v>5929</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5930</v>
      </c>
      <c r="AP577" s="1" t="s">
        <v>5931</v>
      </c>
      <c r="AQ577" s="1" t="s">
        <v>74</v>
      </c>
      <c r="AR577" s="1" t="s">
        <v>74</v>
      </c>
      <c r="AS577" s="1" t="s">
        <v>74</v>
      </c>
      <c r="AT577" s="1" t="s">
        <v>408</v>
      </c>
      <c r="AU577" s="1">
        <v>2015.0</v>
      </c>
      <c r="AV577" s="1">
        <v>96.0</v>
      </c>
      <c r="AW577" s="1">
        <v>3.0</v>
      </c>
      <c r="AX577" s="1" t="s">
        <v>74</v>
      </c>
      <c r="AY577" s="1" t="s">
        <v>74</v>
      </c>
      <c r="AZ577" s="1" t="s">
        <v>74</v>
      </c>
      <c r="BA577" s="1" t="s">
        <v>74</v>
      </c>
      <c r="BB577" s="1">
        <v>405.0</v>
      </c>
      <c r="BC577" s="1">
        <v>418.0</v>
      </c>
      <c r="BD577" s="1" t="s">
        <v>74</v>
      </c>
      <c r="BE577" s="1" t="s">
        <v>5932</v>
      </c>
      <c r="BF577" s="2" t="str">
        <f>HYPERLINK("http://dx.doi.org/10.1175/BAMS-D-13-00175.1","http://dx.doi.org/10.1175/BAMS-D-13-00175.1")</f>
        <v>http://dx.doi.org/10.1175/BAMS-D-13-00175.1</v>
      </c>
      <c r="BG577" s="1" t="s">
        <v>74</v>
      </c>
      <c r="BH577" s="1" t="s">
        <v>74</v>
      </c>
      <c r="BI577" s="1" t="s">
        <v>74</v>
      </c>
      <c r="BJ577" s="1" t="s">
        <v>74</v>
      </c>
      <c r="BK577" s="1" t="s">
        <v>74</v>
      </c>
      <c r="BL577" s="1" t="s">
        <v>74</v>
      </c>
      <c r="BM577" s="1" t="s">
        <v>74</v>
      </c>
      <c r="BN577" s="1" t="s">
        <v>74</v>
      </c>
      <c r="BO577" s="1" t="s">
        <v>74</v>
      </c>
      <c r="BP577" s="1" t="s">
        <v>74</v>
      </c>
      <c r="BQ577" s="1" t="s">
        <v>74</v>
      </c>
      <c r="BR577" s="1" t="s">
        <v>74</v>
      </c>
      <c r="BS577" s="1" t="s">
        <v>5933</v>
      </c>
      <c r="BT577" s="1" t="str">
        <f>HYPERLINK("https%3A%2F%2Fwww.webofscience.com%2Fwos%2Fwoscc%2Ffull-record%2FWOS:000353657200006","View Full Record in Web of Science")</f>
        <v>View Full Record in Web of Science</v>
      </c>
    </row>
    <row r="578" ht="12.75" customHeight="1">
      <c r="A578" s="1" t="s">
        <v>207</v>
      </c>
      <c r="B578" s="1" t="s">
        <v>5934</v>
      </c>
      <c r="C578" s="1" t="s">
        <v>74</v>
      </c>
      <c r="D578" s="1" t="s">
        <v>74</v>
      </c>
      <c r="E578" s="1" t="s">
        <v>74</v>
      </c>
      <c r="F578" s="1" t="s">
        <v>5935</v>
      </c>
      <c r="G578" s="1" t="s">
        <v>74</v>
      </c>
      <c r="H578" s="1" t="s">
        <v>74</v>
      </c>
      <c r="I578" s="1" t="s">
        <v>5936</v>
      </c>
      <c r="J578" s="1" t="s">
        <v>2896</v>
      </c>
      <c r="K578" s="1" t="s">
        <v>74</v>
      </c>
      <c r="L578" s="1" t="s">
        <v>74</v>
      </c>
      <c r="M578" s="1" t="s">
        <v>74</v>
      </c>
      <c r="N578" s="1" t="s">
        <v>74</v>
      </c>
      <c r="O578" s="1" t="s">
        <v>5937</v>
      </c>
      <c r="P578" s="1" t="s">
        <v>5938</v>
      </c>
      <c r="Q578" s="1" t="s">
        <v>5939</v>
      </c>
      <c r="R578" s="1" t="s">
        <v>5940</v>
      </c>
      <c r="S578" s="1" t="s">
        <v>74</v>
      </c>
      <c r="T578" s="1" t="s">
        <v>74</v>
      </c>
      <c r="U578" s="1" t="s">
        <v>74</v>
      </c>
      <c r="V578" s="1" t="s">
        <v>5941</v>
      </c>
      <c r="W578" s="1" t="s">
        <v>74</v>
      </c>
      <c r="X578" s="1" t="s">
        <v>74</v>
      </c>
      <c r="Y578" s="1" t="s">
        <v>74</v>
      </c>
      <c r="Z578" s="1" t="s">
        <v>74</v>
      </c>
      <c r="AA578" s="1" t="s">
        <v>5942</v>
      </c>
      <c r="AB578" s="1" t="s">
        <v>5943</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2902</v>
      </c>
      <c r="AP578" s="1" t="s">
        <v>74</v>
      </c>
      <c r="AQ578" s="1" t="s">
        <v>74</v>
      </c>
      <c r="AR578" s="1" t="s">
        <v>74</v>
      </c>
      <c r="AS578" s="1" t="s">
        <v>74</v>
      </c>
      <c r="AT578" s="1" t="s">
        <v>1106</v>
      </c>
      <c r="AU578" s="1">
        <v>2014.0</v>
      </c>
      <c r="AV578" s="1">
        <v>224.0</v>
      </c>
      <c r="AW578" s="1" t="s">
        <v>988</v>
      </c>
      <c r="AX578" s="1" t="s">
        <v>74</v>
      </c>
      <c r="AY578" s="1" t="s">
        <v>74</v>
      </c>
      <c r="AZ578" s="1" t="s">
        <v>74</v>
      </c>
      <c r="BA578" s="1" t="s">
        <v>74</v>
      </c>
      <c r="BB578" s="1">
        <v>153.0</v>
      </c>
      <c r="BC578" s="1">
        <v>159.0</v>
      </c>
      <c r="BD578" s="1" t="s">
        <v>74</v>
      </c>
      <c r="BE578" s="1" t="s">
        <v>5944</v>
      </c>
      <c r="BF578" s="2" t="str">
        <f>HYPERLINK("http://dx.doi.org/10.1007/s10751-013-0768-y","http://dx.doi.org/10.1007/s10751-013-0768-y")</f>
        <v>http://dx.doi.org/10.1007/s10751-013-0768-y</v>
      </c>
      <c r="BG578" s="1" t="s">
        <v>74</v>
      </c>
      <c r="BH578" s="1" t="s">
        <v>74</v>
      </c>
      <c r="BI578" s="1" t="s">
        <v>74</v>
      </c>
      <c r="BJ578" s="1" t="s">
        <v>74</v>
      </c>
      <c r="BK578" s="1" t="s">
        <v>74</v>
      </c>
      <c r="BL578" s="1" t="s">
        <v>74</v>
      </c>
      <c r="BM578" s="1" t="s">
        <v>74</v>
      </c>
      <c r="BN578" s="1" t="s">
        <v>74</v>
      </c>
      <c r="BO578" s="1" t="s">
        <v>74</v>
      </c>
      <c r="BP578" s="1" t="s">
        <v>74</v>
      </c>
      <c r="BQ578" s="1" t="s">
        <v>74</v>
      </c>
      <c r="BR578" s="1" t="s">
        <v>74</v>
      </c>
      <c r="BS578" s="1" t="s">
        <v>5945</v>
      </c>
      <c r="BT578" s="1" t="str">
        <f>HYPERLINK("https%3A%2F%2Fwww.webofscience.com%2Fwos%2Fwoscc%2Ffull-record%2FWOS:000328068400019","View Full Record in Web of Science")</f>
        <v>View Full Record in Web of Science</v>
      </c>
    </row>
    <row r="579" ht="12.75" customHeight="1">
      <c r="A579" s="1" t="s">
        <v>72</v>
      </c>
      <c r="B579" s="1" t="s">
        <v>5946</v>
      </c>
      <c r="C579" s="1" t="s">
        <v>74</v>
      </c>
      <c r="D579" s="1" t="s">
        <v>74</v>
      </c>
      <c r="E579" s="1" t="s">
        <v>74</v>
      </c>
      <c r="F579" s="1" t="s">
        <v>5947</v>
      </c>
      <c r="G579" s="1" t="s">
        <v>74</v>
      </c>
      <c r="H579" s="1" t="s">
        <v>74</v>
      </c>
      <c r="I579" s="1" t="s">
        <v>5948</v>
      </c>
      <c r="J579" s="1" t="s">
        <v>3670</v>
      </c>
      <c r="K579" s="1" t="s">
        <v>74</v>
      </c>
      <c r="L579" s="1" t="s">
        <v>74</v>
      </c>
      <c r="M579" s="1" t="s">
        <v>74</v>
      </c>
      <c r="N579" s="1" t="s">
        <v>74</v>
      </c>
      <c r="O579" s="1" t="s">
        <v>74</v>
      </c>
      <c r="P579" s="1" t="s">
        <v>74</v>
      </c>
      <c r="Q579" s="1" t="s">
        <v>74</v>
      </c>
      <c r="R579" s="1" t="s">
        <v>74</v>
      </c>
      <c r="S579" s="1" t="s">
        <v>74</v>
      </c>
      <c r="T579" s="1" t="s">
        <v>74</v>
      </c>
      <c r="U579" s="1" t="s">
        <v>74</v>
      </c>
      <c r="V579" s="1" t="s">
        <v>5949</v>
      </c>
      <c r="W579" s="1" t="s">
        <v>74</v>
      </c>
      <c r="X579" s="1" t="s">
        <v>74</v>
      </c>
      <c r="Y579" s="1" t="s">
        <v>74</v>
      </c>
      <c r="Z579" s="1" t="s">
        <v>74</v>
      </c>
      <c r="AA579" s="1" t="s">
        <v>5950</v>
      </c>
      <c r="AB579" s="1" t="s">
        <v>5951</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3674</v>
      </c>
      <c r="AP579" s="1" t="s">
        <v>74</v>
      </c>
      <c r="AQ579" s="1" t="s">
        <v>74</v>
      </c>
      <c r="AR579" s="1" t="s">
        <v>74</v>
      </c>
      <c r="AS579" s="1" t="s">
        <v>74</v>
      </c>
      <c r="AT579" s="1" t="s">
        <v>374</v>
      </c>
      <c r="AU579" s="1">
        <v>2013.0</v>
      </c>
      <c r="AV579" s="1">
        <v>8.0</v>
      </c>
      <c r="AW579" s="1">
        <v>11.0</v>
      </c>
      <c r="AX579" s="1" t="s">
        <v>74</v>
      </c>
      <c r="AY579" s="1" t="s">
        <v>74</v>
      </c>
      <c r="AZ579" s="1" t="s">
        <v>74</v>
      </c>
      <c r="BA579" s="1" t="s">
        <v>74</v>
      </c>
      <c r="BB579" s="1">
        <v>12062.0</v>
      </c>
      <c r="BC579" s="1">
        <v>12077.0</v>
      </c>
      <c r="BD579" s="1" t="s">
        <v>74</v>
      </c>
      <c r="BE579" s="1" t="s">
        <v>74</v>
      </c>
      <c r="BF579" s="1" t="s">
        <v>74</v>
      </c>
      <c r="BG579" s="1" t="s">
        <v>74</v>
      </c>
      <c r="BH579" s="1" t="s">
        <v>74</v>
      </c>
      <c r="BI579" s="1" t="s">
        <v>74</v>
      </c>
      <c r="BJ579" s="1" t="s">
        <v>74</v>
      </c>
      <c r="BK579" s="1" t="s">
        <v>74</v>
      </c>
      <c r="BL579" s="1" t="s">
        <v>74</v>
      </c>
      <c r="BM579" s="1" t="s">
        <v>74</v>
      </c>
      <c r="BN579" s="1" t="s">
        <v>74</v>
      </c>
      <c r="BO579" s="1" t="s">
        <v>74</v>
      </c>
      <c r="BP579" s="1" t="s">
        <v>74</v>
      </c>
      <c r="BQ579" s="1" t="s">
        <v>74</v>
      </c>
      <c r="BR579" s="1" t="s">
        <v>74</v>
      </c>
      <c r="BS579" s="1" t="s">
        <v>5952</v>
      </c>
      <c r="BT579" s="1" t="str">
        <f>HYPERLINK("https%3A%2F%2Fwww.webofscience.com%2Fwos%2Fwoscc%2Ffull-record%2FWOS:000326502600003","View Full Record in Web of Science")</f>
        <v>View Full Record in Web of Science</v>
      </c>
    </row>
    <row r="580" ht="12.75" customHeight="1">
      <c r="A580" s="1" t="s">
        <v>72</v>
      </c>
      <c r="B580" s="1" t="s">
        <v>5953</v>
      </c>
      <c r="C580" s="1" t="s">
        <v>74</v>
      </c>
      <c r="D580" s="1" t="s">
        <v>74</v>
      </c>
      <c r="E580" s="1" t="s">
        <v>74</v>
      </c>
      <c r="F580" s="1" t="s">
        <v>5954</v>
      </c>
      <c r="G580" s="1" t="s">
        <v>74</v>
      </c>
      <c r="H580" s="1" t="s">
        <v>74</v>
      </c>
      <c r="I580" s="1" t="s">
        <v>5955</v>
      </c>
      <c r="J580" s="1" t="s">
        <v>5956</v>
      </c>
      <c r="K580" s="1" t="s">
        <v>74</v>
      </c>
      <c r="L580" s="1" t="s">
        <v>74</v>
      </c>
      <c r="M580" s="1" t="s">
        <v>74</v>
      </c>
      <c r="N580" s="1" t="s">
        <v>74</v>
      </c>
      <c r="O580" s="1" t="s">
        <v>74</v>
      </c>
      <c r="P580" s="1" t="s">
        <v>74</v>
      </c>
      <c r="Q580" s="1" t="s">
        <v>74</v>
      </c>
      <c r="R580" s="1" t="s">
        <v>74</v>
      </c>
      <c r="S580" s="1" t="s">
        <v>74</v>
      </c>
      <c r="T580" s="1" t="s">
        <v>74</v>
      </c>
      <c r="U580" s="1" t="s">
        <v>74</v>
      </c>
      <c r="V580" s="1" t="s">
        <v>5957</v>
      </c>
      <c r="W580" s="1" t="s">
        <v>74</v>
      </c>
      <c r="X580" s="1" t="s">
        <v>74</v>
      </c>
      <c r="Y580" s="1" t="s">
        <v>74</v>
      </c>
      <c r="Z580" s="1" t="s">
        <v>74</v>
      </c>
      <c r="AA580" s="1" t="s">
        <v>5958</v>
      </c>
      <c r="AB580" s="1" t="s">
        <v>5959</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5960</v>
      </c>
      <c r="AP580" s="1" t="s">
        <v>5961</v>
      </c>
      <c r="AQ580" s="1" t="s">
        <v>74</v>
      </c>
      <c r="AR580" s="1" t="s">
        <v>74</v>
      </c>
      <c r="AS580" s="1" t="s">
        <v>74</v>
      </c>
      <c r="AT580" s="1" t="s">
        <v>374</v>
      </c>
      <c r="AU580" s="1">
        <v>2010.0</v>
      </c>
      <c r="AV580" s="1">
        <v>102.0</v>
      </c>
      <c r="AW580" s="1">
        <v>11.0</v>
      </c>
      <c r="AX580" s="1" t="s">
        <v>74</v>
      </c>
      <c r="AY580" s="1" t="s">
        <v>74</v>
      </c>
      <c r="AZ580" s="1" t="s">
        <v>74</v>
      </c>
      <c r="BA580" s="1" t="s">
        <v>74</v>
      </c>
      <c r="BB580" s="1">
        <v>624.0</v>
      </c>
      <c r="BC580" s="1">
        <v>630.0</v>
      </c>
      <c r="BD580" s="1" t="s">
        <v>74</v>
      </c>
      <c r="BE580" s="1" t="s">
        <v>74</v>
      </c>
      <c r="BF580" s="1" t="s">
        <v>74</v>
      </c>
      <c r="BG580" s="1" t="s">
        <v>74</v>
      </c>
      <c r="BH580" s="1" t="s">
        <v>74</v>
      </c>
      <c r="BI580" s="1" t="s">
        <v>74</v>
      </c>
      <c r="BJ580" s="1" t="s">
        <v>74</v>
      </c>
      <c r="BK580" s="1" t="s">
        <v>74</v>
      </c>
      <c r="BL580" s="1" t="s">
        <v>74</v>
      </c>
      <c r="BM580" s="1" t="s">
        <v>74</v>
      </c>
      <c r="BN580" s="1">
        <v>2.1142382E7</v>
      </c>
      <c r="BO580" s="1" t="s">
        <v>74</v>
      </c>
      <c r="BP580" s="1" t="s">
        <v>74</v>
      </c>
      <c r="BQ580" s="1" t="s">
        <v>74</v>
      </c>
      <c r="BR580" s="1" t="s">
        <v>74</v>
      </c>
      <c r="BS580" s="1" t="s">
        <v>5962</v>
      </c>
      <c r="BT580" s="1" t="str">
        <f>HYPERLINK("https%3A%2F%2Fwww.webofscience.com%2Fwos%2Fwoscc%2Ffull-record%2FWOS:000286910300002","View Full Record in Web of Science")</f>
        <v>View Full Record in Web of Science</v>
      </c>
    </row>
    <row r="581" ht="12.75" customHeight="1">
      <c r="A581" s="1" t="s">
        <v>72</v>
      </c>
      <c r="B581" s="1" t="s">
        <v>5963</v>
      </c>
      <c r="C581" s="1" t="s">
        <v>74</v>
      </c>
      <c r="D581" s="1" t="s">
        <v>74</v>
      </c>
      <c r="E581" s="1" t="s">
        <v>74</v>
      </c>
      <c r="F581" s="1" t="s">
        <v>5964</v>
      </c>
      <c r="G581" s="1" t="s">
        <v>74</v>
      </c>
      <c r="H581" s="1" t="s">
        <v>74</v>
      </c>
      <c r="I581" s="1" t="s">
        <v>5965</v>
      </c>
      <c r="J581" s="1" t="s">
        <v>5966</v>
      </c>
      <c r="K581" s="1" t="s">
        <v>74</v>
      </c>
      <c r="L581" s="1" t="s">
        <v>74</v>
      </c>
      <c r="M581" s="1" t="s">
        <v>74</v>
      </c>
      <c r="N581" s="1" t="s">
        <v>74</v>
      </c>
      <c r="O581" s="1" t="s">
        <v>74</v>
      </c>
      <c r="P581" s="1" t="s">
        <v>74</v>
      </c>
      <c r="Q581" s="1" t="s">
        <v>74</v>
      </c>
      <c r="R581" s="1" t="s">
        <v>74</v>
      </c>
      <c r="S581" s="1" t="s">
        <v>74</v>
      </c>
      <c r="T581" s="1" t="s">
        <v>74</v>
      </c>
      <c r="U581" s="1" t="s">
        <v>74</v>
      </c>
      <c r="V581" s="1" t="s">
        <v>5967</v>
      </c>
      <c r="W581" s="1" t="s">
        <v>74</v>
      </c>
      <c r="X581" s="1" t="s">
        <v>74</v>
      </c>
      <c r="Y581" s="1" t="s">
        <v>74</v>
      </c>
      <c r="Z581" s="1" t="s">
        <v>74</v>
      </c>
      <c r="AA581" s="1" t="s">
        <v>74</v>
      </c>
      <c r="AB581" s="1" t="s">
        <v>5968</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5969</v>
      </c>
      <c r="AP581" s="1" t="s">
        <v>5970</v>
      </c>
      <c r="AQ581" s="1" t="s">
        <v>74</v>
      </c>
      <c r="AR581" s="1" t="s">
        <v>74</v>
      </c>
      <c r="AS581" s="1" t="s">
        <v>74</v>
      </c>
      <c r="AT581" s="1" t="s">
        <v>74</v>
      </c>
      <c r="AU581" s="1">
        <v>2008.0</v>
      </c>
      <c r="AV581" s="1">
        <v>57.0</v>
      </c>
      <c r="AW581" s="1">
        <v>1.0</v>
      </c>
      <c r="AX581" s="1" t="s">
        <v>74</v>
      </c>
      <c r="AY581" s="1" t="s">
        <v>74</v>
      </c>
      <c r="AZ581" s="1" t="s">
        <v>74</v>
      </c>
      <c r="BA581" s="1" t="s">
        <v>74</v>
      </c>
      <c r="BB581" s="1">
        <v>33.0</v>
      </c>
      <c r="BC581" s="1">
        <v>40.0</v>
      </c>
      <c r="BD581" s="1" t="s">
        <v>74</v>
      </c>
      <c r="BE581" s="1" t="s">
        <v>5971</v>
      </c>
      <c r="BF581" s="2" t="str">
        <f>HYPERLINK("http://dx.doi.org/10.2166/wst.2008.650","http://dx.doi.org/10.2166/wst.2008.650")</f>
        <v>http://dx.doi.org/10.2166/wst.2008.650</v>
      </c>
      <c r="BG581" s="1" t="s">
        <v>74</v>
      </c>
      <c r="BH581" s="1" t="s">
        <v>74</v>
      </c>
      <c r="BI581" s="1" t="s">
        <v>74</v>
      </c>
      <c r="BJ581" s="1" t="s">
        <v>74</v>
      </c>
      <c r="BK581" s="1" t="s">
        <v>74</v>
      </c>
      <c r="BL581" s="1" t="s">
        <v>74</v>
      </c>
      <c r="BM581" s="1" t="s">
        <v>74</v>
      </c>
      <c r="BN581" s="1">
        <v>1.8192738E7</v>
      </c>
      <c r="BO581" s="1" t="s">
        <v>74</v>
      </c>
      <c r="BP581" s="1" t="s">
        <v>74</v>
      </c>
      <c r="BQ581" s="1" t="s">
        <v>74</v>
      </c>
      <c r="BR581" s="1" t="s">
        <v>74</v>
      </c>
      <c r="BS581" s="1" t="s">
        <v>5972</v>
      </c>
      <c r="BT581" s="1" t="str">
        <f>HYPERLINK("https%3A%2F%2Fwww.webofscience.com%2Fwos%2Fwoscc%2Ffull-record%2FWOS:000253061000006","View Full Record in Web of Science")</f>
        <v>View Full Record in Web of Science</v>
      </c>
    </row>
    <row r="582" ht="12.75" customHeight="1">
      <c r="A582" s="1" t="s">
        <v>72</v>
      </c>
      <c r="B582" s="1" t="s">
        <v>5973</v>
      </c>
      <c r="C582" s="1" t="s">
        <v>74</v>
      </c>
      <c r="D582" s="1" t="s">
        <v>74</v>
      </c>
      <c r="E582" s="1" t="s">
        <v>74</v>
      </c>
      <c r="F582" s="1" t="s">
        <v>5974</v>
      </c>
      <c r="G582" s="1" t="s">
        <v>74</v>
      </c>
      <c r="H582" s="1" t="s">
        <v>74</v>
      </c>
      <c r="I582" s="1" t="s">
        <v>5975</v>
      </c>
      <c r="J582" s="1" t="s">
        <v>5976</v>
      </c>
      <c r="K582" s="1" t="s">
        <v>74</v>
      </c>
      <c r="L582" s="1" t="s">
        <v>74</v>
      </c>
      <c r="M582" s="1" t="s">
        <v>74</v>
      </c>
      <c r="N582" s="1" t="s">
        <v>74</v>
      </c>
      <c r="O582" s="1" t="s">
        <v>74</v>
      </c>
      <c r="P582" s="1" t="s">
        <v>74</v>
      </c>
      <c r="Q582" s="1" t="s">
        <v>74</v>
      </c>
      <c r="R582" s="1" t="s">
        <v>74</v>
      </c>
      <c r="S582" s="1" t="s">
        <v>74</v>
      </c>
      <c r="T582" s="1" t="s">
        <v>74</v>
      </c>
      <c r="U582" s="1" t="s">
        <v>74</v>
      </c>
      <c r="V582" s="1" t="s">
        <v>5977</v>
      </c>
      <c r="W582" s="1" t="s">
        <v>74</v>
      </c>
      <c r="X582" s="1" t="s">
        <v>74</v>
      </c>
      <c r="Y582" s="1" t="s">
        <v>74</v>
      </c>
      <c r="Z582" s="1" t="s">
        <v>74</v>
      </c>
      <c r="AA582" s="1" t="s">
        <v>5978</v>
      </c>
      <c r="AB582" s="1" t="s">
        <v>5979</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5980</v>
      </c>
      <c r="AP582" s="1" t="s">
        <v>5981</v>
      </c>
      <c r="AQ582" s="1" t="s">
        <v>74</v>
      </c>
      <c r="AR582" s="1" t="s">
        <v>74</v>
      </c>
      <c r="AS582" s="1" t="s">
        <v>74</v>
      </c>
      <c r="AT582" s="1" t="s">
        <v>4021</v>
      </c>
      <c r="AU582" s="1">
        <v>2006.0</v>
      </c>
      <c r="AV582" s="1">
        <v>546.0</v>
      </c>
      <c r="AW582" s="1" t="s">
        <v>988</v>
      </c>
      <c r="AX582" s="1" t="s">
        <v>74</v>
      </c>
      <c r="AY582" s="1" t="s">
        <v>74</v>
      </c>
      <c r="AZ582" s="1" t="s">
        <v>74</v>
      </c>
      <c r="BA582" s="1" t="s">
        <v>74</v>
      </c>
      <c r="BB582" s="1">
        <v>40.0</v>
      </c>
      <c r="BC582" s="1">
        <v>47.0</v>
      </c>
      <c r="BD582" s="1" t="s">
        <v>74</v>
      </c>
      <c r="BE582" s="1" t="s">
        <v>5982</v>
      </c>
      <c r="BF582" s="2" t="str">
        <f>HYPERLINK("http://dx.doi.org/10.1016/j.ejphar.2006.06.081","http://dx.doi.org/10.1016/j.ejphar.2006.06.081")</f>
        <v>http://dx.doi.org/10.1016/j.ejphar.2006.06.081</v>
      </c>
      <c r="BG582" s="1" t="s">
        <v>74</v>
      </c>
      <c r="BH582" s="1" t="s">
        <v>74</v>
      </c>
      <c r="BI582" s="1" t="s">
        <v>74</v>
      </c>
      <c r="BJ582" s="1" t="s">
        <v>74</v>
      </c>
      <c r="BK582" s="1" t="s">
        <v>74</v>
      </c>
      <c r="BL582" s="1" t="s">
        <v>74</v>
      </c>
      <c r="BM582" s="1" t="s">
        <v>74</v>
      </c>
      <c r="BN582" s="1">
        <v>1.6905131E7</v>
      </c>
      <c r="BO582" s="1" t="s">
        <v>74</v>
      </c>
      <c r="BP582" s="1" t="s">
        <v>74</v>
      </c>
      <c r="BQ582" s="1" t="s">
        <v>74</v>
      </c>
      <c r="BR582" s="1" t="s">
        <v>74</v>
      </c>
      <c r="BS582" s="1" t="s">
        <v>5983</v>
      </c>
      <c r="BT582" s="1" t="str">
        <f>HYPERLINK("https%3A%2F%2Fwww.webofscience.com%2Fwos%2Fwoscc%2Ffull-record%2FWOS:000240908300006","View Full Record in Web of Science")</f>
        <v>View Full Record in Web of Science</v>
      </c>
    </row>
    <row r="583" ht="12.75" customHeight="1">
      <c r="A583" s="1" t="s">
        <v>72</v>
      </c>
      <c r="B583" s="1" t="s">
        <v>5984</v>
      </c>
      <c r="C583" s="1" t="s">
        <v>74</v>
      </c>
      <c r="D583" s="1" t="s">
        <v>74</v>
      </c>
      <c r="E583" s="1" t="s">
        <v>74</v>
      </c>
      <c r="F583" s="1" t="s">
        <v>5985</v>
      </c>
      <c r="G583" s="1" t="s">
        <v>74</v>
      </c>
      <c r="H583" s="1" t="s">
        <v>74</v>
      </c>
      <c r="I583" s="1" t="s">
        <v>5986</v>
      </c>
      <c r="J583" s="1" t="s">
        <v>5987</v>
      </c>
      <c r="K583" s="1" t="s">
        <v>74</v>
      </c>
      <c r="L583" s="1" t="s">
        <v>74</v>
      </c>
      <c r="M583" s="1" t="s">
        <v>74</v>
      </c>
      <c r="N583" s="1" t="s">
        <v>74</v>
      </c>
      <c r="O583" s="1" t="s">
        <v>74</v>
      </c>
      <c r="P583" s="1" t="s">
        <v>74</v>
      </c>
      <c r="Q583" s="1" t="s">
        <v>74</v>
      </c>
      <c r="R583" s="1" t="s">
        <v>74</v>
      </c>
      <c r="S583" s="1" t="s">
        <v>74</v>
      </c>
      <c r="T583" s="1" t="s">
        <v>74</v>
      </c>
      <c r="U583" s="1" t="s">
        <v>74</v>
      </c>
      <c r="V583" s="1" t="s">
        <v>5988</v>
      </c>
      <c r="W583" s="1" t="s">
        <v>74</v>
      </c>
      <c r="X583" s="1" t="s">
        <v>74</v>
      </c>
      <c r="Y583" s="1" t="s">
        <v>74</v>
      </c>
      <c r="Z583" s="1" t="s">
        <v>74</v>
      </c>
      <c r="AA583" s="1" t="s">
        <v>74</v>
      </c>
      <c r="AB583" s="1" t="s">
        <v>5989</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5990</v>
      </c>
      <c r="AP583" s="1" t="s">
        <v>5991</v>
      </c>
      <c r="AQ583" s="1" t="s">
        <v>74</v>
      </c>
      <c r="AR583" s="1" t="s">
        <v>74</v>
      </c>
      <c r="AS583" s="1" t="s">
        <v>74</v>
      </c>
      <c r="AT583" s="1" t="s">
        <v>74</v>
      </c>
      <c r="AU583" s="1">
        <v>2006.0</v>
      </c>
      <c r="AV583" s="1">
        <v>44.0</v>
      </c>
      <c r="AW583" s="1">
        <v>6.0</v>
      </c>
      <c r="AX583" s="1" t="s">
        <v>74</v>
      </c>
      <c r="AY583" s="1" t="s">
        <v>74</v>
      </c>
      <c r="AZ583" s="1" t="s">
        <v>74</v>
      </c>
      <c r="BA583" s="1" t="s">
        <v>74</v>
      </c>
      <c r="BB583" s="1">
        <v>619.0</v>
      </c>
      <c r="BC583" s="1">
        <v>625.0</v>
      </c>
      <c r="BD583" s="1" t="s">
        <v>74</v>
      </c>
      <c r="BE583" s="1" t="s">
        <v>5992</v>
      </c>
      <c r="BF583" s="2" t="str">
        <f>HYPERLINK("http://dx.doi.org/10.1071/SR06063","http://dx.doi.org/10.1071/SR06063")</f>
        <v>http://dx.doi.org/10.1071/SR06063</v>
      </c>
      <c r="BG583" s="1" t="s">
        <v>74</v>
      </c>
      <c r="BH583" s="1" t="s">
        <v>74</v>
      </c>
      <c r="BI583" s="1" t="s">
        <v>74</v>
      </c>
      <c r="BJ583" s="1" t="s">
        <v>74</v>
      </c>
      <c r="BK583" s="1" t="s">
        <v>74</v>
      </c>
      <c r="BL583" s="1" t="s">
        <v>74</v>
      </c>
      <c r="BM583" s="1" t="s">
        <v>74</v>
      </c>
      <c r="BN583" s="1" t="s">
        <v>74</v>
      </c>
      <c r="BO583" s="1" t="s">
        <v>74</v>
      </c>
      <c r="BP583" s="1" t="s">
        <v>74</v>
      </c>
      <c r="BQ583" s="1" t="s">
        <v>74</v>
      </c>
      <c r="BR583" s="1" t="s">
        <v>74</v>
      </c>
      <c r="BS583" s="1" t="s">
        <v>5993</v>
      </c>
      <c r="BT583" s="1" t="str">
        <f>HYPERLINK("https%3A%2F%2Fwww.webofscience.com%2Fwos%2Fwoscc%2Ffull-record%2FWOS:000240592900007","View Full Record in Web of Science")</f>
        <v>View Full Record in Web of Science</v>
      </c>
    </row>
    <row r="584" ht="12.75" customHeight="1">
      <c r="A584" s="1" t="s">
        <v>72</v>
      </c>
      <c r="B584" s="1" t="s">
        <v>5994</v>
      </c>
      <c r="C584" s="1" t="s">
        <v>74</v>
      </c>
      <c r="D584" s="1" t="s">
        <v>74</v>
      </c>
      <c r="E584" s="1" t="s">
        <v>74</v>
      </c>
      <c r="F584" s="1" t="s">
        <v>5994</v>
      </c>
      <c r="G584" s="1" t="s">
        <v>74</v>
      </c>
      <c r="H584" s="1" t="s">
        <v>74</v>
      </c>
      <c r="I584" s="1" t="s">
        <v>5995</v>
      </c>
      <c r="J584" s="1" t="s">
        <v>4334</v>
      </c>
      <c r="K584" s="1" t="s">
        <v>74</v>
      </c>
      <c r="L584" s="1" t="s">
        <v>74</v>
      </c>
      <c r="M584" s="1" t="s">
        <v>74</v>
      </c>
      <c r="N584" s="1" t="s">
        <v>74</v>
      </c>
      <c r="O584" s="1" t="s">
        <v>74</v>
      </c>
      <c r="P584" s="1" t="s">
        <v>74</v>
      </c>
      <c r="Q584" s="1" t="s">
        <v>74</v>
      </c>
      <c r="R584" s="1" t="s">
        <v>74</v>
      </c>
      <c r="S584" s="1" t="s">
        <v>74</v>
      </c>
      <c r="T584" s="1" t="s">
        <v>74</v>
      </c>
      <c r="U584" s="1" t="s">
        <v>74</v>
      </c>
      <c r="V584" s="1" t="s">
        <v>5996</v>
      </c>
      <c r="W584" s="1" t="s">
        <v>74</v>
      </c>
      <c r="X584" s="1" t="s">
        <v>74</v>
      </c>
      <c r="Y584" s="1" t="s">
        <v>74</v>
      </c>
      <c r="Z584" s="1" t="s">
        <v>74</v>
      </c>
      <c r="AA584" s="1" t="s">
        <v>5997</v>
      </c>
      <c r="AB584" s="1" t="s">
        <v>74</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4336</v>
      </c>
      <c r="AP584" s="1" t="s">
        <v>4337</v>
      </c>
      <c r="AQ584" s="1" t="s">
        <v>74</v>
      </c>
      <c r="AR584" s="1" t="s">
        <v>74</v>
      </c>
      <c r="AS584" s="1" t="s">
        <v>74</v>
      </c>
      <c r="AT584" s="1" t="s">
        <v>282</v>
      </c>
      <c r="AU584" s="1">
        <v>2005.0</v>
      </c>
      <c r="AV584" s="1">
        <v>72.0</v>
      </c>
      <c r="AW584" s="1">
        <v>2.0</v>
      </c>
      <c r="AX584" s="1">
        <v>2.0</v>
      </c>
      <c r="AY584" s="1" t="s">
        <v>74</v>
      </c>
      <c r="AZ584" s="1" t="s">
        <v>74</v>
      </c>
      <c r="BA584" s="1" t="s">
        <v>74</v>
      </c>
      <c r="BB584" s="1" t="s">
        <v>74</v>
      </c>
      <c r="BC584" s="1" t="s">
        <v>74</v>
      </c>
      <c r="BD584" s="1">
        <v>26119.0</v>
      </c>
      <c r="BE584" s="1" t="s">
        <v>5998</v>
      </c>
      <c r="BF584" s="2" t="str">
        <f>HYPERLINK("http://dx.doi.org/10.1103/PhysRevE.72.026119","http://dx.doi.org/10.1103/PhysRevE.72.026119")</f>
        <v>http://dx.doi.org/10.1103/PhysRevE.72.026119</v>
      </c>
      <c r="BG584" s="1" t="s">
        <v>74</v>
      </c>
      <c r="BH584" s="1" t="s">
        <v>74</v>
      </c>
      <c r="BI584" s="1" t="s">
        <v>74</v>
      </c>
      <c r="BJ584" s="1" t="s">
        <v>74</v>
      </c>
      <c r="BK584" s="1" t="s">
        <v>74</v>
      </c>
      <c r="BL584" s="1" t="s">
        <v>74</v>
      </c>
      <c r="BM584" s="1" t="s">
        <v>74</v>
      </c>
      <c r="BN584" s="1">
        <v>1.6196656E7</v>
      </c>
      <c r="BO584" s="1" t="s">
        <v>74</v>
      </c>
      <c r="BP584" s="1" t="s">
        <v>74</v>
      </c>
      <c r="BQ584" s="1" t="s">
        <v>74</v>
      </c>
      <c r="BR584" s="1" t="s">
        <v>74</v>
      </c>
      <c r="BS584" s="1" t="s">
        <v>5999</v>
      </c>
      <c r="BT584" s="1" t="str">
        <f>HYPERLINK("https%3A%2F%2Fwww.webofscience.com%2Fwos%2Fwoscc%2Ffull-record%2FWOS:000231564100033","View Full Record in Web of Science")</f>
        <v>View Full Record in Web of Science</v>
      </c>
    </row>
    <row r="585" ht="12.75" customHeight="1">
      <c r="A585" s="1" t="s">
        <v>72</v>
      </c>
      <c r="B585" s="1" t="s">
        <v>5300</v>
      </c>
      <c r="C585" s="1" t="s">
        <v>74</v>
      </c>
      <c r="D585" s="1" t="s">
        <v>74</v>
      </c>
      <c r="E585" s="1" t="s">
        <v>74</v>
      </c>
      <c r="F585" s="1" t="s">
        <v>5300</v>
      </c>
      <c r="G585" s="1" t="s">
        <v>74</v>
      </c>
      <c r="H585" s="1" t="s">
        <v>74</v>
      </c>
      <c r="I585" s="1" t="s">
        <v>6000</v>
      </c>
      <c r="J585" s="1" t="s">
        <v>4289</v>
      </c>
      <c r="K585" s="1" t="s">
        <v>74</v>
      </c>
      <c r="L585" s="1" t="s">
        <v>74</v>
      </c>
      <c r="M585" s="1" t="s">
        <v>74</v>
      </c>
      <c r="N585" s="1" t="s">
        <v>74</v>
      </c>
      <c r="O585" s="1" t="s">
        <v>74</v>
      </c>
      <c r="P585" s="1" t="s">
        <v>74</v>
      </c>
      <c r="Q585" s="1" t="s">
        <v>74</v>
      </c>
      <c r="R585" s="1" t="s">
        <v>74</v>
      </c>
      <c r="S585" s="1" t="s">
        <v>74</v>
      </c>
      <c r="T585" s="1" t="s">
        <v>74</v>
      </c>
      <c r="U585" s="1" t="s">
        <v>74</v>
      </c>
      <c r="V585" s="1" t="s">
        <v>6001</v>
      </c>
      <c r="W585" s="1" t="s">
        <v>74</v>
      </c>
      <c r="X585" s="1" t="s">
        <v>74</v>
      </c>
      <c r="Y585" s="1" t="s">
        <v>74</v>
      </c>
      <c r="Z585" s="1" t="s">
        <v>74</v>
      </c>
      <c r="AA585" s="1" t="s">
        <v>74</v>
      </c>
      <c r="AB585" s="1" t="s">
        <v>5303</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4293</v>
      </c>
      <c r="AP585" s="1" t="s">
        <v>74</v>
      </c>
      <c r="AQ585" s="1" t="s">
        <v>74</v>
      </c>
      <c r="AR585" s="1" t="s">
        <v>74</v>
      </c>
      <c r="AS585" s="1" t="s">
        <v>74</v>
      </c>
      <c r="AT585" s="1" t="s">
        <v>94</v>
      </c>
      <c r="AU585" s="1">
        <v>2002.0</v>
      </c>
      <c r="AV585" s="1" t="s">
        <v>74</v>
      </c>
      <c r="AW585" s="1">
        <v>6.0</v>
      </c>
      <c r="AX585" s="1" t="s">
        <v>74</v>
      </c>
      <c r="AY585" s="1" t="s">
        <v>74</v>
      </c>
      <c r="AZ585" s="1" t="s">
        <v>74</v>
      </c>
      <c r="BA585" s="1" t="s">
        <v>74</v>
      </c>
      <c r="BB585" s="1" t="s">
        <v>74</v>
      </c>
      <c r="BC585" s="1" t="s">
        <v>74</v>
      </c>
      <c r="BD585" s="1">
        <v>33.0</v>
      </c>
      <c r="BE585" s="1" t="s">
        <v>74</v>
      </c>
      <c r="BF585" s="1" t="s">
        <v>74</v>
      </c>
      <c r="BG585" s="1" t="s">
        <v>74</v>
      </c>
      <c r="BH585" s="1" t="s">
        <v>74</v>
      </c>
      <c r="BI585" s="1" t="s">
        <v>74</v>
      </c>
      <c r="BJ585" s="1" t="s">
        <v>74</v>
      </c>
      <c r="BK585" s="1" t="s">
        <v>74</v>
      </c>
      <c r="BL585" s="1" t="s">
        <v>74</v>
      </c>
      <c r="BM585" s="1" t="s">
        <v>74</v>
      </c>
      <c r="BN585" s="1" t="s">
        <v>74</v>
      </c>
      <c r="BO585" s="1" t="s">
        <v>74</v>
      </c>
      <c r="BP585" s="1" t="s">
        <v>74</v>
      </c>
      <c r="BQ585" s="1" t="s">
        <v>74</v>
      </c>
      <c r="BR585" s="1" t="s">
        <v>74</v>
      </c>
      <c r="BS585" s="1" t="s">
        <v>6002</v>
      </c>
      <c r="BT585" s="1" t="str">
        <f>HYPERLINK("https%3A%2F%2Fwww.webofscience.com%2Fwos%2Fwoscc%2Ffull-record%2FWOS:000177447500033","View Full Record in Web of Science")</f>
        <v>View Full Record in Web of Science</v>
      </c>
    </row>
    <row r="586" ht="12.75" customHeight="1">
      <c r="A586" s="1" t="s">
        <v>72</v>
      </c>
      <c r="B586" s="1" t="s">
        <v>6003</v>
      </c>
      <c r="C586" s="1" t="s">
        <v>74</v>
      </c>
      <c r="D586" s="1" t="s">
        <v>74</v>
      </c>
      <c r="E586" s="1" t="s">
        <v>74</v>
      </c>
      <c r="F586" s="1" t="s">
        <v>6003</v>
      </c>
      <c r="G586" s="1" t="s">
        <v>74</v>
      </c>
      <c r="H586" s="1" t="s">
        <v>74</v>
      </c>
      <c r="I586" s="1" t="s">
        <v>6004</v>
      </c>
      <c r="J586" s="1" t="s">
        <v>6005</v>
      </c>
      <c r="K586" s="1" t="s">
        <v>74</v>
      </c>
      <c r="L586" s="1" t="s">
        <v>74</v>
      </c>
      <c r="M586" s="1" t="s">
        <v>74</v>
      </c>
      <c r="N586" s="1" t="s">
        <v>74</v>
      </c>
      <c r="O586" s="1" t="s">
        <v>74</v>
      </c>
      <c r="P586" s="1" t="s">
        <v>74</v>
      </c>
      <c r="Q586" s="1" t="s">
        <v>74</v>
      </c>
      <c r="R586" s="1" t="s">
        <v>74</v>
      </c>
      <c r="S586" s="1" t="s">
        <v>74</v>
      </c>
      <c r="T586" s="1" t="s">
        <v>74</v>
      </c>
      <c r="U586" s="1" t="s">
        <v>74</v>
      </c>
      <c r="V586" s="1" t="s">
        <v>6006</v>
      </c>
      <c r="W586" s="1" t="s">
        <v>74</v>
      </c>
      <c r="X586" s="1" t="s">
        <v>74</v>
      </c>
      <c r="Y586" s="1" t="s">
        <v>74</v>
      </c>
      <c r="Z586" s="1" t="s">
        <v>74</v>
      </c>
      <c r="AA586" s="1" t="s">
        <v>6007</v>
      </c>
      <c r="AB586" s="1" t="s">
        <v>74</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6008</v>
      </c>
      <c r="AP586" s="1" t="s">
        <v>6009</v>
      </c>
      <c r="AQ586" s="1" t="s">
        <v>74</v>
      </c>
      <c r="AR586" s="1" t="s">
        <v>74</v>
      </c>
      <c r="AS586" s="1" t="s">
        <v>74</v>
      </c>
      <c r="AT586" s="1" t="s">
        <v>74</v>
      </c>
      <c r="AU586" s="1">
        <v>2001.0</v>
      </c>
      <c r="AV586" s="1">
        <v>168.0</v>
      </c>
      <c r="AW586" s="1">
        <v>4.0</v>
      </c>
      <c r="AX586" s="1" t="s">
        <v>74</v>
      </c>
      <c r="AY586" s="1" t="s">
        <v>74</v>
      </c>
      <c r="AZ586" s="1" t="s">
        <v>74</v>
      </c>
      <c r="BA586" s="1" t="s">
        <v>74</v>
      </c>
      <c r="BB586" s="1">
        <v>252.0</v>
      </c>
      <c r="BC586" s="1">
        <v>263.0</v>
      </c>
      <c r="BD586" s="1" t="s">
        <v>74</v>
      </c>
      <c r="BE586" s="1" t="s">
        <v>6010</v>
      </c>
      <c r="BF586" s="2" t="str">
        <f>HYPERLINK("http://dx.doi.org/10.1159/000047842","http://dx.doi.org/10.1159/000047842")</f>
        <v>http://dx.doi.org/10.1159/000047842</v>
      </c>
      <c r="BG586" s="1" t="s">
        <v>74</v>
      </c>
      <c r="BH586" s="1" t="s">
        <v>74</v>
      </c>
      <c r="BI586" s="1" t="s">
        <v>74</v>
      </c>
      <c r="BJ586" s="1" t="s">
        <v>74</v>
      </c>
      <c r="BK586" s="1" t="s">
        <v>74</v>
      </c>
      <c r="BL586" s="1" t="s">
        <v>74</v>
      </c>
      <c r="BM586" s="1" t="s">
        <v>74</v>
      </c>
      <c r="BN586" s="1">
        <v>1.1275692E7</v>
      </c>
      <c r="BO586" s="1" t="s">
        <v>74</v>
      </c>
      <c r="BP586" s="1" t="s">
        <v>74</v>
      </c>
      <c r="BQ586" s="1" t="s">
        <v>74</v>
      </c>
      <c r="BR586" s="1" t="s">
        <v>74</v>
      </c>
      <c r="BS586" s="1" t="s">
        <v>6011</v>
      </c>
      <c r="BT586" s="1" t="str">
        <f>HYPERLINK("https%3A%2F%2Fwww.webofscience.com%2Fwos%2Fwoscc%2Ffull-record%2FWOS:000167706800003","View Full Record in Web of Science")</f>
        <v>View Full Record in Web of Science</v>
      </c>
    </row>
    <row r="587" ht="12.75" customHeight="1">
      <c r="A587" s="1" t="s">
        <v>72</v>
      </c>
      <c r="B587" s="1" t="s">
        <v>6012</v>
      </c>
      <c r="C587" s="1" t="s">
        <v>74</v>
      </c>
      <c r="D587" s="1" t="s">
        <v>74</v>
      </c>
      <c r="E587" s="1" t="s">
        <v>74</v>
      </c>
      <c r="F587" s="1" t="s">
        <v>6012</v>
      </c>
      <c r="G587" s="1" t="s">
        <v>74</v>
      </c>
      <c r="H587" s="1" t="s">
        <v>74</v>
      </c>
      <c r="I587" s="1" t="s">
        <v>6013</v>
      </c>
      <c r="J587" s="1" t="s">
        <v>4401</v>
      </c>
      <c r="K587" s="1" t="s">
        <v>74</v>
      </c>
      <c r="L587" s="1" t="s">
        <v>74</v>
      </c>
      <c r="M587" s="1" t="s">
        <v>74</v>
      </c>
      <c r="N587" s="1" t="s">
        <v>74</v>
      </c>
      <c r="O587" s="1" t="s">
        <v>74</v>
      </c>
      <c r="P587" s="1" t="s">
        <v>74</v>
      </c>
      <c r="Q587" s="1" t="s">
        <v>74</v>
      </c>
      <c r="R587" s="1" t="s">
        <v>74</v>
      </c>
      <c r="S587" s="1" t="s">
        <v>74</v>
      </c>
      <c r="T587" s="1" t="s">
        <v>74</v>
      </c>
      <c r="U587" s="1" t="s">
        <v>74</v>
      </c>
      <c r="V587" s="1" t="s">
        <v>6014</v>
      </c>
      <c r="W587" s="1" t="s">
        <v>74</v>
      </c>
      <c r="X587" s="1" t="s">
        <v>74</v>
      </c>
      <c r="Y587" s="1" t="s">
        <v>74</v>
      </c>
      <c r="Z587" s="1" t="s">
        <v>74</v>
      </c>
      <c r="AA587" s="1" t="s">
        <v>6015</v>
      </c>
      <c r="AB587" s="1" t="s">
        <v>6016</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4403</v>
      </c>
      <c r="AP587" s="1" t="s">
        <v>74</v>
      </c>
      <c r="AQ587" s="1" t="s">
        <v>74</v>
      </c>
      <c r="AR587" s="1" t="s">
        <v>74</v>
      </c>
      <c r="AS587" s="1" t="s">
        <v>74</v>
      </c>
      <c r="AT587" s="1" t="s">
        <v>6017</v>
      </c>
      <c r="AU587" s="1">
        <v>1998.0</v>
      </c>
      <c r="AV587" s="1">
        <v>512.0</v>
      </c>
      <c r="AW587" s="1" t="s">
        <v>409</v>
      </c>
      <c r="AX587" s="1" t="s">
        <v>74</v>
      </c>
      <c r="AY587" s="1" t="s">
        <v>74</v>
      </c>
      <c r="AZ587" s="1" t="s">
        <v>74</v>
      </c>
      <c r="BA587" s="1" t="s">
        <v>74</v>
      </c>
      <c r="BB587" s="1">
        <v>485.0</v>
      </c>
      <c r="BC587" s="1">
        <v>504.0</v>
      </c>
      <c r="BD587" s="1" t="s">
        <v>74</v>
      </c>
      <c r="BE587" s="1" t="s">
        <v>6018</v>
      </c>
      <c r="BF587" s="2" t="str">
        <f>HYPERLINK("http://dx.doi.org/10.1016/S0550-3213(97)00792-X","http://dx.doi.org/10.1016/S0550-3213(97)00792-X")</f>
        <v>http://dx.doi.org/10.1016/S0550-3213(97)00792-X</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6019</v>
      </c>
      <c r="BT587" s="1" t="str">
        <f>HYPERLINK("https%3A%2F%2Fwww.webofscience.com%2Fwos%2Fwoscc%2Ffull-record%2FWOS:000072301600020","View Full Record in Web of Science")</f>
        <v>View Full Record in Web of Science</v>
      </c>
    </row>
    <row r="588" ht="12.75" customHeight="1">
      <c r="A588" s="1" t="s">
        <v>72</v>
      </c>
      <c r="B588" s="1" t="s">
        <v>6020</v>
      </c>
      <c r="C588" s="1" t="s">
        <v>74</v>
      </c>
      <c r="D588" s="1" t="s">
        <v>74</v>
      </c>
      <c r="E588" s="1" t="s">
        <v>74</v>
      </c>
      <c r="F588" s="1" t="s">
        <v>6020</v>
      </c>
      <c r="G588" s="1" t="s">
        <v>74</v>
      </c>
      <c r="H588" s="1" t="s">
        <v>74</v>
      </c>
      <c r="I588" s="1" t="s">
        <v>6021</v>
      </c>
      <c r="J588" s="1" t="s">
        <v>6022</v>
      </c>
      <c r="K588" s="1" t="s">
        <v>74</v>
      </c>
      <c r="L588" s="1" t="s">
        <v>74</v>
      </c>
      <c r="M588" s="1" t="s">
        <v>74</v>
      </c>
      <c r="N588" s="1" t="s">
        <v>74</v>
      </c>
      <c r="O588" s="1" t="s">
        <v>74</v>
      </c>
      <c r="P588" s="1" t="s">
        <v>74</v>
      </c>
      <c r="Q588" s="1" t="s">
        <v>74</v>
      </c>
      <c r="R588" s="1" t="s">
        <v>74</v>
      </c>
      <c r="S588" s="1" t="s">
        <v>74</v>
      </c>
      <c r="T588" s="1" t="s">
        <v>74</v>
      </c>
      <c r="U588" s="1" t="s">
        <v>74</v>
      </c>
      <c r="V588" s="1" t="s">
        <v>6023</v>
      </c>
      <c r="W588" s="1" t="s">
        <v>74</v>
      </c>
      <c r="X588" s="1" t="s">
        <v>74</v>
      </c>
      <c r="Y588" s="1" t="s">
        <v>74</v>
      </c>
      <c r="Z588" s="1" t="s">
        <v>74</v>
      </c>
      <c r="AA588" s="1" t="s">
        <v>6024</v>
      </c>
      <c r="AB588" s="1" t="s">
        <v>6025</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6026</v>
      </c>
      <c r="AP588" s="1" t="s">
        <v>74</v>
      </c>
      <c r="AQ588" s="1" t="s">
        <v>74</v>
      </c>
      <c r="AR588" s="1" t="s">
        <v>74</v>
      </c>
      <c r="AS588" s="1" t="s">
        <v>74</v>
      </c>
      <c r="AT588" s="1" t="s">
        <v>177</v>
      </c>
      <c r="AU588" s="1">
        <v>1997.0</v>
      </c>
      <c r="AV588" s="1">
        <v>62.0</v>
      </c>
      <c r="AW588" s="1">
        <v>1.0</v>
      </c>
      <c r="AX588" s="1" t="s">
        <v>74</v>
      </c>
      <c r="AY588" s="1" t="s">
        <v>74</v>
      </c>
      <c r="AZ588" s="1" t="s">
        <v>74</v>
      </c>
      <c r="BA588" s="1" t="s">
        <v>74</v>
      </c>
      <c r="BB588" s="1">
        <v>24.0</v>
      </c>
      <c r="BC588" s="1">
        <v>35.0</v>
      </c>
      <c r="BD588" s="1" t="s">
        <v>74</v>
      </c>
      <c r="BE588" s="1" t="s">
        <v>6027</v>
      </c>
      <c r="BF588" s="2" t="str">
        <f>HYPERLINK("http://dx.doi.org/10.1006/jmva.1997.1679","http://dx.doi.org/10.1006/jmva.1997.1679")</f>
        <v>http://dx.doi.org/10.1006/jmva.1997.1679</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6028</v>
      </c>
      <c r="BT588" s="1" t="str">
        <f>HYPERLINK("https%3A%2F%2Fwww.webofscience.com%2Fwos%2Fwoscc%2Ffull-record%2FWOS:A1997XQ54100002","View Full Record in Web of Science")</f>
        <v>View Full Record in Web of Science</v>
      </c>
    </row>
    <row r="589" ht="12.75" customHeight="1">
      <c r="A589" s="1" t="s">
        <v>72</v>
      </c>
      <c r="B589" s="1" t="s">
        <v>6029</v>
      </c>
      <c r="C589" s="1" t="s">
        <v>74</v>
      </c>
      <c r="D589" s="1" t="s">
        <v>74</v>
      </c>
      <c r="E589" s="1" t="s">
        <v>74</v>
      </c>
      <c r="F589" s="1" t="s">
        <v>6029</v>
      </c>
      <c r="G589" s="1" t="s">
        <v>74</v>
      </c>
      <c r="H589" s="1" t="s">
        <v>74</v>
      </c>
      <c r="I589" s="1" t="s">
        <v>6030</v>
      </c>
      <c r="J589" s="1" t="s">
        <v>6031</v>
      </c>
      <c r="K589" s="1" t="s">
        <v>74</v>
      </c>
      <c r="L589" s="1" t="s">
        <v>74</v>
      </c>
      <c r="M589" s="1" t="s">
        <v>74</v>
      </c>
      <c r="N589" s="1" t="s">
        <v>74</v>
      </c>
      <c r="O589" s="1" t="s">
        <v>74</v>
      </c>
      <c r="P589" s="1" t="s">
        <v>74</v>
      </c>
      <c r="Q589" s="1" t="s">
        <v>74</v>
      </c>
      <c r="R589" s="1" t="s">
        <v>74</v>
      </c>
      <c r="S589" s="1" t="s">
        <v>74</v>
      </c>
      <c r="T589" s="1" t="s">
        <v>74</v>
      </c>
      <c r="U589" s="1" t="s">
        <v>74</v>
      </c>
      <c r="V589" s="1" t="s">
        <v>74</v>
      </c>
      <c r="W589" s="1" t="s">
        <v>74</v>
      </c>
      <c r="X589" s="1" t="s">
        <v>74</v>
      </c>
      <c r="Y589" s="1" t="s">
        <v>74</v>
      </c>
      <c r="Z589" s="1" t="s">
        <v>74</v>
      </c>
      <c r="AA589" s="1" t="s">
        <v>6032</v>
      </c>
      <c r="AB589" s="1" t="s">
        <v>6033</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6034</v>
      </c>
      <c r="AP589" s="1" t="s">
        <v>74</v>
      </c>
      <c r="AQ589" s="1" t="s">
        <v>74</v>
      </c>
      <c r="AR589" s="1" t="s">
        <v>74</v>
      </c>
      <c r="AS589" s="1" t="s">
        <v>74</v>
      </c>
      <c r="AT589" s="1" t="s">
        <v>74</v>
      </c>
      <c r="AU589" s="1">
        <v>1984.0</v>
      </c>
      <c r="AV589" s="1">
        <v>89.0</v>
      </c>
      <c r="AW589" s="1">
        <v>2.0</v>
      </c>
      <c r="AX589" s="1" t="s">
        <v>74</v>
      </c>
      <c r="AY589" s="1" t="s">
        <v>74</v>
      </c>
      <c r="AZ589" s="1" t="s">
        <v>74</v>
      </c>
      <c r="BA589" s="1" t="s">
        <v>74</v>
      </c>
      <c r="BB589" s="1">
        <v>478.0</v>
      </c>
      <c r="BC589" s="1">
        <v>488.0</v>
      </c>
      <c r="BD589" s="1" t="s">
        <v>74</v>
      </c>
      <c r="BE589" s="1" t="s">
        <v>6035</v>
      </c>
      <c r="BF589" s="2" t="str">
        <f>HYPERLINK("http://dx.doi.org/10.1016/0021-9517(84)90324-5","http://dx.doi.org/10.1016/0021-9517(84)90324-5")</f>
        <v>http://dx.doi.org/10.1016/0021-9517(84)90324-5</v>
      </c>
      <c r="BG589" s="1" t="s">
        <v>74</v>
      </c>
      <c r="BH589" s="1" t="s">
        <v>74</v>
      </c>
      <c r="BI589" s="1" t="s">
        <v>74</v>
      </c>
      <c r="BJ589" s="1" t="s">
        <v>74</v>
      </c>
      <c r="BK589" s="1" t="s">
        <v>74</v>
      </c>
      <c r="BL589" s="1" t="s">
        <v>74</v>
      </c>
      <c r="BM589" s="1" t="s">
        <v>74</v>
      </c>
      <c r="BN589" s="1" t="s">
        <v>74</v>
      </c>
      <c r="BO589" s="1" t="s">
        <v>74</v>
      </c>
      <c r="BP589" s="1" t="s">
        <v>74</v>
      </c>
      <c r="BQ589" s="1" t="s">
        <v>74</v>
      </c>
      <c r="BR589" s="1" t="s">
        <v>74</v>
      </c>
      <c r="BS589" s="1" t="s">
        <v>6036</v>
      </c>
      <c r="BT589" s="1" t="str">
        <f>HYPERLINK("https%3A%2F%2Fwww.webofscience.com%2Fwos%2Fwoscc%2Ffull-record%2FWOS:A1984TL90000029","View Full Record in Web of Science")</f>
        <v>View Full Record in Web of Science</v>
      </c>
    </row>
    <row r="590" ht="12.75" customHeight="1">
      <c r="A590" s="1" t="s">
        <v>72</v>
      </c>
      <c r="B590" s="1" t="s">
        <v>6037</v>
      </c>
      <c r="C590" s="1" t="s">
        <v>74</v>
      </c>
      <c r="D590" s="1" t="s">
        <v>74</v>
      </c>
      <c r="E590" s="1" t="s">
        <v>74</v>
      </c>
      <c r="F590" s="1" t="s">
        <v>6037</v>
      </c>
      <c r="G590" s="1" t="s">
        <v>74</v>
      </c>
      <c r="H590" s="1" t="s">
        <v>74</v>
      </c>
      <c r="I590" s="1" t="s">
        <v>6038</v>
      </c>
      <c r="J590" s="1" t="s">
        <v>6039</v>
      </c>
      <c r="K590" s="1" t="s">
        <v>74</v>
      </c>
      <c r="L590" s="1" t="s">
        <v>74</v>
      </c>
      <c r="M590" s="1" t="s">
        <v>74</v>
      </c>
      <c r="N590" s="1" t="s">
        <v>74</v>
      </c>
      <c r="O590" s="1" t="s">
        <v>74</v>
      </c>
      <c r="P590" s="1" t="s">
        <v>74</v>
      </c>
      <c r="Q590" s="1" t="s">
        <v>74</v>
      </c>
      <c r="R590" s="1" t="s">
        <v>74</v>
      </c>
      <c r="S590" s="1" t="s">
        <v>74</v>
      </c>
      <c r="T590" s="1" t="s">
        <v>74</v>
      </c>
      <c r="U590" s="1" t="s">
        <v>74</v>
      </c>
      <c r="V590" s="1" t="s">
        <v>74</v>
      </c>
      <c r="W590" s="1" t="s">
        <v>74</v>
      </c>
      <c r="X590" s="1" t="s">
        <v>74</v>
      </c>
      <c r="Y590" s="1" t="s">
        <v>74</v>
      </c>
      <c r="Z590" s="1" t="s">
        <v>74</v>
      </c>
      <c r="AA590" s="1" t="s">
        <v>74</v>
      </c>
      <c r="AB590" s="1" t="s">
        <v>74</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6040</v>
      </c>
      <c r="AP590" s="1" t="s">
        <v>74</v>
      </c>
      <c r="AQ590" s="1" t="s">
        <v>74</v>
      </c>
      <c r="AR590" s="1" t="s">
        <v>74</v>
      </c>
      <c r="AS590" s="1" t="s">
        <v>74</v>
      </c>
      <c r="AT590" s="1" t="s">
        <v>74</v>
      </c>
      <c r="AU590" s="1">
        <v>1984.0</v>
      </c>
      <c r="AV590" s="1">
        <v>22.0</v>
      </c>
      <c r="AW590" s="1">
        <v>10.0</v>
      </c>
      <c r="AX590" s="1" t="s">
        <v>74</v>
      </c>
      <c r="AY590" s="1" t="s">
        <v>74</v>
      </c>
      <c r="AZ590" s="1" t="s">
        <v>74</v>
      </c>
      <c r="BA590" s="1" t="s">
        <v>74</v>
      </c>
      <c r="BB590" s="1">
        <v>2231.0</v>
      </c>
      <c r="BC590" s="1">
        <v>2235.0</v>
      </c>
      <c r="BD590" s="1" t="s">
        <v>74</v>
      </c>
      <c r="BE590" s="1" t="s">
        <v>6041</v>
      </c>
      <c r="BF590" s="2" t="str">
        <f>HYPERLINK("http://dx.doi.org/10.3987/R-1984-10-2231","http://dx.doi.org/10.3987/R-1984-10-2231")</f>
        <v>http://dx.doi.org/10.3987/R-1984-10-2231</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6042</v>
      </c>
      <c r="BT590" s="1" t="str">
        <f>HYPERLINK("https%3A%2F%2Fwww.webofscience.com%2Fwos%2Fwoscc%2Ffull-record%2FWOS:A1984TK75100012","View Full Record in Web of Science")</f>
        <v>View Full Record in Web of Science</v>
      </c>
    </row>
    <row r="591" ht="12.75" customHeight="1">
      <c r="A591" s="1" t="s">
        <v>72</v>
      </c>
      <c r="B591" s="1" t="s">
        <v>6043</v>
      </c>
      <c r="C591" s="1" t="s">
        <v>74</v>
      </c>
      <c r="D591" s="1" t="s">
        <v>74</v>
      </c>
      <c r="E591" s="1" t="s">
        <v>74</v>
      </c>
      <c r="F591" s="1" t="s">
        <v>6044</v>
      </c>
      <c r="G591" s="1" t="s">
        <v>74</v>
      </c>
      <c r="H591" s="1" t="s">
        <v>74</v>
      </c>
      <c r="I591" s="1" t="s">
        <v>6045</v>
      </c>
      <c r="J591" s="1" t="s">
        <v>6046</v>
      </c>
      <c r="K591" s="1" t="s">
        <v>74</v>
      </c>
      <c r="L591" s="1" t="s">
        <v>74</v>
      </c>
      <c r="M591" s="1" t="s">
        <v>74</v>
      </c>
      <c r="N591" s="1" t="s">
        <v>74</v>
      </c>
      <c r="O591" s="1" t="s">
        <v>74</v>
      </c>
      <c r="P591" s="1" t="s">
        <v>74</v>
      </c>
      <c r="Q591" s="1" t="s">
        <v>74</v>
      </c>
      <c r="R591" s="1" t="s">
        <v>74</v>
      </c>
      <c r="S591" s="1" t="s">
        <v>74</v>
      </c>
      <c r="T591" s="1" t="s">
        <v>74</v>
      </c>
      <c r="U591" s="1" t="s">
        <v>74</v>
      </c>
      <c r="V591" s="1" t="s">
        <v>6047</v>
      </c>
      <c r="W591" s="1" t="s">
        <v>74</v>
      </c>
      <c r="X591" s="1" t="s">
        <v>74</v>
      </c>
      <c r="Y591" s="1" t="s">
        <v>74</v>
      </c>
      <c r="Z591" s="1" t="s">
        <v>74</v>
      </c>
      <c r="AA591" s="1" t="s">
        <v>6048</v>
      </c>
      <c r="AB591" s="1" t="s">
        <v>6049</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6050</v>
      </c>
      <c r="AP591" s="1" t="s">
        <v>6051</v>
      </c>
      <c r="AQ591" s="1" t="s">
        <v>74</v>
      </c>
      <c r="AR591" s="1" t="s">
        <v>74</v>
      </c>
      <c r="AS591" s="1" t="s">
        <v>74</v>
      </c>
      <c r="AT591" s="1" t="s">
        <v>2691</v>
      </c>
      <c r="AU591" s="1">
        <v>2024.0</v>
      </c>
      <c r="AV591" s="1">
        <v>345.0</v>
      </c>
      <c r="AW591" s="1" t="s">
        <v>74</v>
      </c>
      <c r="AX591" s="1" t="s">
        <v>74</v>
      </c>
      <c r="AY591" s="1" t="s">
        <v>74</v>
      </c>
      <c r="AZ591" s="1" t="s">
        <v>74</v>
      </c>
      <c r="BA591" s="1" t="s">
        <v>74</v>
      </c>
      <c r="BB591" s="1" t="s">
        <v>74</v>
      </c>
      <c r="BC591" s="1" t="s">
        <v>74</v>
      </c>
      <c r="BD591" s="1">
        <v>123397.0</v>
      </c>
      <c r="BE591" s="1" t="s">
        <v>6052</v>
      </c>
      <c r="BF591" s="2" t="str">
        <f>HYPERLINK("http://dx.doi.org/10.1016/j.envpol.2024.123397","http://dx.doi.org/10.1016/j.envpol.2024.123397")</f>
        <v>http://dx.doi.org/10.1016/j.envpol.2024.123397</v>
      </c>
      <c r="BG591" s="1" t="s">
        <v>74</v>
      </c>
      <c r="BH591" s="1" t="s">
        <v>1158</v>
      </c>
      <c r="BI591" s="1" t="s">
        <v>74</v>
      </c>
      <c r="BJ591" s="1" t="s">
        <v>74</v>
      </c>
      <c r="BK591" s="1" t="s">
        <v>74</v>
      </c>
      <c r="BL591" s="1" t="s">
        <v>74</v>
      </c>
      <c r="BM591" s="1" t="s">
        <v>74</v>
      </c>
      <c r="BN591" s="1">
        <v>3.8272166E7</v>
      </c>
      <c r="BO591" s="1" t="s">
        <v>74</v>
      </c>
      <c r="BP591" s="1" t="s">
        <v>74</v>
      </c>
      <c r="BQ591" s="1" t="s">
        <v>74</v>
      </c>
      <c r="BR591" s="1" t="s">
        <v>74</v>
      </c>
      <c r="BS591" s="1" t="s">
        <v>6053</v>
      </c>
      <c r="BT591" s="1" t="str">
        <f>HYPERLINK("https%3A%2F%2Fwww.webofscience.com%2Fwos%2Fwoscc%2Ffull-record%2FWOS:001177784700001","View Full Record in Web of Science")</f>
        <v>View Full Record in Web of Science</v>
      </c>
    </row>
    <row r="592" ht="12.75" customHeight="1">
      <c r="A592" s="1" t="s">
        <v>72</v>
      </c>
      <c r="B592" s="1" t="s">
        <v>6054</v>
      </c>
      <c r="C592" s="1" t="s">
        <v>74</v>
      </c>
      <c r="D592" s="1" t="s">
        <v>74</v>
      </c>
      <c r="E592" s="1" t="s">
        <v>74</v>
      </c>
      <c r="F592" s="1" t="s">
        <v>6055</v>
      </c>
      <c r="G592" s="1" t="s">
        <v>74</v>
      </c>
      <c r="H592" s="1" t="s">
        <v>74</v>
      </c>
      <c r="I592" s="1" t="s">
        <v>6056</v>
      </c>
      <c r="J592" s="1" t="s">
        <v>6057</v>
      </c>
      <c r="K592" s="1" t="s">
        <v>74</v>
      </c>
      <c r="L592" s="1" t="s">
        <v>74</v>
      </c>
      <c r="M592" s="1" t="s">
        <v>74</v>
      </c>
      <c r="N592" s="1" t="s">
        <v>74</v>
      </c>
      <c r="O592" s="1" t="s">
        <v>74</v>
      </c>
      <c r="P592" s="1" t="s">
        <v>74</v>
      </c>
      <c r="Q592" s="1" t="s">
        <v>74</v>
      </c>
      <c r="R592" s="1" t="s">
        <v>74</v>
      </c>
      <c r="S592" s="1" t="s">
        <v>74</v>
      </c>
      <c r="T592" s="1" t="s">
        <v>74</v>
      </c>
      <c r="U592" s="1" t="s">
        <v>74</v>
      </c>
      <c r="V592" s="1" t="s">
        <v>6058</v>
      </c>
      <c r="W592" s="1" t="s">
        <v>74</v>
      </c>
      <c r="X592" s="1" t="s">
        <v>74</v>
      </c>
      <c r="Y592" s="1" t="s">
        <v>74</v>
      </c>
      <c r="Z592" s="1" t="s">
        <v>74</v>
      </c>
      <c r="AA592" s="1" t="s">
        <v>4553</v>
      </c>
      <c r="AB592" s="1" t="s">
        <v>4554</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6059</v>
      </c>
      <c r="AP592" s="1" t="s">
        <v>6060</v>
      </c>
      <c r="AQ592" s="1" t="s">
        <v>74</v>
      </c>
      <c r="AR592" s="1" t="s">
        <v>74</v>
      </c>
      <c r="AS592" s="1" t="s">
        <v>74</v>
      </c>
      <c r="AT592" s="1" t="s">
        <v>408</v>
      </c>
      <c r="AU592" s="1">
        <v>2023.0</v>
      </c>
      <c r="AV592" s="1">
        <v>26.0</v>
      </c>
      <c r="AW592" s="1">
        <v>3.0</v>
      </c>
      <c r="AX592" s="1" t="s">
        <v>74</v>
      </c>
      <c r="AY592" s="1" t="s">
        <v>74</v>
      </c>
      <c r="AZ592" s="1" t="s">
        <v>74</v>
      </c>
      <c r="BA592" s="1" t="s">
        <v>74</v>
      </c>
      <c r="BB592" s="1">
        <v>384.0</v>
      </c>
      <c r="BC592" s="1">
        <v>397.0</v>
      </c>
      <c r="BD592" s="1" t="s">
        <v>74</v>
      </c>
      <c r="BE592" s="1" t="s">
        <v>6061</v>
      </c>
      <c r="BF592" s="2" t="str">
        <f>HYPERLINK("http://dx.doi.org/10.1111/ele.14156","http://dx.doi.org/10.1111/ele.14156")</f>
        <v>http://dx.doi.org/10.1111/ele.14156</v>
      </c>
      <c r="BG592" s="1" t="s">
        <v>74</v>
      </c>
      <c r="BH592" s="1" t="s">
        <v>5815</v>
      </c>
      <c r="BI592" s="1" t="s">
        <v>74</v>
      </c>
      <c r="BJ592" s="1" t="s">
        <v>74</v>
      </c>
      <c r="BK592" s="1" t="s">
        <v>74</v>
      </c>
      <c r="BL592" s="1" t="s">
        <v>74</v>
      </c>
      <c r="BM592" s="1" t="s">
        <v>74</v>
      </c>
      <c r="BN592" s="1">
        <v>3.6737422E7</v>
      </c>
      <c r="BO592" s="1" t="s">
        <v>74</v>
      </c>
      <c r="BP592" s="1" t="s">
        <v>74</v>
      </c>
      <c r="BQ592" s="1" t="s">
        <v>74</v>
      </c>
      <c r="BR592" s="1" t="s">
        <v>74</v>
      </c>
      <c r="BS592" s="1" t="s">
        <v>6062</v>
      </c>
      <c r="BT592" s="1" t="str">
        <f>HYPERLINK("https%3A%2F%2Fwww.webofscience.com%2Fwos%2Fwoscc%2Ffull-record%2FWOS:000929931100001","View Full Record in Web of Science")</f>
        <v>View Full Record in Web of Science</v>
      </c>
    </row>
    <row r="593" ht="12.75" customHeight="1">
      <c r="A593" s="1" t="s">
        <v>72</v>
      </c>
      <c r="B593" s="1" t="s">
        <v>6063</v>
      </c>
      <c r="C593" s="1" t="s">
        <v>74</v>
      </c>
      <c r="D593" s="1" t="s">
        <v>74</v>
      </c>
      <c r="E593" s="1" t="s">
        <v>74</v>
      </c>
      <c r="F593" s="1" t="s">
        <v>6064</v>
      </c>
      <c r="G593" s="1" t="s">
        <v>74</v>
      </c>
      <c r="H593" s="1" t="s">
        <v>74</v>
      </c>
      <c r="I593" s="1" t="s">
        <v>6065</v>
      </c>
      <c r="J593" s="1" t="s">
        <v>6066</v>
      </c>
      <c r="K593" s="1" t="s">
        <v>74</v>
      </c>
      <c r="L593" s="1" t="s">
        <v>74</v>
      </c>
      <c r="M593" s="1" t="s">
        <v>74</v>
      </c>
      <c r="N593" s="1" t="s">
        <v>74</v>
      </c>
      <c r="O593" s="1" t="s">
        <v>74</v>
      </c>
      <c r="P593" s="1" t="s">
        <v>74</v>
      </c>
      <c r="Q593" s="1" t="s">
        <v>74</v>
      </c>
      <c r="R593" s="1" t="s">
        <v>74</v>
      </c>
      <c r="S593" s="1" t="s">
        <v>74</v>
      </c>
      <c r="T593" s="1" t="s">
        <v>74</v>
      </c>
      <c r="U593" s="1" t="s">
        <v>74</v>
      </c>
      <c r="V593" s="1" t="s">
        <v>6067</v>
      </c>
      <c r="W593" s="1" t="s">
        <v>74</v>
      </c>
      <c r="X593" s="1" t="s">
        <v>74</v>
      </c>
      <c r="Y593" s="1" t="s">
        <v>74</v>
      </c>
      <c r="Z593" s="1" t="s">
        <v>74</v>
      </c>
      <c r="AA593" s="1" t="s">
        <v>6068</v>
      </c>
      <c r="AB593" s="1" t="s">
        <v>6069</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6070</v>
      </c>
      <c r="AP593" s="1" t="s">
        <v>74</v>
      </c>
      <c r="AQ593" s="1" t="s">
        <v>74</v>
      </c>
      <c r="AR593" s="1" t="s">
        <v>74</v>
      </c>
      <c r="AS593" s="1" t="s">
        <v>74</v>
      </c>
      <c r="AT593" s="1" t="s">
        <v>6071</v>
      </c>
      <c r="AU593" s="1">
        <v>2022.0</v>
      </c>
      <c r="AV593" s="1" t="s">
        <v>74</v>
      </c>
      <c r="AW593" s="1" t="s">
        <v>74</v>
      </c>
      <c r="AX593" s="1" t="s">
        <v>74</v>
      </c>
      <c r="AY593" s="1" t="s">
        <v>74</v>
      </c>
      <c r="AZ593" s="1" t="s">
        <v>74</v>
      </c>
      <c r="BA593" s="1" t="s">
        <v>74</v>
      </c>
      <c r="BB593" s="1" t="s">
        <v>74</v>
      </c>
      <c r="BC593" s="1" t="s">
        <v>74</v>
      </c>
      <c r="BD593" s="1" t="s">
        <v>74</v>
      </c>
      <c r="BE593" s="1" t="s">
        <v>6072</v>
      </c>
      <c r="BF593" s="2" t="str">
        <f>HYPERLINK("http://dx.doi.org/10.1021/acs.langmuir.2c01513","http://dx.doi.org/10.1021/acs.langmuir.2c01513")</f>
        <v>http://dx.doi.org/10.1021/acs.langmuir.2c01513</v>
      </c>
      <c r="BG593" s="1" t="s">
        <v>74</v>
      </c>
      <c r="BH593" s="1" t="s">
        <v>3606</v>
      </c>
      <c r="BI593" s="1" t="s">
        <v>74</v>
      </c>
      <c r="BJ593" s="1" t="s">
        <v>74</v>
      </c>
      <c r="BK593" s="1" t="s">
        <v>74</v>
      </c>
      <c r="BL593" s="1" t="s">
        <v>74</v>
      </c>
      <c r="BM593" s="1" t="s">
        <v>74</v>
      </c>
      <c r="BN593" s="1">
        <v>3.6112511E7</v>
      </c>
      <c r="BO593" s="1" t="s">
        <v>74</v>
      </c>
      <c r="BP593" s="1" t="s">
        <v>74</v>
      </c>
      <c r="BQ593" s="1" t="s">
        <v>74</v>
      </c>
      <c r="BR593" s="1" t="s">
        <v>74</v>
      </c>
      <c r="BS593" s="1" t="s">
        <v>6073</v>
      </c>
      <c r="BT593" s="1" t="str">
        <f>HYPERLINK("https%3A%2F%2Fwww.webofscience.com%2Fwos%2Fwoscc%2Ffull-record%2FWOS:000855682400001","View Full Record in Web of Science")</f>
        <v>View Full Record in Web of Science</v>
      </c>
    </row>
    <row r="594" ht="12.75" customHeight="1">
      <c r="A594" s="1" t="s">
        <v>72</v>
      </c>
      <c r="B594" s="1" t="s">
        <v>6074</v>
      </c>
      <c r="C594" s="1" t="s">
        <v>74</v>
      </c>
      <c r="D594" s="1" t="s">
        <v>74</v>
      </c>
      <c r="E594" s="1" t="s">
        <v>74</v>
      </c>
      <c r="F594" s="1" t="s">
        <v>6075</v>
      </c>
      <c r="G594" s="1" t="s">
        <v>74</v>
      </c>
      <c r="H594" s="1" t="s">
        <v>74</v>
      </c>
      <c r="I594" s="1" t="s">
        <v>6076</v>
      </c>
      <c r="J594" s="1" t="s">
        <v>6077</v>
      </c>
      <c r="K594" s="1" t="s">
        <v>74</v>
      </c>
      <c r="L594" s="1" t="s">
        <v>74</v>
      </c>
      <c r="M594" s="1" t="s">
        <v>74</v>
      </c>
      <c r="N594" s="1" t="s">
        <v>74</v>
      </c>
      <c r="O594" s="1" t="s">
        <v>74</v>
      </c>
      <c r="P594" s="1" t="s">
        <v>74</v>
      </c>
      <c r="Q594" s="1" t="s">
        <v>74</v>
      </c>
      <c r="R594" s="1" t="s">
        <v>74</v>
      </c>
      <c r="S594" s="1" t="s">
        <v>74</v>
      </c>
      <c r="T594" s="1" t="s">
        <v>74</v>
      </c>
      <c r="U594" s="1" t="s">
        <v>74</v>
      </c>
      <c r="V594" s="1" t="s">
        <v>6078</v>
      </c>
      <c r="W594" s="1" t="s">
        <v>74</v>
      </c>
      <c r="X594" s="1" t="s">
        <v>74</v>
      </c>
      <c r="Y594" s="1" t="s">
        <v>74</v>
      </c>
      <c r="Z594" s="1" t="s">
        <v>74</v>
      </c>
      <c r="AA594" s="1" t="s">
        <v>6079</v>
      </c>
      <c r="AB594" s="1" t="s">
        <v>6080</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6081</v>
      </c>
      <c r="AP594" s="1" t="s">
        <v>74</v>
      </c>
      <c r="AQ594" s="1" t="s">
        <v>74</v>
      </c>
      <c r="AR594" s="1" t="s">
        <v>74</v>
      </c>
      <c r="AS594" s="1" t="s">
        <v>74</v>
      </c>
      <c r="AT594" s="1" t="s">
        <v>94</v>
      </c>
      <c r="AU594" s="1">
        <v>2022.0</v>
      </c>
      <c r="AV594" s="1">
        <v>30.0</v>
      </c>
      <c r="AW594" s="1" t="s">
        <v>74</v>
      </c>
      <c r="AX594" s="1" t="s">
        <v>74</v>
      </c>
      <c r="AY594" s="1" t="s">
        <v>74</v>
      </c>
      <c r="AZ594" s="1" t="s">
        <v>74</v>
      </c>
      <c r="BA594" s="1" t="s">
        <v>74</v>
      </c>
      <c r="BB594" s="1" t="s">
        <v>74</v>
      </c>
      <c r="BC594" s="1" t="s">
        <v>74</v>
      </c>
      <c r="BD594" s="1">
        <v>100624.0</v>
      </c>
      <c r="BE594" s="1" t="s">
        <v>6082</v>
      </c>
      <c r="BF594" s="2" t="str">
        <f>HYPERLINK("http://dx.doi.org/10.1016/j.segan.2022.100624","http://dx.doi.org/10.1016/j.segan.2022.100624")</f>
        <v>http://dx.doi.org/10.1016/j.segan.2022.100624</v>
      </c>
      <c r="BG594" s="1" t="s">
        <v>74</v>
      </c>
      <c r="BH594" s="1" t="s">
        <v>649</v>
      </c>
      <c r="BI594" s="1" t="s">
        <v>74</v>
      </c>
      <c r="BJ594" s="1" t="s">
        <v>74</v>
      </c>
      <c r="BK594" s="1" t="s">
        <v>74</v>
      </c>
      <c r="BL594" s="1" t="s">
        <v>74</v>
      </c>
      <c r="BM594" s="1" t="s">
        <v>74</v>
      </c>
      <c r="BN594" s="1" t="s">
        <v>74</v>
      </c>
      <c r="BO594" s="1" t="s">
        <v>74</v>
      </c>
      <c r="BP594" s="1" t="s">
        <v>74</v>
      </c>
      <c r="BQ594" s="1" t="s">
        <v>74</v>
      </c>
      <c r="BR594" s="1" t="s">
        <v>74</v>
      </c>
      <c r="BS594" s="1" t="s">
        <v>6083</v>
      </c>
      <c r="BT594" s="1" t="str">
        <f>HYPERLINK("https%3A%2F%2Fwww.webofscience.com%2Fwos%2Fwoscc%2Ffull-record%2FWOS:000789540300015","View Full Record in Web of Science")</f>
        <v>View Full Record in Web of Science</v>
      </c>
    </row>
    <row r="595" ht="12.75" customHeight="1">
      <c r="A595" s="1" t="s">
        <v>72</v>
      </c>
      <c r="B595" s="1" t="s">
        <v>6084</v>
      </c>
      <c r="C595" s="1" t="s">
        <v>74</v>
      </c>
      <c r="D595" s="1" t="s">
        <v>74</v>
      </c>
      <c r="E595" s="1" t="s">
        <v>74</v>
      </c>
      <c r="F595" s="1" t="s">
        <v>6085</v>
      </c>
      <c r="G595" s="1" t="s">
        <v>74</v>
      </c>
      <c r="H595" s="1" t="s">
        <v>74</v>
      </c>
      <c r="I595" s="1" t="s">
        <v>6086</v>
      </c>
      <c r="J595" s="1" t="s">
        <v>2063</v>
      </c>
      <c r="K595" s="1" t="s">
        <v>74</v>
      </c>
      <c r="L595" s="1" t="s">
        <v>74</v>
      </c>
      <c r="M595" s="1" t="s">
        <v>74</v>
      </c>
      <c r="N595" s="1" t="s">
        <v>74</v>
      </c>
      <c r="O595" s="1" t="s">
        <v>74</v>
      </c>
      <c r="P595" s="1" t="s">
        <v>74</v>
      </c>
      <c r="Q595" s="1" t="s">
        <v>74</v>
      </c>
      <c r="R595" s="1" t="s">
        <v>74</v>
      </c>
      <c r="S595" s="1" t="s">
        <v>74</v>
      </c>
      <c r="T595" s="1" t="s">
        <v>74</v>
      </c>
      <c r="U595" s="1" t="s">
        <v>74</v>
      </c>
      <c r="V595" s="1" t="s">
        <v>6087</v>
      </c>
      <c r="W595" s="1" t="s">
        <v>74</v>
      </c>
      <c r="X595" s="1" t="s">
        <v>74</v>
      </c>
      <c r="Y595" s="1" t="s">
        <v>74</v>
      </c>
      <c r="Z595" s="1" t="s">
        <v>74</v>
      </c>
      <c r="AA595" s="1" t="s">
        <v>6088</v>
      </c>
      <c r="AB595" s="1" t="s">
        <v>1288</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2066</v>
      </c>
      <c r="AP595" s="1" t="s">
        <v>6089</v>
      </c>
      <c r="AQ595" s="1" t="s">
        <v>74</v>
      </c>
      <c r="AR595" s="1" t="s">
        <v>74</v>
      </c>
      <c r="AS595" s="1" t="s">
        <v>74</v>
      </c>
      <c r="AT595" s="1" t="s">
        <v>74</v>
      </c>
      <c r="AU595" s="1">
        <v>2022.0</v>
      </c>
      <c r="AV595" s="1">
        <v>46.0</v>
      </c>
      <c r="AW595" s="1" t="s">
        <v>74</v>
      </c>
      <c r="AX595" s="1" t="s">
        <v>74</v>
      </c>
      <c r="AY595" s="1" t="s">
        <v>74</v>
      </c>
      <c r="AZ595" s="1" t="s">
        <v>74</v>
      </c>
      <c r="BA595" s="1" t="s">
        <v>74</v>
      </c>
      <c r="BB595" s="1" t="s">
        <v>74</v>
      </c>
      <c r="BC595" s="1" t="s">
        <v>74</v>
      </c>
      <c r="BD595" s="1" t="s">
        <v>74</v>
      </c>
      <c r="BE595" s="1" t="s">
        <v>6090</v>
      </c>
      <c r="BF595" s="2" t="str">
        <f>HYPERLINK("http://dx.doi.org/10.26633/RPSP.2022.34","http://dx.doi.org/10.26633/RPSP.2022.34")</f>
        <v>http://dx.doi.org/10.26633/RPSP.2022.34</v>
      </c>
      <c r="BG595" s="1" t="s">
        <v>74</v>
      </c>
      <c r="BH595" s="1" t="s">
        <v>74</v>
      </c>
      <c r="BI595" s="1" t="s">
        <v>74</v>
      </c>
      <c r="BJ595" s="1" t="s">
        <v>74</v>
      </c>
      <c r="BK595" s="1" t="s">
        <v>74</v>
      </c>
      <c r="BL595" s="1" t="s">
        <v>74</v>
      </c>
      <c r="BM595" s="1" t="s">
        <v>74</v>
      </c>
      <c r="BN595" s="1">
        <v>3.5432502E7</v>
      </c>
      <c r="BO595" s="1" t="s">
        <v>74</v>
      </c>
      <c r="BP595" s="1" t="s">
        <v>74</v>
      </c>
      <c r="BQ595" s="1" t="s">
        <v>74</v>
      </c>
      <c r="BR595" s="1" t="s">
        <v>74</v>
      </c>
      <c r="BS595" s="1" t="s">
        <v>6091</v>
      </c>
      <c r="BT595" s="1" t="str">
        <f>HYPERLINK("https%3A%2F%2Fwww.webofscience.com%2Fwos%2Fwoscc%2Ffull-record%2FWOS:000791041700001","View Full Record in Web of Science")</f>
        <v>View Full Record in Web of Science</v>
      </c>
    </row>
    <row r="596" ht="12.75" customHeight="1">
      <c r="A596" s="1" t="s">
        <v>207</v>
      </c>
      <c r="B596" s="1" t="s">
        <v>2948</v>
      </c>
      <c r="C596" s="1" t="s">
        <v>74</v>
      </c>
      <c r="D596" s="1" t="s">
        <v>6092</v>
      </c>
      <c r="E596" s="1" t="s">
        <v>74</v>
      </c>
      <c r="F596" s="1" t="s">
        <v>6093</v>
      </c>
      <c r="G596" s="1" t="s">
        <v>74</v>
      </c>
      <c r="H596" s="1" t="s">
        <v>74</v>
      </c>
      <c r="I596" s="1" t="s">
        <v>6094</v>
      </c>
      <c r="J596" s="1" t="s">
        <v>6095</v>
      </c>
      <c r="K596" s="1" t="s">
        <v>6096</v>
      </c>
      <c r="L596" s="1" t="s">
        <v>74</v>
      </c>
      <c r="M596" s="1" t="s">
        <v>74</v>
      </c>
      <c r="N596" s="1" t="s">
        <v>74</v>
      </c>
      <c r="O596" s="1" t="s">
        <v>6097</v>
      </c>
      <c r="P596" s="1" t="s">
        <v>6098</v>
      </c>
      <c r="Q596" s="1" t="s">
        <v>6099</v>
      </c>
      <c r="R596" s="1" t="s">
        <v>6100</v>
      </c>
      <c r="S596" s="1" t="s">
        <v>74</v>
      </c>
      <c r="T596" s="1" t="s">
        <v>74</v>
      </c>
      <c r="U596" s="1" t="s">
        <v>74</v>
      </c>
      <c r="V596" s="1" t="s">
        <v>6101</v>
      </c>
      <c r="W596" s="1" t="s">
        <v>74</v>
      </c>
      <c r="X596" s="1" t="s">
        <v>74</v>
      </c>
      <c r="Y596" s="1" t="s">
        <v>74</v>
      </c>
      <c r="Z596" s="1" t="s">
        <v>74</v>
      </c>
      <c r="AA596" s="1" t="s">
        <v>2953</v>
      </c>
      <c r="AB596" s="1" t="s">
        <v>6102</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6103</v>
      </c>
      <c r="AP596" s="1" t="s">
        <v>6104</v>
      </c>
      <c r="AQ596" s="1" t="s">
        <v>6105</v>
      </c>
      <c r="AR596" s="1" t="s">
        <v>74</v>
      </c>
      <c r="AS596" s="1" t="s">
        <v>74</v>
      </c>
      <c r="AT596" s="1" t="s">
        <v>74</v>
      </c>
      <c r="AU596" s="1">
        <v>2022.0</v>
      </c>
      <c r="AV596" s="1">
        <v>1355.0</v>
      </c>
      <c r="AW596" s="1" t="s">
        <v>74</v>
      </c>
      <c r="AX596" s="1" t="s">
        <v>74</v>
      </c>
      <c r="AY596" s="1" t="s">
        <v>74</v>
      </c>
      <c r="AZ596" s="1" t="s">
        <v>74</v>
      </c>
      <c r="BA596" s="1" t="s">
        <v>74</v>
      </c>
      <c r="BB596" s="1">
        <v>117.0</v>
      </c>
      <c r="BC596" s="1">
        <v>124.0</v>
      </c>
      <c r="BD596" s="1" t="s">
        <v>74</v>
      </c>
      <c r="BE596" s="1" t="s">
        <v>6106</v>
      </c>
      <c r="BF596" s="2" t="str">
        <f>HYPERLINK("http://dx.doi.org/10.17660/ActaHortic.2022.1355.15","http://dx.doi.org/10.17660/ActaHortic.2022.1355.15")</f>
        <v>http://dx.doi.org/10.17660/ActaHortic.2022.1355.15</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6107</v>
      </c>
      <c r="BT596" s="1" t="str">
        <f>HYPERLINK("https%3A%2F%2Fwww.webofscience.com%2Fwos%2Fwoscc%2Ffull-record%2FWOS:001077679200015","View Full Record in Web of Science")</f>
        <v>View Full Record in Web of Science</v>
      </c>
    </row>
    <row r="597" ht="12.75" customHeight="1">
      <c r="A597" s="1" t="s">
        <v>72</v>
      </c>
      <c r="B597" s="1" t="s">
        <v>6108</v>
      </c>
      <c r="C597" s="1" t="s">
        <v>74</v>
      </c>
      <c r="D597" s="1" t="s">
        <v>74</v>
      </c>
      <c r="E597" s="1" t="s">
        <v>74</v>
      </c>
      <c r="F597" s="1" t="s">
        <v>6109</v>
      </c>
      <c r="G597" s="1" t="s">
        <v>74</v>
      </c>
      <c r="H597" s="1" t="s">
        <v>74</v>
      </c>
      <c r="I597" s="1" t="s">
        <v>6110</v>
      </c>
      <c r="J597" s="1" t="s">
        <v>6111</v>
      </c>
      <c r="K597" s="1" t="s">
        <v>74</v>
      </c>
      <c r="L597" s="1" t="s">
        <v>74</v>
      </c>
      <c r="M597" s="1" t="s">
        <v>74</v>
      </c>
      <c r="N597" s="1" t="s">
        <v>74</v>
      </c>
      <c r="O597" s="1" t="s">
        <v>74</v>
      </c>
      <c r="P597" s="1" t="s">
        <v>74</v>
      </c>
      <c r="Q597" s="1" t="s">
        <v>74</v>
      </c>
      <c r="R597" s="1" t="s">
        <v>74</v>
      </c>
      <c r="S597" s="1" t="s">
        <v>74</v>
      </c>
      <c r="T597" s="1" t="s">
        <v>74</v>
      </c>
      <c r="U597" s="1" t="s">
        <v>74</v>
      </c>
      <c r="V597" s="1" t="s">
        <v>6112</v>
      </c>
      <c r="W597" s="1" t="s">
        <v>74</v>
      </c>
      <c r="X597" s="1" t="s">
        <v>74</v>
      </c>
      <c r="Y597" s="1" t="s">
        <v>74</v>
      </c>
      <c r="Z597" s="1" t="s">
        <v>74</v>
      </c>
      <c r="AA597" s="1" t="s">
        <v>74</v>
      </c>
      <c r="AB597" s="1" t="s">
        <v>74</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6113</v>
      </c>
      <c r="AP597" s="1" t="s">
        <v>6114</v>
      </c>
      <c r="AQ597" s="1" t="s">
        <v>74</v>
      </c>
      <c r="AR597" s="1" t="s">
        <v>74</v>
      </c>
      <c r="AS597" s="1" t="s">
        <v>74</v>
      </c>
      <c r="AT597" s="1" t="s">
        <v>82</v>
      </c>
      <c r="AU597" s="1">
        <v>2021.0</v>
      </c>
      <c r="AV597" s="1" t="s">
        <v>74</v>
      </c>
      <c r="AW597" s="1">
        <v>16.0</v>
      </c>
      <c r="AX597" s="1" t="s">
        <v>74</v>
      </c>
      <c r="AY597" s="1" t="s">
        <v>74</v>
      </c>
      <c r="AZ597" s="1" t="s">
        <v>74</v>
      </c>
      <c r="BA597" s="1" t="s">
        <v>74</v>
      </c>
      <c r="BB597" s="1">
        <v>34.0</v>
      </c>
      <c r="BC597" s="1">
        <v>38.0</v>
      </c>
      <c r="BD597" s="1" t="s">
        <v>74</v>
      </c>
      <c r="BE597" s="1" t="s">
        <v>6115</v>
      </c>
      <c r="BF597" s="2" t="str">
        <f>HYPERLINK("http://dx.doi.org/10.24192/2386-7027(2021)(v16)(02)","http://dx.doi.org/10.24192/2386-7027(2021)(v16)(02)")</f>
        <v>http://dx.doi.org/10.24192/2386-7027(2021)(v16)(02)</v>
      </c>
      <c r="BG597" s="1" t="s">
        <v>74</v>
      </c>
      <c r="BH597" s="1" t="s">
        <v>74</v>
      </c>
      <c r="BI597" s="1" t="s">
        <v>74</v>
      </c>
      <c r="BJ597" s="1" t="s">
        <v>74</v>
      </c>
      <c r="BK597" s="1" t="s">
        <v>74</v>
      </c>
      <c r="BL597" s="1" t="s">
        <v>74</v>
      </c>
      <c r="BM597" s="1" t="s">
        <v>74</v>
      </c>
      <c r="BN597" s="1" t="s">
        <v>74</v>
      </c>
      <c r="BO597" s="1" t="s">
        <v>74</v>
      </c>
      <c r="BP597" s="1" t="s">
        <v>74</v>
      </c>
      <c r="BQ597" s="1" t="s">
        <v>74</v>
      </c>
      <c r="BR597" s="1" t="s">
        <v>74</v>
      </c>
      <c r="BS597" s="1" t="s">
        <v>6116</v>
      </c>
      <c r="BT597" s="1" t="str">
        <f>HYPERLINK("https%3A%2F%2Fwww.webofscience.com%2Fwos%2Fwoscc%2Ffull-record%2FWOS:000729813700003","View Full Record in Web of Science")</f>
        <v>View Full Record in Web of Science</v>
      </c>
    </row>
    <row r="598" ht="12.75" customHeight="1">
      <c r="A598" s="1" t="s">
        <v>72</v>
      </c>
      <c r="B598" s="1" t="s">
        <v>6117</v>
      </c>
      <c r="C598" s="1" t="s">
        <v>74</v>
      </c>
      <c r="D598" s="1" t="s">
        <v>74</v>
      </c>
      <c r="E598" s="1" t="s">
        <v>74</v>
      </c>
      <c r="F598" s="1" t="s">
        <v>6118</v>
      </c>
      <c r="G598" s="1" t="s">
        <v>74</v>
      </c>
      <c r="H598" s="1" t="s">
        <v>74</v>
      </c>
      <c r="I598" s="1" t="s">
        <v>6119</v>
      </c>
      <c r="J598" s="1" t="s">
        <v>6120</v>
      </c>
      <c r="K598" s="1" t="s">
        <v>74</v>
      </c>
      <c r="L598" s="1" t="s">
        <v>74</v>
      </c>
      <c r="M598" s="1" t="s">
        <v>74</v>
      </c>
      <c r="N598" s="1" t="s">
        <v>74</v>
      </c>
      <c r="O598" s="1" t="s">
        <v>74</v>
      </c>
      <c r="P598" s="1" t="s">
        <v>74</v>
      </c>
      <c r="Q598" s="1" t="s">
        <v>74</v>
      </c>
      <c r="R598" s="1" t="s">
        <v>74</v>
      </c>
      <c r="S598" s="1" t="s">
        <v>74</v>
      </c>
      <c r="T598" s="1" t="s">
        <v>74</v>
      </c>
      <c r="U598" s="1" t="s">
        <v>74</v>
      </c>
      <c r="V598" s="1" t="s">
        <v>6121</v>
      </c>
      <c r="W598" s="1" t="s">
        <v>74</v>
      </c>
      <c r="X598" s="1" t="s">
        <v>74</v>
      </c>
      <c r="Y598" s="1" t="s">
        <v>74</v>
      </c>
      <c r="Z598" s="1" t="s">
        <v>74</v>
      </c>
      <c r="AA598" s="1" t="s">
        <v>6122</v>
      </c>
      <c r="AB598" s="1" t="s">
        <v>6123</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6124</v>
      </c>
      <c r="AP598" s="1" t="s">
        <v>6125</v>
      </c>
      <c r="AQ598" s="1" t="s">
        <v>74</v>
      </c>
      <c r="AR598" s="1" t="s">
        <v>74</v>
      </c>
      <c r="AS598" s="1" t="s">
        <v>74</v>
      </c>
      <c r="AT598" s="1" t="s">
        <v>94</v>
      </c>
      <c r="AU598" s="1">
        <v>2021.0</v>
      </c>
      <c r="AV598" s="1">
        <v>96.0</v>
      </c>
      <c r="AW598" s="1">
        <v>3.0</v>
      </c>
      <c r="AX598" s="1" t="s">
        <v>74</v>
      </c>
      <c r="AY598" s="1" t="s">
        <v>74</v>
      </c>
      <c r="AZ598" s="1" t="s">
        <v>74</v>
      </c>
      <c r="BA598" s="1" t="s">
        <v>74</v>
      </c>
      <c r="BB598" s="1">
        <v>461.0</v>
      </c>
      <c r="BC598" s="1">
        <v>470.0</v>
      </c>
      <c r="BD598" s="1" t="s">
        <v>74</v>
      </c>
      <c r="BE598" s="1" t="s">
        <v>6126</v>
      </c>
      <c r="BF598" s="2" t="str">
        <f>HYPERLINK("http://dx.doi.org/10.1007/s12565-021-00613-y","http://dx.doi.org/10.1007/s12565-021-00613-y")</f>
        <v>http://dx.doi.org/10.1007/s12565-021-00613-y</v>
      </c>
      <c r="BG598" s="1" t="s">
        <v>74</v>
      </c>
      <c r="BH598" s="1" t="s">
        <v>2439</v>
      </c>
      <c r="BI598" s="1" t="s">
        <v>74</v>
      </c>
      <c r="BJ598" s="1" t="s">
        <v>74</v>
      </c>
      <c r="BK598" s="1" t="s">
        <v>74</v>
      </c>
      <c r="BL598" s="1" t="s">
        <v>74</v>
      </c>
      <c r="BM598" s="1" t="s">
        <v>74</v>
      </c>
      <c r="BN598" s="1">
        <v>3.3687656E7</v>
      </c>
      <c r="BO598" s="1" t="s">
        <v>74</v>
      </c>
      <c r="BP598" s="1" t="s">
        <v>74</v>
      </c>
      <c r="BQ598" s="1" t="s">
        <v>74</v>
      </c>
      <c r="BR598" s="1" t="s">
        <v>74</v>
      </c>
      <c r="BS598" s="1" t="s">
        <v>6127</v>
      </c>
      <c r="BT598" s="1" t="str">
        <f>HYPERLINK("https%3A%2F%2Fwww.webofscience.com%2Fwos%2Fwoscc%2Ffull-record%2FWOS:000626794400001","View Full Record in Web of Science")</f>
        <v>View Full Record in Web of Science</v>
      </c>
    </row>
    <row r="599" ht="12.75" customHeight="1">
      <c r="A599" s="1" t="s">
        <v>72</v>
      </c>
      <c r="B599" s="1" t="s">
        <v>6128</v>
      </c>
      <c r="C599" s="1" t="s">
        <v>74</v>
      </c>
      <c r="D599" s="1" t="s">
        <v>74</v>
      </c>
      <c r="E599" s="1" t="s">
        <v>74</v>
      </c>
      <c r="F599" s="1" t="s">
        <v>6129</v>
      </c>
      <c r="G599" s="1" t="s">
        <v>74</v>
      </c>
      <c r="H599" s="1" t="s">
        <v>74</v>
      </c>
      <c r="I599" s="1" t="s">
        <v>6130</v>
      </c>
      <c r="J599" s="1" t="s">
        <v>4064</v>
      </c>
      <c r="K599" s="1" t="s">
        <v>74</v>
      </c>
      <c r="L599" s="1" t="s">
        <v>74</v>
      </c>
      <c r="M599" s="1" t="s">
        <v>74</v>
      </c>
      <c r="N599" s="1" t="s">
        <v>74</v>
      </c>
      <c r="O599" s="1" t="s">
        <v>74</v>
      </c>
      <c r="P599" s="1" t="s">
        <v>74</v>
      </c>
      <c r="Q599" s="1" t="s">
        <v>74</v>
      </c>
      <c r="R599" s="1" t="s">
        <v>74</v>
      </c>
      <c r="S599" s="1" t="s">
        <v>74</v>
      </c>
      <c r="T599" s="1" t="s">
        <v>74</v>
      </c>
      <c r="U599" s="1" t="s">
        <v>74</v>
      </c>
      <c r="V599" s="1" t="s">
        <v>6131</v>
      </c>
      <c r="W599" s="1" t="s">
        <v>74</v>
      </c>
      <c r="X599" s="1" t="s">
        <v>74</v>
      </c>
      <c r="Y599" s="1" t="s">
        <v>74</v>
      </c>
      <c r="Z599" s="1" t="s">
        <v>74</v>
      </c>
      <c r="AA599" s="1" t="s">
        <v>6132</v>
      </c>
      <c r="AB599" s="1" t="s">
        <v>6133</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4068</v>
      </c>
      <c r="AP599" s="1" t="s">
        <v>4069</v>
      </c>
      <c r="AQ599" s="1" t="s">
        <v>74</v>
      </c>
      <c r="AR599" s="1" t="s">
        <v>74</v>
      </c>
      <c r="AS599" s="1" t="s">
        <v>74</v>
      </c>
      <c r="AT599" s="1" t="s">
        <v>6134</v>
      </c>
      <c r="AU599" s="1">
        <v>2020.0</v>
      </c>
      <c r="AV599" s="1">
        <v>102.0</v>
      </c>
      <c r="AW599" s="1">
        <v>2.0</v>
      </c>
      <c r="AX599" s="1" t="s">
        <v>74</v>
      </c>
      <c r="AY599" s="1" t="s">
        <v>74</v>
      </c>
      <c r="AZ599" s="1" t="s">
        <v>74</v>
      </c>
      <c r="BA599" s="1" t="s">
        <v>74</v>
      </c>
      <c r="BB599" s="1" t="s">
        <v>74</v>
      </c>
      <c r="BC599" s="1" t="s">
        <v>74</v>
      </c>
      <c r="BD599" s="1">
        <v>24444.0</v>
      </c>
      <c r="BE599" s="1" t="s">
        <v>6135</v>
      </c>
      <c r="BF599" s="2" t="str">
        <f>HYPERLINK("http://dx.doi.org/10.1103/PhysRevB.102.024444","http://dx.doi.org/10.1103/PhysRevB.102.024444")</f>
        <v>http://dx.doi.org/10.1103/PhysRevB.102.024444</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6136</v>
      </c>
      <c r="BT599" s="1" t="str">
        <f>HYPERLINK("https%3A%2F%2Fwww.webofscience.com%2Fwos%2Fwoscc%2Ffull-record%2FWOS:000553247300004","View Full Record in Web of Science")</f>
        <v>View Full Record in Web of Science</v>
      </c>
    </row>
    <row r="600" ht="12.75" customHeight="1">
      <c r="A600" s="1" t="s">
        <v>72</v>
      </c>
      <c r="B600" s="1" t="s">
        <v>6137</v>
      </c>
      <c r="C600" s="1" t="s">
        <v>74</v>
      </c>
      <c r="D600" s="1" t="s">
        <v>74</v>
      </c>
      <c r="E600" s="1" t="s">
        <v>74</v>
      </c>
      <c r="F600" s="1" t="s">
        <v>6138</v>
      </c>
      <c r="G600" s="1" t="s">
        <v>74</v>
      </c>
      <c r="H600" s="1" t="s">
        <v>74</v>
      </c>
      <c r="I600" s="1" t="s">
        <v>6139</v>
      </c>
      <c r="J600" s="1" t="s">
        <v>6140</v>
      </c>
      <c r="K600" s="1" t="s">
        <v>74</v>
      </c>
      <c r="L600" s="1" t="s">
        <v>74</v>
      </c>
      <c r="M600" s="1" t="s">
        <v>74</v>
      </c>
      <c r="N600" s="1" t="s">
        <v>74</v>
      </c>
      <c r="O600" s="1" t="s">
        <v>74</v>
      </c>
      <c r="P600" s="1" t="s">
        <v>74</v>
      </c>
      <c r="Q600" s="1" t="s">
        <v>74</v>
      </c>
      <c r="R600" s="1" t="s">
        <v>74</v>
      </c>
      <c r="S600" s="1" t="s">
        <v>74</v>
      </c>
      <c r="T600" s="1" t="s">
        <v>74</v>
      </c>
      <c r="U600" s="1" t="s">
        <v>74</v>
      </c>
      <c r="V600" s="1" t="s">
        <v>6141</v>
      </c>
      <c r="W600" s="1" t="s">
        <v>74</v>
      </c>
      <c r="X600" s="1" t="s">
        <v>74</v>
      </c>
      <c r="Y600" s="1" t="s">
        <v>74</v>
      </c>
      <c r="Z600" s="1" t="s">
        <v>74</v>
      </c>
      <c r="AA600" s="1" t="s">
        <v>6142</v>
      </c>
      <c r="AB600" s="1" t="s">
        <v>6143</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6144</v>
      </c>
      <c r="AP600" s="1" t="s">
        <v>6145</v>
      </c>
      <c r="AQ600" s="1" t="s">
        <v>74</v>
      </c>
      <c r="AR600" s="1" t="s">
        <v>74</v>
      </c>
      <c r="AS600" s="1" t="s">
        <v>74</v>
      </c>
      <c r="AT600" s="1" t="s">
        <v>6146</v>
      </c>
      <c r="AU600" s="1">
        <v>2020.0</v>
      </c>
      <c r="AV600" s="1">
        <v>93.0</v>
      </c>
      <c r="AW600" s="1">
        <v>1.0</v>
      </c>
      <c r="AX600" s="1" t="s">
        <v>74</v>
      </c>
      <c r="AY600" s="1" t="s">
        <v>74</v>
      </c>
      <c r="AZ600" s="1" t="s">
        <v>74</v>
      </c>
      <c r="BA600" s="1" t="s">
        <v>74</v>
      </c>
      <c r="BB600" s="1" t="s">
        <v>74</v>
      </c>
      <c r="BC600" s="1" t="s">
        <v>74</v>
      </c>
      <c r="BD600" s="1">
        <v>3.0</v>
      </c>
      <c r="BE600" s="1" t="s">
        <v>6147</v>
      </c>
      <c r="BF600" s="2" t="str">
        <f>HYPERLINK("http://dx.doi.org/10.1186/s40693-020-00091-y","http://dx.doi.org/10.1186/s40693-020-00091-y")</f>
        <v>http://dx.doi.org/10.1186/s40693-020-00091-y</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6148</v>
      </c>
      <c r="BT600" s="1" t="str">
        <f>HYPERLINK("https%3A%2F%2Fwww.webofscience.com%2Fwos%2Fwoscc%2Ffull-record%2FWOS:000534243100001","View Full Record in Web of Science")</f>
        <v>View Full Record in Web of Science</v>
      </c>
    </row>
    <row r="601" ht="12.75" customHeight="1">
      <c r="A601" s="1" t="s">
        <v>72</v>
      </c>
      <c r="B601" s="1" t="s">
        <v>6149</v>
      </c>
      <c r="C601" s="1" t="s">
        <v>74</v>
      </c>
      <c r="D601" s="1" t="s">
        <v>74</v>
      </c>
      <c r="E601" s="1" t="s">
        <v>74</v>
      </c>
      <c r="F601" s="1" t="s">
        <v>6150</v>
      </c>
      <c r="G601" s="1" t="s">
        <v>74</v>
      </c>
      <c r="H601" s="1" t="s">
        <v>74</v>
      </c>
      <c r="I601" s="1" t="s">
        <v>6151</v>
      </c>
      <c r="J601" s="1" t="s">
        <v>6152</v>
      </c>
      <c r="K601" s="1" t="s">
        <v>74</v>
      </c>
      <c r="L601" s="1" t="s">
        <v>74</v>
      </c>
      <c r="M601" s="1" t="s">
        <v>74</v>
      </c>
      <c r="N601" s="1" t="s">
        <v>74</v>
      </c>
      <c r="O601" s="1" t="s">
        <v>74</v>
      </c>
      <c r="P601" s="1" t="s">
        <v>74</v>
      </c>
      <c r="Q601" s="1" t="s">
        <v>74</v>
      </c>
      <c r="R601" s="1" t="s">
        <v>74</v>
      </c>
      <c r="S601" s="1" t="s">
        <v>74</v>
      </c>
      <c r="T601" s="1" t="s">
        <v>74</v>
      </c>
      <c r="U601" s="1" t="s">
        <v>74</v>
      </c>
      <c r="V601" s="1" t="s">
        <v>6153</v>
      </c>
      <c r="W601" s="1" t="s">
        <v>74</v>
      </c>
      <c r="X601" s="1" t="s">
        <v>74</v>
      </c>
      <c r="Y601" s="1" t="s">
        <v>74</v>
      </c>
      <c r="Z601" s="1" t="s">
        <v>74</v>
      </c>
      <c r="AA601" s="1" t="s">
        <v>6154</v>
      </c>
      <c r="AB601" s="1" t="s">
        <v>6155</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6156</v>
      </c>
      <c r="AP601" s="1" t="s">
        <v>6157</v>
      </c>
      <c r="AQ601" s="1" t="s">
        <v>74</v>
      </c>
      <c r="AR601" s="1" t="s">
        <v>74</v>
      </c>
      <c r="AS601" s="1" t="s">
        <v>74</v>
      </c>
      <c r="AT601" s="1" t="s">
        <v>703</v>
      </c>
      <c r="AU601" s="1">
        <v>2021.0</v>
      </c>
      <c r="AV601" s="1">
        <v>31.0</v>
      </c>
      <c r="AW601" s="1">
        <v>4.0</v>
      </c>
      <c r="AX601" s="1" t="s">
        <v>74</v>
      </c>
      <c r="AY601" s="1" t="s">
        <v>74</v>
      </c>
      <c r="AZ601" s="1" t="s">
        <v>74</v>
      </c>
      <c r="BA601" s="1" t="s">
        <v>74</v>
      </c>
      <c r="BB601" s="1">
        <v>418.0</v>
      </c>
      <c r="BC601" s="1">
        <v>433.0</v>
      </c>
      <c r="BD601" s="1" t="s">
        <v>74</v>
      </c>
      <c r="BE601" s="1" t="s">
        <v>6158</v>
      </c>
      <c r="BF601" s="2" t="str">
        <f>HYPERLINK("http://dx.doi.org/10.1080/10439463.2020.1744600","http://dx.doi.org/10.1080/10439463.2020.1744600")</f>
        <v>http://dx.doi.org/10.1080/10439463.2020.1744600</v>
      </c>
      <c r="BG601" s="1" t="s">
        <v>74</v>
      </c>
      <c r="BH601" s="1" t="s">
        <v>5534</v>
      </c>
      <c r="BI601" s="1" t="s">
        <v>74</v>
      </c>
      <c r="BJ601" s="1" t="s">
        <v>74</v>
      </c>
      <c r="BK601" s="1" t="s">
        <v>74</v>
      </c>
      <c r="BL601" s="1" t="s">
        <v>74</v>
      </c>
      <c r="BM601" s="1" t="s">
        <v>74</v>
      </c>
      <c r="BN601" s="1" t="s">
        <v>74</v>
      </c>
      <c r="BO601" s="1" t="s">
        <v>74</v>
      </c>
      <c r="BP601" s="1" t="s">
        <v>74</v>
      </c>
      <c r="BQ601" s="1" t="s">
        <v>74</v>
      </c>
      <c r="BR601" s="1" t="s">
        <v>74</v>
      </c>
      <c r="BS601" s="1" t="s">
        <v>6159</v>
      </c>
      <c r="BT601" s="1" t="str">
        <f>HYPERLINK("https%3A%2F%2Fwww.webofscience.com%2Fwos%2Fwoscc%2Ffull-record%2FWOS:000527423800001","View Full Record in Web of Science")</f>
        <v>View Full Record in Web of Science</v>
      </c>
    </row>
    <row r="602" ht="12.75" customHeight="1">
      <c r="A602" s="1" t="s">
        <v>72</v>
      </c>
      <c r="B602" s="1" t="s">
        <v>6160</v>
      </c>
      <c r="C602" s="1" t="s">
        <v>74</v>
      </c>
      <c r="D602" s="1" t="s">
        <v>74</v>
      </c>
      <c r="E602" s="1" t="s">
        <v>74</v>
      </c>
      <c r="F602" s="1" t="s">
        <v>6161</v>
      </c>
      <c r="G602" s="1" t="s">
        <v>74</v>
      </c>
      <c r="H602" s="1" t="s">
        <v>74</v>
      </c>
      <c r="I602" s="1" t="s">
        <v>6162</v>
      </c>
      <c r="J602" s="1" t="s">
        <v>6163</v>
      </c>
      <c r="K602" s="1" t="s">
        <v>74</v>
      </c>
      <c r="L602" s="1" t="s">
        <v>74</v>
      </c>
      <c r="M602" s="1" t="s">
        <v>74</v>
      </c>
      <c r="N602" s="1" t="s">
        <v>74</v>
      </c>
      <c r="O602" s="1" t="s">
        <v>74</v>
      </c>
      <c r="P602" s="1" t="s">
        <v>74</v>
      </c>
      <c r="Q602" s="1" t="s">
        <v>74</v>
      </c>
      <c r="R602" s="1" t="s">
        <v>74</v>
      </c>
      <c r="S602" s="1" t="s">
        <v>74</v>
      </c>
      <c r="T602" s="1" t="s">
        <v>74</v>
      </c>
      <c r="U602" s="1" t="s">
        <v>74</v>
      </c>
      <c r="V602" s="1" t="s">
        <v>6164</v>
      </c>
      <c r="W602" s="1" t="s">
        <v>74</v>
      </c>
      <c r="X602" s="1" t="s">
        <v>74</v>
      </c>
      <c r="Y602" s="1" t="s">
        <v>74</v>
      </c>
      <c r="Z602" s="1" t="s">
        <v>74</v>
      </c>
      <c r="AA602" s="1" t="s">
        <v>6165</v>
      </c>
      <c r="AB602" s="1" t="s">
        <v>6166</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6167</v>
      </c>
      <c r="AP602" s="1" t="s">
        <v>74</v>
      </c>
      <c r="AQ602" s="1" t="s">
        <v>74</v>
      </c>
      <c r="AR602" s="1" t="s">
        <v>74</v>
      </c>
      <c r="AS602" s="1" t="s">
        <v>74</v>
      </c>
      <c r="AT602" s="1" t="s">
        <v>6168</v>
      </c>
      <c r="AU602" s="1">
        <v>2020.0</v>
      </c>
      <c r="AV602" s="1">
        <v>8.0</v>
      </c>
      <c r="AW602" s="1" t="s">
        <v>74</v>
      </c>
      <c r="AX602" s="1" t="s">
        <v>74</v>
      </c>
      <c r="AY602" s="1" t="s">
        <v>74</v>
      </c>
      <c r="AZ602" s="1" t="s">
        <v>74</v>
      </c>
      <c r="BA602" s="1" t="s">
        <v>74</v>
      </c>
      <c r="BB602" s="1" t="s">
        <v>74</v>
      </c>
      <c r="BC602" s="1" t="s">
        <v>74</v>
      </c>
      <c r="BD602" s="1">
        <v>22.0</v>
      </c>
      <c r="BE602" s="1" t="s">
        <v>6169</v>
      </c>
      <c r="BF602" s="2" t="str">
        <f>HYPERLINK("http://dx.doi.org/10.3389/fchem.2020.00022","http://dx.doi.org/10.3389/fchem.2020.00022")</f>
        <v>http://dx.doi.org/10.3389/fchem.2020.00022</v>
      </c>
      <c r="BG602" s="1" t="s">
        <v>74</v>
      </c>
      <c r="BH602" s="1" t="s">
        <v>74</v>
      </c>
      <c r="BI602" s="1" t="s">
        <v>74</v>
      </c>
      <c r="BJ602" s="1" t="s">
        <v>74</v>
      </c>
      <c r="BK602" s="1" t="s">
        <v>74</v>
      </c>
      <c r="BL602" s="1" t="s">
        <v>74</v>
      </c>
      <c r="BM602" s="1" t="s">
        <v>74</v>
      </c>
      <c r="BN602" s="1">
        <v>3.2064248E7</v>
      </c>
      <c r="BO602" s="1" t="s">
        <v>74</v>
      </c>
      <c r="BP602" s="1" t="s">
        <v>74</v>
      </c>
      <c r="BQ602" s="1" t="s">
        <v>74</v>
      </c>
      <c r="BR602" s="1" t="s">
        <v>74</v>
      </c>
      <c r="BS602" s="1" t="s">
        <v>6170</v>
      </c>
      <c r="BT602" s="1" t="str">
        <f>HYPERLINK("https%3A%2F%2Fwww.webofscience.com%2Fwos%2Fwoscc%2Ffull-record%2FWOS:000514394100001","View Full Record in Web of Science")</f>
        <v>View Full Record in Web of Science</v>
      </c>
    </row>
    <row r="603" ht="12.75" customHeight="1">
      <c r="A603" s="1" t="s">
        <v>72</v>
      </c>
      <c r="B603" s="1" t="s">
        <v>6171</v>
      </c>
      <c r="C603" s="1" t="s">
        <v>74</v>
      </c>
      <c r="D603" s="1" t="s">
        <v>74</v>
      </c>
      <c r="E603" s="1" t="s">
        <v>74</v>
      </c>
      <c r="F603" s="1" t="s">
        <v>6172</v>
      </c>
      <c r="G603" s="1" t="s">
        <v>74</v>
      </c>
      <c r="H603" s="1" t="s">
        <v>74</v>
      </c>
      <c r="I603" s="1" t="s">
        <v>6173</v>
      </c>
      <c r="J603" s="1" t="s">
        <v>6174</v>
      </c>
      <c r="K603" s="1" t="s">
        <v>74</v>
      </c>
      <c r="L603" s="1" t="s">
        <v>74</v>
      </c>
      <c r="M603" s="1" t="s">
        <v>74</v>
      </c>
      <c r="N603" s="1" t="s">
        <v>74</v>
      </c>
      <c r="O603" s="1" t="s">
        <v>74</v>
      </c>
      <c r="P603" s="1" t="s">
        <v>74</v>
      </c>
      <c r="Q603" s="1" t="s">
        <v>74</v>
      </c>
      <c r="R603" s="1" t="s">
        <v>74</v>
      </c>
      <c r="S603" s="1" t="s">
        <v>74</v>
      </c>
      <c r="T603" s="1" t="s">
        <v>74</v>
      </c>
      <c r="U603" s="1" t="s">
        <v>74</v>
      </c>
      <c r="V603" s="1" t="s">
        <v>6175</v>
      </c>
      <c r="W603" s="1" t="s">
        <v>74</v>
      </c>
      <c r="X603" s="1" t="s">
        <v>74</v>
      </c>
      <c r="Y603" s="1" t="s">
        <v>74</v>
      </c>
      <c r="Z603" s="1" t="s">
        <v>74</v>
      </c>
      <c r="AA603" s="1" t="s">
        <v>6176</v>
      </c>
      <c r="AB603" s="1" t="s">
        <v>6177</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6178</v>
      </c>
      <c r="AP603" s="1" t="s">
        <v>6179</v>
      </c>
      <c r="AQ603" s="1" t="s">
        <v>74</v>
      </c>
      <c r="AR603" s="1" t="s">
        <v>74</v>
      </c>
      <c r="AS603" s="1" t="s">
        <v>74</v>
      </c>
      <c r="AT603" s="1" t="s">
        <v>745</v>
      </c>
      <c r="AU603" s="1">
        <v>2019.0</v>
      </c>
      <c r="AV603" s="1">
        <v>102.0</v>
      </c>
      <c r="AW603" s="1" t="s">
        <v>74</v>
      </c>
      <c r="AX603" s="1" t="s">
        <v>74</v>
      </c>
      <c r="AY603" s="1" t="s">
        <v>74</v>
      </c>
      <c r="AZ603" s="1" t="s">
        <v>74</v>
      </c>
      <c r="BA603" s="1" t="s">
        <v>74</v>
      </c>
      <c r="BB603" s="1">
        <v>94.0</v>
      </c>
      <c r="BC603" s="1">
        <v>98.0</v>
      </c>
      <c r="BD603" s="1" t="s">
        <v>74</v>
      </c>
      <c r="BE603" s="1" t="s">
        <v>6180</v>
      </c>
      <c r="BF603" s="2" t="str">
        <f>HYPERLINK("http://dx.doi.org/10.1016/j.elecom.2019.04.007","http://dx.doi.org/10.1016/j.elecom.2019.04.007")</f>
        <v>http://dx.doi.org/10.1016/j.elecom.2019.04.007</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6181</v>
      </c>
      <c r="BT603" s="1" t="str">
        <f>HYPERLINK("https%3A%2F%2Fwww.webofscience.com%2Fwos%2Fwoscc%2Ffull-record%2FWOS:000465448100018","View Full Record in Web of Science")</f>
        <v>View Full Record in Web of Science</v>
      </c>
    </row>
    <row r="604" ht="12.75" customHeight="1">
      <c r="A604" s="1" t="s">
        <v>207</v>
      </c>
      <c r="B604" s="1" t="s">
        <v>6182</v>
      </c>
      <c r="C604" s="1" t="s">
        <v>74</v>
      </c>
      <c r="D604" s="1" t="s">
        <v>74</v>
      </c>
      <c r="E604" s="1" t="s">
        <v>224</v>
      </c>
      <c r="F604" s="1" t="s">
        <v>6183</v>
      </c>
      <c r="G604" s="1" t="s">
        <v>74</v>
      </c>
      <c r="H604" s="1" t="s">
        <v>74</v>
      </c>
      <c r="I604" s="1" t="s">
        <v>6184</v>
      </c>
      <c r="J604" s="1" t="s">
        <v>6185</v>
      </c>
      <c r="K604" s="1" t="s">
        <v>6186</v>
      </c>
      <c r="L604" s="1" t="s">
        <v>74</v>
      </c>
      <c r="M604" s="1" t="s">
        <v>74</v>
      </c>
      <c r="N604" s="1" t="s">
        <v>74</v>
      </c>
      <c r="O604" s="1" t="s">
        <v>6187</v>
      </c>
      <c r="P604" s="1" t="s">
        <v>6188</v>
      </c>
      <c r="Q604" s="1" t="s">
        <v>6189</v>
      </c>
      <c r="R604" s="1" t="s">
        <v>74</v>
      </c>
      <c r="S604" s="1" t="s">
        <v>74</v>
      </c>
      <c r="T604" s="1" t="s">
        <v>74</v>
      </c>
      <c r="U604" s="1" t="s">
        <v>74</v>
      </c>
      <c r="V604" s="1" t="s">
        <v>6190</v>
      </c>
      <c r="W604" s="1" t="s">
        <v>74</v>
      </c>
      <c r="X604" s="1" t="s">
        <v>74</v>
      </c>
      <c r="Y604" s="1" t="s">
        <v>74</v>
      </c>
      <c r="Z604" s="1" t="s">
        <v>74</v>
      </c>
      <c r="AA604" s="1" t="s">
        <v>6191</v>
      </c>
      <c r="AB604" s="1" t="s">
        <v>6192</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6193</v>
      </c>
      <c r="AP604" s="1" t="s">
        <v>74</v>
      </c>
      <c r="AQ604" s="1" t="s">
        <v>6194</v>
      </c>
      <c r="AR604" s="1" t="s">
        <v>74</v>
      </c>
      <c r="AS604" s="1" t="s">
        <v>74</v>
      </c>
      <c r="AT604" s="1" t="s">
        <v>74</v>
      </c>
      <c r="AU604" s="1">
        <v>2019.0</v>
      </c>
      <c r="AV604" s="1" t="s">
        <v>74</v>
      </c>
      <c r="AW604" s="1" t="s">
        <v>74</v>
      </c>
      <c r="AX604" s="1" t="s">
        <v>74</v>
      </c>
      <c r="AY604" s="1" t="s">
        <v>74</v>
      </c>
      <c r="AZ604" s="1" t="s">
        <v>74</v>
      </c>
      <c r="BA604" s="1" t="s">
        <v>74</v>
      </c>
      <c r="BB604" s="1" t="s">
        <v>74</v>
      </c>
      <c r="BC604" s="1" t="s">
        <v>74</v>
      </c>
      <c r="BD604" s="1" t="s">
        <v>74</v>
      </c>
      <c r="BE604" s="1" t="s">
        <v>6195</v>
      </c>
      <c r="BF604" s="2" t="str">
        <f>HYPERLINK("http://dx.doi.org/10.23919/epe.2019.8915500","http://dx.doi.org/10.23919/epe.2019.8915500")</f>
        <v>http://dx.doi.org/10.23919/epe.2019.8915500</v>
      </c>
      <c r="BG604" s="1" t="s">
        <v>74</v>
      </c>
      <c r="BH604" s="1" t="s">
        <v>74</v>
      </c>
      <c r="BI604" s="1" t="s">
        <v>74</v>
      </c>
      <c r="BJ604" s="1" t="s">
        <v>74</v>
      </c>
      <c r="BK604" s="1" t="s">
        <v>74</v>
      </c>
      <c r="BL604" s="1" t="s">
        <v>74</v>
      </c>
      <c r="BM604" s="1" t="s">
        <v>74</v>
      </c>
      <c r="BN604" s="1" t="s">
        <v>74</v>
      </c>
      <c r="BO604" s="1" t="s">
        <v>74</v>
      </c>
      <c r="BP604" s="1" t="s">
        <v>74</v>
      </c>
      <c r="BQ604" s="1" t="s">
        <v>74</v>
      </c>
      <c r="BR604" s="1" t="s">
        <v>74</v>
      </c>
      <c r="BS604" s="1" t="s">
        <v>6196</v>
      </c>
      <c r="BT604" s="1" t="str">
        <f>HYPERLINK("https%3A%2F%2Fwww.webofscience.com%2Fwos%2Fwoscc%2Ffull-record%2FWOS:000515073403075","View Full Record in Web of Science")</f>
        <v>View Full Record in Web of Science</v>
      </c>
    </row>
    <row r="605" ht="12.75" customHeight="1">
      <c r="A605" s="1" t="s">
        <v>72</v>
      </c>
      <c r="B605" s="1" t="s">
        <v>6197</v>
      </c>
      <c r="C605" s="1" t="s">
        <v>74</v>
      </c>
      <c r="D605" s="1" t="s">
        <v>74</v>
      </c>
      <c r="E605" s="1" t="s">
        <v>74</v>
      </c>
      <c r="F605" s="1" t="s">
        <v>6198</v>
      </c>
      <c r="G605" s="1" t="s">
        <v>74</v>
      </c>
      <c r="H605" s="1" t="s">
        <v>74</v>
      </c>
      <c r="I605" s="1" t="s">
        <v>6199</v>
      </c>
      <c r="J605" s="1" t="s">
        <v>2460</v>
      </c>
      <c r="K605" s="1" t="s">
        <v>74</v>
      </c>
      <c r="L605" s="1" t="s">
        <v>74</v>
      </c>
      <c r="M605" s="1" t="s">
        <v>74</v>
      </c>
      <c r="N605" s="1" t="s">
        <v>74</v>
      </c>
      <c r="O605" s="1" t="s">
        <v>74</v>
      </c>
      <c r="P605" s="1" t="s">
        <v>74</v>
      </c>
      <c r="Q605" s="1" t="s">
        <v>74</v>
      </c>
      <c r="R605" s="1" t="s">
        <v>74</v>
      </c>
      <c r="S605" s="1" t="s">
        <v>74</v>
      </c>
      <c r="T605" s="1" t="s">
        <v>74</v>
      </c>
      <c r="U605" s="1" t="s">
        <v>74</v>
      </c>
      <c r="V605" s="1" t="s">
        <v>6200</v>
      </c>
      <c r="W605" s="1" t="s">
        <v>74</v>
      </c>
      <c r="X605" s="1" t="s">
        <v>74</v>
      </c>
      <c r="Y605" s="1" t="s">
        <v>74</v>
      </c>
      <c r="Z605" s="1" t="s">
        <v>74</v>
      </c>
      <c r="AA605" s="1" t="s">
        <v>6201</v>
      </c>
      <c r="AB605" s="1" t="s">
        <v>6202</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2464</v>
      </c>
      <c r="AP605" s="1" t="s">
        <v>2465</v>
      </c>
      <c r="AQ605" s="1" t="s">
        <v>74</v>
      </c>
      <c r="AR605" s="1" t="s">
        <v>74</v>
      </c>
      <c r="AS605" s="1" t="s">
        <v>74</v>
      </c>
      <c r="AT605" s="1" t="s">
        <v>271</v>
      </c>
      <c r="AU605" s="1">
        <v>2018.0</v>
      </c>
      <c r="AV605" s="1">
        <v>146.0</v>
      </c>
      <c r="AW605" s="1">
        <v>9.0</v>
      </c>
      <c r="AX605" s="1" t="s">
        <v>74</v>
      </c>
      <c r="AY605" s="1" t="s">
        <v>74</v>
      </c>
      <c r="AZ605" s="1" t="s">
        <v>74</v>
      </c>
      <c r="BA605" s="1" t="s">
        <v>74</v>
      </c>
      <c r="BB605" s="1">
        <v>1001.0</v>
      </c>
      <c r="BC605" s="1">
        <v>1007.0</v>
      </c>
      <c r="BD605" s="1" t="s">
        <v>74</v>
      </c>
      <c r="BE605" s="1" t="s">
        <v>6203</v>
      </c>
      <c r="BF605" s="2" t="str">
        <f>HYPERLINK("http://dx.doi.org/10.4067/s0034-98872018000901001","http://dx.doi.org/10.4067/s0034-98872018000901001")</f>
        <v>http://dx.doi.org/10.4067/s0034-98872018000901001</v>
      </c>
      <c r="BG605" s="1" t="s">
        <v>74</v>
      </c>
      <c r="BH605" s="1" t="s">
        <v>74</v>
      </c>
      <c r="BI605" s="1" t="s">
        <v>74</v>
      </c>
      <c r="BJ605" s="1" t="s">
        <v>74</v>
      </c>
      <c r="BK605" s="1" t="s">
        <v>74</v>
      </c>
      <c r="BL605" s="1" t="s">
        <v>74</v>
      </c>
      <c r="BM605" s="1" t="s">
        <v>74</v>
      </c>
      <c r="BN605" s="1">
        <v>3.072502E7</v>
      </c>
      <c r="BO605" s="1" t="s">
        <v>74</v>
      </c>
      <c r="BP605" s="1" t="s">
        <v>74</v>
      </c>
      <c r="BQ605" s="1" t="s">
        <v>74</v>
      </c>
      <c r="BR605" s="1" t="s">
        <v>74</v>
      </c>
      <c r="BS605" s="1" t="s">
        <v>6204</v>
      </c>
      <c r="BT605" s="1" t="str">
        <f>HYPERLINK("https%3A%2F%2Fwww.webofscience.com%2Fwos%2Fwoscc%2Ffull-record%2FWOS:000451446200006","View Full Record in Web of Science")</f>
        <v>View Full Record in Web of Science</v>
      </c>
    </row>
    <row r="606" ht="12.75" customHeight="1">
      <c r="A606" s="1" t="s">
        <v>72</v>
      </c>
      <c r="B606" s="1" t="s">
        <v>6205</v>
      </c>
      <c r="C606" s="1" t="s">
        <v>74</v>
      </c>
      <c r="D606" s="1" t="s">
        <v>74</v>
      </c>
      <c r="E606" s="1" t="s">
        <v>74</v>
      </c>
      <c r="F606" s="1" t="s">
        <v>6206</v>
      </c>
      <c r="G606" s="1" t="s">
        <v>74</v>
      </c>
      <c r="H606" s="1" t="s">
        <v>74</v>
      </c>
      <c r="I606" s="1" t="s">
        <v>6207</v>
      </c>
      <c r="J606" s="1" t="s">
        <v>2460</v>
      </c>
      <c r="K606" s="1" t="s">
        <v>74</v>
      </c>
      <c r="L606" s="1" t="s">
        <v>74</v>
      </c>
      <c r="M606" s="1" t="s">
        <v>74</v>
      </c>
      <c r="N606" s="1" t="s">
        <v>74</v>
      </c>
      <c r="O606" s="1" t="s">
        <v>74</v>
      </c>
      <c r="P606" s="1" t="s">
        <v>74</v>
      </c>
      <c r="Q606" s="1" t="s">
        <v>74</v>
      </c>
      <c r="R606" s="1" t="s">
        <v>74</v>
      </c>
      <c r="S606" s="1" t="s">
        <v>74</v>
      </c>
      <c r="T606" s="1" t="s">
        <v>74</v>
      </c>
      <c r="U606" s="1" t="s">
        <v>74</v>
      </c>
      <c r="V606" s="1" t="s">
        <v>6208</v>
      </c>
      <c r="W606" s="1" t="s">
        <v>74</v>
      </c>
      <c r="X606" s="1" t="s">
        <v>74</v>
      </c>
      <c r="Y606" s="1" t="s">
        <v>74</v>
      </c>
      <c r="Z606" s="1" t="s">
        <v>74</v>
      </c>
      <c r="AA606" s="1" t="s">
        <v>6209</v>
      </c>
      <c r="AB606" s="1" t="s">
        <v>6210</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2464</v>
      </c>
      <c r="AP606" s="1" t="s">
        <v>2465</v>
      </c>
      <c r="AQ606" s="1" t="s">
        <v>74</v>
      </c>
      <c r="AR606" s="1" t="s">
        <v>74</v>
      </c>
      <c r="AS606" s="1" t="s">
        <v>74</v>
      </c>
      <c r="AT606" s="1" t="s">
        <v>94</v>
      </c>
      <c r="AU606" s="1">
        <v>2018.0</v>
      </c>
      <c r="AV606" s="1">
        <v>146.0</v>
      </c>
      <c r="AW606" s="1">
        <v>6.0</v>
      </c>
      <c r="AX606" s="1" t="s">
        <v>74</v>
      </c>
      <c r="AY606" s="1" t="s">
        <v>74</v>
      </c>
      <c r="AZ606" s="1" t="s">
        <v>74</v>
      </c>
      <c r="BA606" s="1" t="s">
        <v>74</v>
      </c>
      <c r="BB606" s="1">
        <v>702.0</v>
      </c>
      <c r="BC606" s="1">
        <v>707.0</v>
      </c>
      <c r="BD606" s="1" t="s">
        <v>74</v>
      </c>
      <c r="BE606" s="1" t="s">
        <v>74</v>
      </c>
      <c r="BF606" s="1" t="s">
        <v>74</v>
      </c>
      <c r="BG606" s="1" t="s">
        <v>74</v>
      </c>
      <c r="BH606" s="1" t="s">
        <v>74</v>
      </c>
      <c r="BI606" s="1" t="s">
        <v>74</v>
      </c>
      <c r="BJ606" s="1" t="s">
        <v>74</v>
      </c>
      <c r="BK606" s="1" t="s">
        <v>74</v>
      </c>
      <c r="BL606" s="1" t="s">
        <v>74</v>
      </c>
      <c r="BM606" s="1" t="s">
        <v>74</v>
      </c>
      <c r="BN606" s="1">
        <v>3.0148901E7</v>
      </c>
      <c r="BO606" s="1" t="s">
        <v>74</v>
      </c>
      <c r="BP606" s="1" t="s">
        <v>74</v>
      </c>
      <c r="BQ606" s="1" t="s">
        <v>74</v>
      </c>
      <c r="BR606" s="1" t="s">
        <v>74</v>
      </c>
      <c r="BS606" s="1" t="s">
        <v>6211</v>
      </c>
      <c r="BT606" s="1" t="str">
        <f>HYPERLINK("https%3A%2F%2Fwww.webofscience.com%2Fwos%2Fwoscc%2Ffull-record%2FWOS:000442535800003","View Full Record in Web of Science")</f>
        <v>View Full Record in Web of Science</v>
      </c>
    </row>
    <row r="607" ht="12.75" customHeight="1">
      <c r="A607" s="1" t="s">
        <v>72</v>
      </c>
      <c r="B607" s="1" t="s">
        <v>6212</v>
      </c>
      <c r="C607" s="1" t="s">
        <v>74</v>
      </c>
      <c r="D607" s="1" t="s">
        <v>74</v>
      </c>
      <c r="E607" s="1" t="s">
        <v>74</v>
      </c>
      <c r="F607" s="1" t="s">
        <v>6213</v>
      </c>
      <c r="G607" s="1" t="s">
        <v>74</v>
      </c>
      <c r="H607" s="1" t="s">
        <v>74</v>
      </c>
      <c r="I607" s="1" t="s">
        <v>6214</v>
      </c>
      <c r="J607" s="1" t="s">
        <v>6215</v>
      </c>
      <c r="K607" s="1" t="s">
        <v>74</v>
      </c>
      <c r="L607" s="1" t="s">
        <v>74</v>
      </c>
      <c r="M607" s="1" t="s">
        <v>74</v>
      </c>
      <c r="N607" s="1" t="s">
        <v>74</v>
      </c>
      <c r="O607" s="1" t="s">
        <v>74</v>
      </c>
      <c r="P607" s="1" t="s">
        <v>74</v>
      </c>
      <c r="Q607" s="1" t="s">
        <v>74</v>
      </c>
      <c r="R607" s="1" t="s">
        <v>74</v>
      </c>
      <c r="S607" s="1" t="s">
        <v>74</v>
      </c>
      <c r="T607" s="1" t="s">
        <v>74</v>
      </c>
      <c r="U607" s="1" t="s">
        <v>74</v>
      </c>
      <c r="V607" s="1" t="s">
        <v>6216</v>
      </c>
      <c r="W607" s="1" t="s">
        <v>74</v>
      </c>
      <c r="X607" s="1" t="s">
        <v>74</v>
      </c>
      <c r="Y607" s="1" t="s">
        <v>74</v>
      </c>
      <c r="Z607" s="1" t="s">
        <v>74</v>
      </c>
      <c r="AA607" s="1" t="s">
        <v>74</v>
      </c>
      <c r="AB607" s="1" t="s">
        <v>6217</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6218</v>
      </c>
      <c r="AP607" s="1" t="s">
        <v>74</v>
      </c>
      <c r="AQ607" s="1" t="s">
        <v>74</v>
      </c>
      <c r="AR607" s="1" t="s">
        <v>74</v>
      </c>
      <c r="AS607" s="1" t="s">
        <v>74</v>
      </c>
      <c r="AT607" s="1" t="s">
        <v>74</v>
      </c>
      <c r="AU607" s="1">
        <v>2018.0</v>
      </c>
      <c r="AV607" s="1">
        <v>75.0</v>
      </c>
      <c r="AW607" s="1">
        <v>2.0</v>
      </c>
      <c r="AX607" s="1" t="s">
        <v>74</v>
      </c>
      <c r="AY607" s="1" t="s">
        <v>74</v>
      </c>
      <c r="AZ607" s="1" t="s">
        <v>74</v>
      </c>
      <c r="BA607" s="1" t="s">
        <v>74</v>
      </c>
      <c r="BB607" s="1">
        <v>568.0</v>
      </c>
      <c r="BC607" s="1">
        <v>588.0</v>
      </c>
      <c r="BD607" s="1" t="s">
        <v>74</v>
      </c>
      <c r="BE607" s="1" t="s">
        <v>6219</v>
      </c>
      <c r="BF607" s="2" t="str">
        <f>HYPERLINK("http://dx.doi.org/10.4067/S0717-66432018000200568","http://dx.doi.org/10.4067/S0717-66432018000200568")</f>
        <v>http://dx.doi.org/10.4067/S0717-66432018000200568</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6220</v>
      </c>
      <c r="BT607" s="1" t="str">
        <f>HYPERLINK("https%3A%2F%2Fwww.webofscience.com%2Fwos%2Fwoscc%2Ffull-record%2FWOS:000459218600002","View Full Record in Web of Science")</f>
        <v>View Full Record in Web of Science</v>
      </c>
    </row>
    <row r="608" ht="12.75" customHeight="1">
      <c r="A608" s="1" t="s">
        <v>72</v>
      </c>
      <c r="B608" s="1" t="s">
        <v>6221</v>
      </c>
      <c r="C608" s="1" t="s">
        <v>74</v>
      </c>
      <c r="D608" s="1" t="s">
        <v>74</v>
      </c>
      <c r="E608" s="1" t="s">
        <v>74</v>
      </c>
      <c r="F608" s="1" t="s">
        <v>6222</v>
      </c>
      <c r="G608" s="1" t="s">
        <v>74</v>
      </c>
      <c r="H608" s="1" t="s">
        <v>74</v>
      </c>
      <c r="I608" s="1" t="s">
        <v>6223</v>
      </c>
      <c r="J608" s="1" t="s">
        <v>1937</v>
      </c>
      <c r="K608" s="1" t="s">
        <v>74</v>
      </c>
      <c r="L608" s="1" t="s">
        <v>74</v>
      </c>
      <c r="M608" s="1" t="s">
        <v>74</v>
      </c>
      <c r="N608" s="1" t="s">
        <v>74</v>
      </c>
      <c r="O608" s="1" t="s">
        <v>74</v>
      </c>
      <c r="P608" s="1" t="s">
        <v>74</v>
      </c>
      <c r="Q608" s="1" t="s">
        <v>74</v>
      </c>
      <c r="R608" s="1" t="s">
        <v>74</v>
      </c>
      <c r="S608" s="1" t="s">
        <v>74</v>
      </c>
      <c r="T608" s="1" t="s">
        <v>74</v>
      </c>
      <c r="U608" s="1" t="s">
        <v>74</v>
      </c>
      <c r="V608" s="1" t="s">
        <v>6224</v>
      </c>
      <c r="W608" s="1" t="s">
        <v>74</v>
      </c>
      <c r="X608" s="1" t="s">
        <v>74</v>
      </c>
      <c r="Y608" s="1" t="s">
        <v>74</v>
      </c>
      <c r="Z608" s="1" t="s">
        <v>74</v>
      </c>
      <c r="AA608" s="1" t="s">
        <v>6225</v>
      </c>
      <c r="AB608" s="1" t="s">
        <v>6226</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74</v>
      </c>
      <c r="AP608" s="1" t="s">
        <v>1941</v>
      </c>
      <c r="AQ608" s="1" t="s">
        <v>74</v>
      </c>
      <c r="AR608" s="1" t="s">
        <v>74</v>
      </c>
      <c r="AS608" s="1" t="s">
        <v>74</v>
      </c>
      <c r="AT608" s="1" t="s">
        <v>6227</v>
      </c>
      <c r="AU608" s="1">
        <v>2017.0</v>
      </c>
      <c r="AV608" s="1">
        <v>8.0</v>
      </c>
      <c r="AW608" s="1" t="s">
        <v>74</v>
      </c>
      <c r="AX608" s="1" t="s">
        <v>74</v>
      </c>
      <c r="AY608" s="1" t="s">
        <v>74</v>
      </c>
      <c r="AZ608" s="1" t="s">
        <v>74</v>
      </c>
      <c r="BA608" s="1" t="s">
        <v>74</v>
      </c>
      <c r="BB608" s="1" t="s">
        <v>74</v>
      </c>
      <c r="BC608" s="1" t="s">
        <v>74</v>
      </c>
      <c r="BD608" s="1">
        <v>2424.0</v>
      </c>
      <c r="BE608" s="1" t="s">
        <v>6228</v>
      </c>
      <c r="BF608" s="2" t="str">
        <f>HYPERLINK("http://dx.doi.org/10.3389/fmicb.2017.02424","http://dx.doi.org/10.3389/fmicb.2017.02424")</f>
        <v>http://dx.doi.org/10.3389/fmicb.2017.02424</v>
      </c>
      <c r="BG608" s="1" t="s">
        <v>74</v>
      </c>
      <c r="BH608" s="1" t="s">
        <v>74</v>
      </c>
      <c r="BI608" s="1" t="s">
        <v>74</v>
      </c>
      <c r="BJ608" s="1" t="s">
        <v>74</v>
      </c>
      <c r="BK608" s="1" t="s">
        <v>74</v>
      </c>
      <c r="BL608" s="1" t="s">
        <v>74</v>
      </c>
      <c r="BM608" s="1" t="s">
        <v>74</v>
      </c>
      <c r="BN608" s="1">
        <v>2.9270163E7</v>
      </c>
      <c r="BO608" s="1" t="s">
        <v>74</v>
      </c>
      <c r="BP608" s="1" t="s">
        <v>74</v>
      </c>
      <c r="BQ608" s="1" t="s">
        <v>74</v>
      </c>
      <c r="BR608" s="1" t="s">
        <v>74</v>
      </c>
      <c r="BS608" s="1" t="s">
        <v>6229</v>
      </c>
      <c r="BT608" s="1" t="str">
        <f>HYPERLINK("https%3A%2F%2Fwww.webofscience.com%2Fwos%2Fwoscc%2Ffull-record%2FWOS:000417142700001","View Full Record in Web of Science")</f>
        <v>View Full Record in Web of Science</v>
      </c>
    </row>
    <row r="609" ht="12.75" customHeight="1">
      <c r="A609" s="1" t="s">
        <v>72</v>
      </c>
      <c r="B609" s="1" t="s">
        <v>6230</v>
      </c>
      <c r="C609" s="1" t="s">
        <v>74</v>
      </c>
      <c r="D609" s="1" t="s">
        <v>74</v>
      </c>
      <c r="E609" s="1" t="s">
        <v>74</v>
      </c>
      <c r="F609" s="1" t="s">
        <v>6231</v>
      </c>
      <c r="G609" s="1" t="s">
        <v>74</v>
      </c>
      <c r="H609" s="1" t="s">
        <v>74</v>
      </c>
      <c r="I609" s="1" t="s">
        <v>6232</v>
      </c>
      <c r="J609" s="1" t="s">
        <v>2460</v>
      </c>
      <c r="K609" s="1" t="s">
        <v>74</v>
      </c>
      <c r="L609" s="1" t="s">
        <v>74</v>
      </c>
      <c r="M609" s="1" t="s">
        <v>74</v>
      </c>
      <c r="N609" s="1" t="s">
        <v>74</v>
      </c>
      <c r="O609" s="1" t="s">
        <v>74</v>
      </c>
      <c r="P609" s="1" t="s">
        <v>74</v>
      </c>
      <c r="Q609" s="1" t="s">
        <v>74</v>
      </c>
      <c r="R609" s="1" t="s">
        <v>74</v>
      </c>
      <c r="S609" s="1" t="s">
        <v>74</v>
      </c>
      <c r="T609" s="1" t="s">
        <v>74</v>
      </c>
      <c r="U609" s="1" t="s">
        <v>74</v>
      </c>
      <c r="V609" s="1" t="s">
        <v>6233</v>
      </c>
      <c r="W609" s="1" t="s">
        <v>74</v>
      </c>
      <c r="X609" s="1" t="s">
        <v>74</v>
      </c>
      <c r="Y609" s="1" t="s">
        <v>74</v>
      </c>
      <c r="Z609" s="1" t="s">
        <v>74</v>
      </c>
      <c r="AA609" s="1" t="s">
        <v>6234</v>
      </c>
      <c r="AB609" s="1" t="s">
        <v>74</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2464</v>
      </c>
      <c r="AP609" s="1" t="s">
        <v>2465</v>
      </c>
      <c r="AQ609" s="1" t="s">
        <v>74</v>
      </c>
      <c r="AR609" s="1" t="s">
        <v>74</v>
      </c>
      <c r="AS609" s="1" t="s">
        <v>74</v>
      </c>
      <c r="AT609" s="1" t="s">
        <v>271</v>
      </c>
      <c r="AU609" s="1">
        <v>2017.0</v>
      </c>
      <c r="AV609" s="1">
        <v>145.0</v>
      </c>
      <c r="AW609" s="1">
        <v>9.0</v>
      </c>
      <c r="AX609" s="1" t="s">
        <v>74</v>
      </c>
      <c r="AY609" s="1" t="s">
        <v>74</v>
      </c>
      <c r="AZ609" s="1" t="s">
        <v>74</v>
      </c>
      <c r="BA609" s="1" t="s">
        <v>74</v>
      </c>
      <c r="BB609" s="1">
        <v>1193.0</v>
      </c>
      <c r="BC609" s="1">
        <v>1197.0</v>
      </c>
      <c r="BD609" s="1" t="s">
        <v>74</v>
      </c>
      <c r="BE609" s="1" t="s">
        <v>6235</v>
      </c>
      <c r="BF609" s="2" t="str">
        <f>HYPERLINK("http://dx.doi.org/10.4067/s0034-98872017000901193","http://dx.doi.org/10.4067/s0034-98872017000901193")</f>
        <v>http://dx.doi.org/10.4067/s0034-98872017000901193</v>
      </c>
      <c r="BG609" s="1" t="s">
        <v>74</v>
      </c>
      <c r="BH609" s="1" t="s">
        <v>74</v>
      </c>
      <c r="BI609" s="1" t="s">
        <v>74</v>
      </c>
      <c r="BJ609" s="1" t="s">
        <v>74</v>
      </c>
      <c r="BK609" s="1" t="s">
        <v>74</v>
      </c>
      <c r="BL609" s="1" t="s">
        <v>74</v>
      </c>
      <c r="BM609" s="1" t="s">
        <v>74</v>
      </c>
      <c r="BN609" s="1">
        <v>2.9424408E7</v>
      </c>
      <c r="BO609" s="1" t="s">
        <v>74</v>
      </c>
      <c r="BP609" s="1" t="s">
        <v>74</v>
      </c>
      <c r="BQ609" s="1" t="s">
        <v>74</v>
      </c>
      <c r="BR609" s="1" t="s">
        <v>74</v>
      </c>
      <c r="BS609" s="1" t="s">
        <v>6236</v>
      </c>
      <c r="BT609" s="1" t="str">
        <f>HYPERLINK("https%3A%2F%2Fwww.webofscience.com%2Fwos%2Fwoscc%2Ffull-record%2FWOS:000416126800014","View Full Record in Web of Science")</f>
        <v>View Full Record in Web of Science</v>
      </c>
    </row>
    <row r="610" ht="12.75" customHeight="1">
      <c r="A610" s="1" t="s">
        <v>72</v>
      </c>
      <c r="B610" s="1" t="s">
        <v>6237</v>
      </c>
      <c r="C610" s="1" t="s">
        <v>74</v>
      </c>
      <c r="D610" s="1" t="s">
        <v>74</v>
      </c>
      <c r="E610" s="1" t="s">
        <v>74</v>
      </c>
      <c r="F610" s="1" t="s">
        <v>6238</v>
      </c>
      <c r="G610" s="1" t="s">
        <v>74</v>
      </c>
      <c r="H610" s="1" t="s">
        <v>74</v>
      </c>
      <c r="I610" s="1" t="s">
        <v>6239</v>
      </c>
      <c r="J610" s="1" t="s">
        <v>6240</v>
      </c>
      <c r="K610" s="1" t="s">
        <v>74</v>
      </c>
      <c r="L610" s="1" t="s">
        <v>74</v>
      </c>
      <c r="M610" s="1" t="s">
        <v>74</v>
      </c>
      <c r="N610" s="1" t="s">
        <v>74</v>
      </c>
      <c r="O610" s="1" t="s">
        <v>74</v>
      </c>
      <c r="P610" s="1" t="s">
        <v>74</v>
      </c>
      <c r="Q610" s="1" t="s">
        <v>74</v>
      </c>
      <c r="R610" s="1" t="s">
        <v>74</v>
      </c>
      <c r="S610" s="1" t="s">
        <v>74</v>
      </c>
      <c r="T610" s="1" t="s">
        <v>74</v>
      </c>
      <c r="U610" s="1" t="s">
        <v>74</v>
      </c>
      <c r="V610" s="1" t="s">
        <v>6241</v>
      </c>
      <c r="W610" s="1" t="s">
        <v>74</v>
      </c>
      <c r="X610" s="1" t="s">
        <v>74</v>
      </c>
      <c r="Y610" s="1" t="s">
        <v>74</v>
      </c>
      <c r="Z610" s="1" t="s">
        <v>74</v>
      </c>
      <c r="AA610" s="1" t="s">
        <v>6242</v>
      </c>
      <c r="AB610" s="1" t="s">
        <v>6243</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6244</v>
      </c>
      <c r="AP610" s="1" t="s">
        <v>6245</v>
      </c>
      <c r="AQ610" s="1" t="s">
        <v>74</v>
      </c>
      <c r="AR610" s="1" t="s">
        <v>74</v>
      </c>
      <c r="AS610" s="1" t="s">
        <v>74</v>
      </c>
      <c r="AT610" s="1" t="s">
        <v>177</v>
      </c>
      <c r="AU610" s="1">
        <v>2017.0</v>
      </c>
      <c r="AV610" s="1">
        <v>24.0</v>
      </c>
      <c r="AW610" s="1">
        <v>3.0</v>
      </c>
      <c r="AX610" s="1" t="s">
        <v>74</v>
      </c>
      <c r="AY610" s="1" t="s">
        <v>74</v>
      </c>
      <c r="AZ610" s="1" t="s">
        <v>74</v>
      </c>
      <c r="BA610" s="1" t="s">
        <v>74</v>
      </c>
      <c r="BB610" s="1" t="s">
        <v>74</v>
      </c>
      <c r="BC610" s="1" t="s">
        <v>74</v>
      </c>
      <c r="BD610" s="1" t="s">
        <v>6246</v>
      </c>
      <c r="BE610" s="1" t="s">
        <v>6247</v>
      </c>
      <c r="BF610" s="2" t="str">
        <f>HYPERLINK("http://dx.doi.org/10.1111/nin.12185","http://dx.doi.org/10.1111/nin.12185")</f>
        <v>http://dx.doi.org/10.1111/nin.12185</v>
      </c>
      <c r="BG610" s="1" t="s">
        <v>74</v>
      </c>
      <c r="BH610" s="1" t="s">
        <v>74</v>
      </c>
      <c r="BI610" s="1" t="s">
        <v>74</v>
      </c>
      <c r="BJ610" s="1" t="s">
        <v>74</v>
      </c>
      <c r="BK610" s="1" t="s">
        <v>74</v>
      </c>
      <c r="BL610" s="1" t="s">
        <v>74</v>
      </c>
      <c r="BM610" s="1" t="s">
        <v>74</v>
      </c>
      <c r="BN610" s="1">
        <v>2.8111833E7</v>
      </c>
      <c r="BO610" s="1" t="s">
        <v>74</v>
      </c>
      <c r="BP610" s="1" t="s">
        <v>74</v>
      </c>
      <c r="BQ610" s="1" t="s">
        <v>74</v>
      </c>
      <c r="BR610" s="1" t="s">
        <v>74</v>
      </c>
      <c r="BS610" s="1" t="s">
        <v>6248</v>
      </c>
      <c r="BT610" s="1" t="str">
        <f>HYPERLINK("https%3A%2F%2Fwww.webofscience.com%2Fwos%2Fwoscc%2Ffull-record%2FWOS:000405235600009","View Full Record in Web of Science")</f>
        <v>View Full Record in Web of Science</v>
      </c>
    </row>
    <row r="611" ht="12.75" customHeight="1">
      <c r="A611" s="1" t="s">
        <v>72</v>
      </c>
      <c r="B611" s="1" t="s">
        <v>6249</v>
      </c>
      <c r="C611" s="1" t="s">
        <v>74</v>
      </c>
      <c r="D611" s="1" t="s">
        <v>74</v>
      </c>
      <c r="E611" s="1" t="s">
        <v>74</v>
      </c>
      <c r="F611" s="1" t="s">
        <v>6250</v>
      </c>
      <c r="G611" s="1" t="s">
        <v>74</v>
      </c>
      <c r="H611" s="1" t="s">
        <v>74</v>
      </c>
      <c r="I611" s="1" t="s">
        <v>6251</v>
      </c>
      <c r="J611" s="1" t="s">
        <v>6252</v>
      </c>
      <c r="K611" s="1" t="s">
        <v>74</v>
      </c>
      <c r="L611" s="1" t="s">
        <v>74</v>
      </c>
      <c r="M611" s="1" t="s">
        <v>74</v>
      </c>
      <c r="N611" s="1" t="s">
        <v>74</v>
      </c>
      <c r="O611" s="1" t="s">
        <v>74</v>
      </c>
      <c r="P611" s="1" t="s">
        <v>74</v>
      </c>
      <c r="Q611" s="1" t="s">
        <v>74</v>
      </c>
      <c r="R611" s="1" t="s">
        <v>74</v>
      </c>
      <c r="S611" s="1" t="s">
        <v>74</v>
      </c>
      <c r="T611" s="1" t="s">
        <v>74</v>
      </c>
      <c r="U611" s="1" t="s">
        <v>74</v>
      </c>
      <c r="V611" s="1" t="s">
        <v>6253</v>
      </c>
      <c r="W611" s="1" t="s">
        <v>74</v>
      </c>
      <c r="X611" s="1" t="s">
        <v>74</v>
      </c>
      <c r="Y611" s="1" t="s">
        <v>74</v>
      </c>
      <c r="Z611" s="1" t="s">
        <v>74</v>
      </c>
      <c r="AA611" s="1" t="s">
        <v>6254</v>
      </c>
      <c r="AB611" s="1" t="s">
        <v>6255</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6256</v>
      </c>
      <c r="AP611" s="1" t="s">
        <v>74</v>
      </c>
      <c r="AQ611" s="1" t="s">
        <v>74</v>
      </c>
      <c r="AR611" s="1" t="s">
        <v>74</v>
      </c>
      <c r="AS611" s="1" t="s">
        <v>74</v>
      </c>
      <c r="AT611" s="1" t="s">
        <v>374</v>
      </c>
      <c r="AU611" s="1">
        <v>2016.0</v>
      </c>
      <c r="AV611" s="1">
        <v>25.0</v>
      </c>
      <c r="AW611" s="1">
        <v>3.0</v>
      </c>
      <c r="AX611" s="1" t="s">
        <v>74</v>
      </c>
      <c r="AY611" s="1" t="s">
        <v>74</v>
      </c>
      <c r="AZ611" s="1" t="s">
        <v>74</v>
      </c>
      <c r="BA611" s="1" t="s">
        <v>74</v>
      </c>
      <c r="BB611" s="1">
        <v>289.0</v>
      </c>
      <c r="BC611" s="1">
        <v>298.0</v>
      </c>
      <c r="BD611" s="1" t="s">
        <v>74</v>
      </c>
      <c r="BE611" s="1" t="s">
        <v>74</v>
      </c>
      <c r="BF611" s="1" t="s">
        <v>74</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6257</v>
      </c>
      <c r="BT611" s="1" t="str">
        <f>HYPERLINK("https%3A%2F%2Fwww.webofscience.com%2Fwos%2Fwoscc%2Ffull-record%2FWOS:000393123700008","View Full Record in Web of Science")</f>
        <v>View Full Record in Web of Science</v>
      </c>
    </row>
    <row r="612" ht="12.75" customHeight="1">
      <c r="A612" s="1" t="s">
        <v>72</v>
      </c>
      <c r="B612" s="1" t="s">
        <v>6258</v>
      </c>
      <c r="C612" s="1" t="s">
        <v>74</v>
      </c>
      <c r="D612" s="1" t="s">
        <v>74</v>
      </c>
      <c r="E612" s="1" t="s">
        <v>74</v>
      </c>
      <c r="F612" s="1" t="s">
        <v>6259</v>
      </c>
      <c r="G612" s="1" t="s">
        <v>74</v>
      </c>
      <c r="H612" s="1" t="s">
        <v>74</v>
      </c>
      <c r="I612" s="1" t="s">
        <v>6260</v>
      </c>
      <c r="J612" s="1" t="s">
        <v>6261</v>
      </c>
      <c r="K612" s="1" t="s">
        <v>74</v>
      </c>
      <c r="L612" s="1" t="s">
        <v>74</v>
      </c>
      <c r="M612" s="1" t="s">
        <v>74</v>
      </c>
      <c r="N612" s="1" t="s">
        <v>74</v>
      </c>
      <c r="O612" s="1" t="s">
        <v>74</v>
      </c>
      <c r="P612" s="1" t="s">
        <v>74</v>
      </c>
      <c r="Q612" s="1" t="s">
        <v>74</v>
      </c>
      <c r="R612" s="1" t="s">
        <v>74</v>
      </c>
      <c r="S612" s="1" t="s">
        <v>74</v>
      </c>
      <c r="T612" s="1" t="s">
        <v>74</v>
      </c>
      <c r="U612" s="1" t="s">
        <v>74</v>
      </c>
      <c r="V612" s="1" t="s">
        <v>6262</v>
      </c>
      <c r="W612" s="1" t="s">
        <v>74</v>
      </c>
      <c r="X612" s="1" t="s">
        <v>74</v>
      </c>
      <c r="Y612" s="1" t="s">
        <v>74</v>
      </c>
      <c r="Z612" s="1" t="s">
        <v>74</v>
      </c>
      <c r="AA612" s="1" t="s">
        <v>6263</v>
      </c>
      <c r="AB612" s="1" t="s">
        <v>6264</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6265</v>
      </c>
      <c r="AP612" s="1" t="s">
        <v>6266</v>
      </c>
      <c r="AQ612" s="1" t="s">
        <v>74</v>
      </c>
      <c r="AR612" s="1" t="s">
        <v>74</v>
      </c>
      <c r="AS612" s="1" t="s">
        <v>74</v>
      </c>
      <c r="AT612" s="1" t="s">
        <v>82</v>
      </c>
      <c r="AU612" s="1">
        <v>2016.0</v>
      </c>
      <c r="AV612" s="1">
        <v>10.0</v>
      </c>
      <c r="AW612" s="1">
        <v>7.0</v>
      </c>
      <c r="AX612" s="1" t="s">
        <v>74</v>
      </c>
      <c r="AY612" s="1" t="s">
        <v>74</v>
      </c>
      <c r="AZ612" s="1" t="s">
        <v>74</v>
      </c>
      <c r="BA612" s="1" t="s">
        <v>74</v>
      </c>
      <c r="BB612" s="1">
        <v>758.0</v>
      </c>
      <c r="BC612" s="1">
        <v>767.0</v>
      </c>
      <c r="BD612" s="1" t="s">
        <v>74</v>
      </c>
      <c r="BE612" s="1" t="s">
        <v>6267</v>
      </c>
      <c r="BF612" s="2" t="str">
        <f>HYPERLINK("http://dx.doi.org/10.1049/iet-cvi.2015.0416","http://dx.doi.org/10.1049/iet-cvi.2015.0416")</f>
        <v>http://dx.doi.org/10.1049/iet-cvi.2015.0416</v>
      </c>
      <c r="BG612" s="1" t="s">
        <v>74</v>
      </c>
      <c r="BH612" s="1" t="s">
        <v>74</v>
      </c>
      <c r="BI612" s="1" t="s">
        <v>74</v>
      </c>
      <c r="BJ612" s="1" t="s">
        <v>74</v>
      </c>
      <c r="BK612" s="1" t="s">
        <v>74</v>
      </c>
      <c r="BL612" s="1" t="s">
        <v>74</v>
      </c>
      <c r="BM612" s="1" t="s">
        <v>74</v>
      </c>
      <c r="BN612" s="1" t="s">
        <v>74</v>
      </c>
      <c r="BO612" s="1" t="s">
        <v>74</v>
      </c>
      <c r="BP612" s="1" t="s">
        <v>74</v>
      </c>
      <c r="BQ612" s="1" t="s">
        <v>74</v>
      </c>
      <c r="BR612" s="1" t="s">
        <v>74</v>
      </c>
      <c r="BS612" s="1" t="s">
        <v>6268</v>
      </c>
      <c r="BT612" s="1" t="str">
        <f>HYPERLINK("https%3A%2F%2Fwww.webofscience.com%2Fwos%2Fwoscc%2Ffull-record%2FWOS:000396098100016","View Full Record in Web of Science")</f>
        <v>View Full Record in Web of Science</v>
      </c>
    </row>
    <row r="613" ht="12.75" customHeight="1">
      <c r="A613" s="1" t="s">
        <v>72</v>
      </c>
      <c r="B613" s="1" t="s">
        <v>6269</v>
      </c>
      <c r="C613" s="1" t="s">
        <v>74</v>
      </c>
      <c r="D613" s="1" t="s">
        <v>74</v>
      </c>
      <c r="E613" s="1" t="s">
        <v>74</v>
      </c>
      <c r="F613" s="1" t="s">
        <v>6270</v>
      </c>
      <c r="G613" s="1" t="s">
        <v>74</v>
      </c>
      <c r="H613" s="1" t="s">
        <v>74</v>
      </c>
      <c r="I613" s="1" t="s">
        <v>6271</v>
      </c>
      <c r="J613" s="1" t="s">
        <v>6272</v>
      </c>
      <c r="K613" s="1" t="s">
        <v>74</v>
      </c>
      <c r="L613" s="1" t="s">
        <v>74</v>
      </c>
      <c r="M613" s="1" t="s">
        <v>74</v>
      </c>
      <c r="N613" s="1" t="s">
        <v>74</v>
      </c>
      <c r="O613" s="1" t="s">
        <v>74</v>
      </c>
      <c r="P613" s="1" t="s">
        <v>74</v>
      </c>
      <c r="Q613" s="1" t="s">
        <v>74</v>
      </c>
      <c r="R613" s="1" t="s">
        <v>74</v>
      </c>
      <c r="S613" s="1" t="s">
        <v>74</v>
      </c>
      <c r="T613" s="1" t="s">
        <v>74</v>
      </c>
      <c r="U613" s="1" t="s">
        <v>74</v>
      </c>
      <c r="V613" s="1" t="s">
        <v>6273</v>
      </c>
      <c r="W613" s="1" t="s">
        <v>74</v>
      </c>
      <c r="X613" s="1" t="s">
        <v>74</v>
      </c>
      <c r="Y613" s="1" t="s">
        <v>74</v>
      </c>
      <c r="Z613" s="1" t="s">
        <v>74</v>
      </c>
      <c r="AA613" s="1" t="s">
        <v>6274</v>
      </c>
      <c r="AB613" s="1" t="s">
        <v>74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6275</v>
      </c>
      <c r="AP613" s="1" t="s">
        <v>6276</v>
      </c>
      <c r="AQ613" s="1" t="s">
        <v>74</v>
      </c>
      <c r="AR613" s="1" t="s">
        <v>74</v>
      </c>
      <c r="AS613" s="1" t="s">
        <v>74</v>
      </c>
      <c r="AT613" s="1" t="s">
        <v>1687</v>
      </c>
      <c r="AU613" s="1">
        <v>2016.0</v>
      </c>
      <c r="AV613" s="1">
        <v>54.0</v>
      </c>
      <c r="AW613" s="1">
        <v>8.0</v>
      </c>
      <c r="AX613" s="1" t="s">
        <v>74</v>
      </c>
      <c r="AY613" s="1" t="s">
        <v>74</v>
      </c>
      <c r="AZ613" s="1" t="s">
        <v>74</v>
      </c>
      <c r="BA613" s="1" t="s">
        <v>74</v>
      </c>
      <c r="BB613" s="1">
        <v>2394.0</v>
      </c>
      <c r="BC613" s="1">
        <v>2404.0</v>
      </c>
      <c r="BD613" s="1" t="s">
        <v>74</v>
      </c>
      <c r="BE613" s="1" t="s">
        <v>6277</v>
      </c>
      <c r="BF613" s="2" t="str">
        <f>HYPERLINK("http://dx.doi.org/10.1080/00207543.2015.1078516","http://dx.doi.org/10.1080/00207543.2015.1078516")</f>
        <v>http://dx.doi.org/10.1080/00207543.2015.1078516</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6278</v>
      </c>
      <c r="BT613" s="1" t="str">
        <f>HYPERLINK("https%3A%2F%2Fwww.webofscience.com%2Fwos%2Fwoscc%2Ffull-record%2FWOS:000373740300014","View Full Record in Web of Science")</f>
        <v>View Full Record in Web of Science</v>
      </c>
    </row>
    <row r="614" ht="12.75" customHeight="1">
      <c r="A614" s="1" t="s">
        <v>72</v>
      </c>
      <c r="B614" s="1" t="s">
        <v>767</v>
      </c>
      <c r="C614" s="1" t="s">
        <v>74</v>
      </c>
      <c r="D614" s="1" t="s">
        <v>74</v>
      </c>
      <c r="E614" s="1" t="s">
        <v>74</v>
      </c>
      <c r="F614" s="1" t="s">
        <v>768</v>
      </c>
      <c r="G614" s="1" t="s">
        <v>74</v>
      </c>
      <c r="H614" s="1" t="s">
        <v>74</v>
      </c>
      <c r="I614" s="1" t="s">
        <v>6279</v>
      </c>
      <c r="J614" s="1" t="s">
        <v>6280</v>
      </c>
      <c r="K614" s="1" t="s">
        <v>74</v>
      </c>
      <c r="L614" s="1" t="s">
        <v>74</v>
      </c>
      <c r="M614" s="1" t="s">
        <v>74</v>
      </c>
      <c r="N614" s="1" t="s">
        <v>74</v>
      </c>
      <c r="O614" s="1" t="s">
        <v>74</v>
      </c>
      <c r="P614" s="1" t="s">
        <v>74</v>
      </c>
      <c r="Q614" s="1" t="s">
        <v>74</v>
      </c>
      <c r="R614" s="1" t="s">
        <v>74</v>
      </c>
      <c r="S614" s="1" t="s">
        <v>74</v>
      </c>
      <c r="T614" s="1" t="s">
        <v>74</v>
      </c>
      <c r="U614" s="1" t="s">
        <v>74</v>
      </c>
      <c r="V614" s="1" t="s">
        <v>6281</v>
      </c>
      <c r="W614" s="1" t="s">
        <v>74</v>
      </c>
      <c r="X614" s="1" t="s">
        <v>74</v>
      </c>
      <c r="Y614" s="1" t="s">
        <v>74</v>
      </c>
      <c r="Z614" s="1" t="s">
        <v>74</v>
      </c>
      <c r="AA614" s="1" t="s">
        <v>6282</v>
      </c>
      <c r="AB614" s="1" t="s">
        <v>6283</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6284</v>
      </c>
      <c r="AP614" s="1" t="s">
        <v>74</v>
      </c>
      <c r="AQ614" s="1" t="s">
        <v>74</v>
      </c>
      <c r="AR614" s="1" t="s">
        <v>74</v>
      </c>
      <c r="AS614" s="1" t="s">
        <v>74</v>
      </c>
      <c r="AT614" s="1" t="s">
        <v>3683</v>
      </c>
      <c r="AU614" s="1">
        <v>2015.0</v>
      </c>
      <c r="AV614" s="1">
        <v>6.0</v>
      </c>
      <c r="AW614" s="1" t="s">
        <v>74</v>
      </c>
      <c r="AX614" s="1" t="s">
        <v>74</v>
      </c>
      <c r="AY614" s="1" t="s">
        <v>74</v>
      </c>
      <c r="AZ614" s="1" t="s">
        <v>74</v>
      </c>
      <c r="BA614" s="1" t="s">
        <v>74</v>
      </c>
      <c r="BB614" s="1" t="s">
        <v>74</v>
      </c>
      <c r="BC614" s="1" t="s">
        <v>74</v>
      </c>
      <c r="BD614" s="1">
        <v>428.0</v>
      </c>
      <c r="BE614" s="1" t="s">
        <v>6285</v>
      </c>
      <c r="BF614" s="2" t="str">
        <f>HYPERLINK("http://dx.doi.org/10.3389/fpsyg.2015.00428","http://dx.doi.org/10.3389/fpsyg.2015.00428")</f>
        <v>http://dx.doi.org/10.3389/fpsyg.2015.00428</v>
      </c>
      <c r="BG614" s="1" t="s">
        <v>74</v>
      </c>
      <c r="BH614" s="1" t="s">
        <v>74</v>
      </c>
      <c r="BI614" s="1" t="s">
        <v>74</v>
      </c>
      <c r="BJ614" s="1" t="s">
        <v>74</v>
      </c>
      <c r="BK614" s="1" t="s">
        <v>74</v>
      </c>
      <c r="BL614" s="1" t="s">
        <v>74</v>
      </c>
      <c r="BM614" s="1" t="s">
        <v>74</v>
      </c>
      <c r="BN614" s="1">
        <v>2.5926805E7</v>
      </c>
      <c r="BO614" s="1" t="s">
        <v>74</v>
      </c>
      <c r="BP614" s="1" t="s">
        <v>74</v>
      </c>
      <c r="BQ614" s="1" t="s">
        <v>74</v>
      </c>
      <c r="BR614" s="1" t="s">
        <v>74</v>
      </c>
      <c r="BS614" s="1" t="s">
        <v>6286</v>
      </c>
      <c r="BT614" s="1" t="str">
        <f>HYPERLINK("https%3A%2F%2Fwww.webofscience.com%2Fwos%2Fwoscc%2Ffull-record%2FWOS:000352951900001","View Full Record in Web of Science")</f>
        <v>View Full Record in Web of Science</v>
      </c>
    </row>
    <row r="615" ht="12.75" customHeight="1">
      <c r="A615" s="1" t="s">
        <v>72</v>
      </c>
      <c r="B615" s="1" t="s">
        <v>6287</v>
      </c>
      <c r="C615" s="1" t="s">
        <v>74</v>
      </c>
      <c r="D615" s="1" t="s">
        <v>74</v>
      </c>
      <c r="E615" s="1" t="s">
        <v>74</v>
      </c>
      <c r="F615" s="1" t="s">
        <v>6288</v>
      </c>
      <c r="G615" s="1" t="s">
        <v>74</v>
      </c>
      <c r="H615" s="1" t="s">
        <v>74</v>
      </c>
      <c r="I615" s="1" t="s">
        <v>6289</v>
      </c>
      <c r="J615" s="1" t="s">
        <v>1497</v>
      </c>
      <c r="K615" s="1" t="s">
        <v>74</v>
      </c>
      <c r="L615" s="1" t="s">
        <v>74</v>
      </c>
      <c r="M615" s="1" t="s">
        <v>74</v>
      </c>
      <c r="N615" s="1" t="s">
        <v>74</v>
      </c>
      <c r="O615" s="1" t="s">
        <v>74</v>
      </c>
      <c r="P615" s="1" t="s">
        <v>74</v>
      </c>
      <c r="Q615" s="1" t="s">
        <v>74</v>
      </c>
      <c r="R615" s="1" t="s">
        <v>74</v>
      </c>
      <c r="S615" s="1" t="s">
        <v>74</v>
      </c>
      <c r="T615" s="1" t="s">
        <v>74</v>
      </c>
      <c r="U615" s="1" t="s">
        <v>74</v>
      </c>
      <c r="V615" s="1" t="s">
        <v>6290</v>
      </c>
      <c r="W615" s="1" t="s">
        <v>74</v>
      </c>
      <c r="X615" s="1" t="s">
        <v>74</v>
      </c>
      <c r="Y615" s="1" t="s">
        <v>74</v>
      </c>
      <c r="Z615" s="1" t="s">
        <v>74</v>
      </c>
      <c r="AA615" s="1" t="s">
        <v>6291</v>
      </c>
      <c r="AB615" s="1" t="s">
        <v>6292</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1501</v>
      </c>
      <c r="AP615" s="1" t="s">
        <v>74</v>
      </c>
      <c r="AQ615" s="1" t="s">
        <v>74</v>
      </c>
      <c r="AR615" s="1" t="s">
        <v>74</v>
      </c>
      <c r="AS615" s="1" t="s">
        <v>74</v>
      </c>
      <c r="AT615" s="1" t="s">
        <v>6293</v>
      </c>
      <c r="AU615" s="1">
        <v>2015.0</v>
      </c>
      <c r="AV615" s="1">
        <v>10.0</v>
      </c>
      <c r="AW615" s="1">
        <v>3.0</v>
      </c>
      <c r="AX615" s="1" t="s">
        <v>74</v>
      </c>
      <c r="AY615" s="1" t="s">
        <v>74</v>
      </c>
      <c r="AZ615" s="1" t="s">
        <v>74</v>
      </c>
      <c r="BA615" s="1" t="s">
        <v>74</v>
      </c>
      <c r="BB615" s="1" t="s">
        <v>74</v>
      </c>
      <c r="BC615" s="1" t="s">
        <v>74</v>
      </c>
      <c r="BD615" s="1" t="s">
        <v>6294</v>
      </c>
      <c r="BE615" s="1" t="s">
        <v>6295</v>
      </c>
      <c r="BF615" s="2" t="str">
        <f>HYPERLINK("http://dx.doi.org/10.1371/journal.pone.0120740","http://dx.doi.org/10.1371/journal.pone.0120740")</f>
        <v>http://dx.doi.org/10.1371/journal.pone.0120740</v>
      </c>
      <c r="BG615" s="1" t="s">
        <v>74</v>
      </c>
      <c r="BH615" s="1" t="s">
        <v>74</v>
      </c>
      <c r="BI615" s="1" t="s">
        <v>74</v>
      </c>
      <c r="BJ615" s="1" t="s">
        <v>74</v>
      </c>
      <c r="BK615" s="1" t="s">
        <v>74</v>
      </c>
      <c r="BL615" s="1" t="s">
        <v>74</v>
      </c>
      <c r="BM615" s="1" t="s">
        <v>74</v>
      </c>
      <c r="BN615" s="1">
        <v>2.5811807E7</v>
      </c>
      <c r="BO615" s="1" t="s">
        <v>74</v>
      </c>
      <c r="BP615" s="1" t="s">
        <v>74</v>
      </c>
      <c r="BQ615" s="1" t="s">
        <v>74</v>
      </c>
      <c r="BR615" s="1" t="s">
        <v>74</v>
      </c>
      <c r="BS615" s="1" t="s">
        <v>6296</v>
      </c>
      <c r="BT615" s="1" t="str">
        <f>HYPERLINK("https%3A%2F%2Fwww.webofscience.com%2Fwos%2Fwoscc%2Ffull-record%2FWOS:000356353700059","View Full Record in Web of Science")</f>
        <v>View Full Record in Web of Science</v>
      </c>
    </row>
    <row r="616" ht="12.75" customHeight="1">
      <c r="A616" s="1" t="s">
        <v>72</v>
      </c>
      <c r="B616" s="1" t="s">
        <v>6297</v>
      </c>
      <c r="C616" s="1" t="s">
        <v>74</v>
      </c>
      <c r="D616" s="1" t="s">
        <v>74</v>
      </c>
      <c r="E616" s="1" t="s">
        <v>74</v>
      </c>
      <c r="F616" s="1" t="s">
        <v>6298</v>
      </c>
      <c r="G616" s="1" t="s">
        <v>74</v>
      </c>
      <c r="H616" s="1" t="s">
        <v>74</v>
      </c>
      <c r="I616" s="1" t="s">
        <v>6299</v>
      </c>
      <c r="J616" s="1" t="s">
        <v>6300</v>
      </c>
      <c r="K616" s="1" t="s">
        <v>74</v>
      </c>
      <c r="L616" s="1" t="s">
        <v>74</v>
      </c>
      <c r="M616" s="1" t="s">
        <v>74</v>
      </c>
      <c r="N616" s="1" t="s">
        <v>74</v>
      </c>
      <c r="O616" s="1" t="s">
        <v>74</v>
      </c>
      <c r="P616" s="1" t="s">
        <v>74</v>
      </c>
      <c r="Q616" s="1" t="s">
        <v>74</v>
      </c>
      <c r="R616" s="1" t="s">
        <v>74</v>
      </c>
      <c r="S616" s="1" t="s">
        <v>74</v>
      </c>
      <c r="T616" s="1" t="s">
        <v>74</v>
      </c>
      <c r="U616" s="1" t="s">
        <v>74</v>
      </c>
      <c r="V616" s="1" t="s">
        <v>6301</v>
      </c>
      <c r="W616" s="1" t="s">
        <v>74</v>
      </c>
      <c r="X616" s="1" t="s">
        <v>74</v>
      </c>
      <c r="Y616" s="1" t="s">
        <v>74</v>
      </c>
      <c r="Z616" s="1" t="s">
        <v>74</v>
      </c>
      <c r="AA616" s="1" t="s">
        <v>6302</v>
      </c>
      <c r="AB616" s="1" t="s">
        <v>6303</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6304</v>
      </c>
      <c r="AP616" s="1" t="s">
        <v>6305</v>
      </c>
      <c r="AQ616" s="1" t="s">
        <v>74</v>
      </c>
      <c r="AR616" s="1" t="s">
        <v>74</v>
      </c>
      <c r="AS616" s="1" t="s">
        <v>74</v>
      </c>
      <c r="AT616" s="1" t="s">
        <v>164</v>
      </c>
      <c r="AU616" s="1">
        <v>2012.0</v>
      </c>
      <c r="AV616" s="1">
        <v>127.0</v>
      </c>
      <c r="AW616" s="1" t="s">
        <v>74</v>
      </c>
      <c r="AX616" s="1" t="s">
        <v>74</v>
      </c>
      <c r="AY616" s="1" t="s">
        <v>74</v>
      </c>
      <c r="AZ616" s="1" t="s">
        <v>74</v>
      </c>
      <c r="BA616" s="1" t="s">
        <v>74</v>
      </c>
      <c r="BB616" s="1">
        <v>162.0</v>
      </c>
      <c r="BC616" s="1">
        <v>180.0</v>
      </c>
      <c r="BD616" s="1" t="s">
        <v>74</v>
      </c>
      <c r="BE616" s="1" t="s">
        <v>6306</v>
      </c>
      <c r="BF616" s="2" t="str">
        <f>HYPERLINK("http://dx.doi.org/10.1016/j.rse.2012.08.023","http://dx.doi.org/10.1016/j.rse.2012.08.023")</f>
        <v>http://dx.doi.org/10.1016/j.rse.2012.08.023</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6307</v>
      </c>
      <c r="BT616" s="1" t="str">
        <f>HYPERLINK("https%3A%2F%2Fwww.webofscience.com%2Fwos%2Fwoscc%2Ffull-record%2FWOS:000311865600014","View Full Record in Web of Science")</f>
        <v>View Full Record in Web of Science</v>
      </c>
    </row>
    <row r="617" ht="12.75" customHeight="1">
      <c r="A617" s="1" t="s">
        <v>72</v>
      </c>
      <c r="B617" s="1" t="s">
        <v>6308</v>
      </c>
      <c r="C617" s="1" t="s">
        <v>74</v>
      </c>
      <c r="D617" s="1" t="s">
        <v>74</v>
      </c>
      <c r="E617" s="1" t="s">
        <v>74</v>
      </c>
      <c r="F617" s="1" t="s">
        <v>6309</v>
      </c>
      <c r="G617" s="1" t="s">
        <v>74</v>
      </c>
      <c r="H617" s="1" t="s">
        <v>74</v>
      </c>
      <c r="I617" s="1" t="s">
        <v>6310</v>
      </c>
      <c r="J617" s="1" t="s">
        <v>6311</v>
      </c>
      <c r="K617" s="1" t="s">
        <v>74</v>
      </c>
      <c r="L617" s="1" t="s">
        <v>74</v>
      </c>
      <c r="M617" s="1" t="s">
        <v>74</v>
      </c>
      <c r="N617" s="1" t="s">
        <v>74</v>
      </c>
      <c r="O617" s="1" t="s">
        <v>74</v>
      </c>
      <c r="P617" s="1" t="s">
        <v>74</v>
      </c>
      <c r="Q617" s="1" t="s">
        <v>74</v>
      </c>
      <c r="R617" s="1" t="s">
        <v>74</v>
      </c>
      <c r="S617" s="1" t="s">
        <v>74</v>
      </c>
      <c r="T617" s="1" t="s">
        <v>74</v>
      </c>
      <c r="U617" s="1" t="s">
        <v>74</v>
      </c>
      <c r="V617" s="1" t="s">
        <v>6312</v>
      </c>
      <c r="W617" s="1" t="s">
        <v>74</v>
      </c>
      <c r="X617" s="1" t="s">
        <v>74</v>
      </c>
      <c r="Y617" s="1" t="s">
        <v>74</v>
      </c>
      <c r="Z617" s="1" t="s">
        <v>74</v>
      </c>
      <c r="AA617" s="1" t="s">
        <v>6313</v>
      </c>
      <c r="AB617" s="1" t="s">
        <v>6314</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6315</v>
      </c>
      <c r="AP617" s="1" t="s">
        <v>6316</v>
      </c>
      <c r="AQ617" s="1" t="s">
        <v>74</v>
      </c>
      <c r="AR617" s="1" t="s">
        <v>74</v>
      </c>
      <c r="AS617" s="1" t="s">
        <v>74</v>
      </c>
      <c r="AT617" s="1" t="s">
        <v>745</v>
      </c>
      <c r="AU617" s="1">
        <v>2012.0</v>
      </c>
      <c r="AV617" s="1">
        <v>52.0</v>
      </c>
      <c r="AW617" s="1">
        <v>5.0</v>
      </c>
      <c r="AX617" s="1" t="s">
        <v>74</v>
      </c>
      <c r="AY617" s="1" t="s">
        <v>74</v>
      </c>
      <c r="AZ617" s="1" t="s">
        <v>74</v>
      </c>
      <c r="BA617" s="1" t="s">
        <v>74</v>
      </c>
      <c r="BB617" s="1">
        <v>1213.0</v>
      </c>
      <c r="BC617" s="1">
        <v>1221.0</v>
      </c>
      <c r="BD617" s="1" t="s">
        <v>74</v>
      </c>
      <c r="BE617" s="1" t="s">
        <v>6317</v>
      </c>
      <c r="BF617" s="2" t="str">
        <f>HYPERLINK("http://dx.doi.org/10.1021/ci300081w","http://dx.doi.org/10.1021/ci300081w")</f>
        <v>http://dx.doi.org/10.1021/ci300081w</v>
      </c>
      <c r="BG617" s="1" t="s">
        <v>74</v>
      </c>
      <c r="BH617" s="1" t="s">
        <v>74</v>
      </c>
      <c r="BI617" s="1" t="s">
        <v>74</v>
      </c>
      <c r="BJ617" s="1" t="s">
        <v>74</v>
      </c>
      <c r="BK617" s="1" t="s">
        <v>74</v>
      </c>
      <c r="BL617" s="1" t="s">
        <v>74</v>
      </c>
      <c r="BM617" s="1" t="s">
        <v>74</v>
      </c>
      <c r="BN617" s="1">
        <v>2.2540832E7</v>
      </c>
      <c r="BO617" s="1" t="s">
        <v>74</v>
      </c>
      <c r="BP617" s="1" t="s">
        <v>74</v>
      </c>
      <c r="BQ617" s="1" t="s">
        <v>74</v>
      </c>
      <c r="BR617" s="1" t="s">
        <v>74</v>
      </c>
      <c r="BS617" s="1" t="s">
        <v>6318</v>
      </c>
      <c r="BT617" s="1" t="str">
        <f>HYPERLINK("https%3A%2F%2Fwww.webofscience.com%2Fwos%2Fwoscc%2Ffull-record%2FWOS:000304385700014","View Full Record in Web of Science")</f>
        <v>View Full Record in Web of Science</v>
      </c>
    </row>
    <row r="618" ht="12.75" customHeight="1">
      <c r="A618" s="1" t="s">
        <v>72</v>
      </c>
      <c r="B618" s="1" t="s">
        <v>6319</v>
      </c>
      <c r="C618" s="1" t="s">
        <v>74</v>
      </c>
      <c r="D618" s="1" t="s">
        <v>74</v>
      </c>
      <c r="E618" s="1" t="s">
        <v>74</v>
      </c>
      <c r="F618" s="1" t="s">
        <v>6320</v>
      </c>
      <c r="G618" s="1" t="s">
        <v>74</v>
      </c>
      <c r="H618" s="1" t="s">
        <v>74</v>
      </c>
      <c r="I618" s="1" t="s">
        <v>6321</v>
      </c>
      <c r="J618" s="1" t="s">
        <v>6322</v>
      </c>
      <c r="K618" s="1" t="s">
        <v>74</v>
      </c>
      <c r="L618" s="1" t="s">
        <v>74</v>
      </c>
      <c r="M618" s="1" t="s">
        <v>74</v>
      </c>
      <c r="N618" s="1" t="s">
        <v>74</v>
      </c>
      <c r="O618" s="1" t="s">
        <v>74</v>
      </c>
      <c r="P618" s="1" t="s">
        <v>74</v>
      </c>
      <c r="Q618" s="1" t="s">
        <v>74</v>
      </c>
      <c r="R618" s="1" t="s">
        <v>74</v>
      </c>
      <c r="S618" s="1" t="s">
        <v>74</v>
      </c>
      <c r="T618" s="1" t="s">
        <v>74</v>
      </c>
      <c r="U618" s="1" t="s">
        <v>74</v>
      </c>
      <c r="V618" s="1" t="s">
        <v>6323</v>
      </c>
      <c r="W618" s="1" t="s">
        <v>74</v>
      </c>
      <c r="X618" s="1" t="s">
        <v>74</v>
      </c>
      <c r="Y618" s="1" t="s">
        <v>74</v>
      </c>
      <c r="Z618" s="1" t="s">
        <v>74</v>
      </c>
      <c r="AA618" s="1" t="s">
        <v>6324</v>
      </c>
      <c r="AB618" s="1" t="s">
        <v>6325</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6326</v>
      </c>
      <c r="AP618" s="1" t="s">
        <v>6327</v>
      </c>
      <c r="AQ618" s="1" t="s">
        <v>74</v>
      </c>
      <c r="AR618" s="1" t="s">
        <v>74</v>
      </c>
      <c r="AS618" s="1" t="s">
        <v>74</v>
      </c>
      <c r="AT618" s="1" t="s">
        <v>6328</v>
      </c>
      <c r="AU618" s="1">
        <v>2011.0</v>
      </c>
      <c r="AV618" s="1">
        <v>407.0</v>
      </c>
      <c r="AW618" s="1" t="s">
        <v>409</v>
      </c>
      <c r="AX618" s="1" t="s">
        <v>74</v>
      </c>
      <c r="AY618" s="1" t="s">
        <v>74</v>
      </c>
      <c r="AZ618" s="1" t="s">
        <v>74</v>
      </c>
      <c r="BA618" s="1" t="s">
        <v>74</v>
      </c>
      <c r="BB618" s="1">
        <v>181.0</v>
      </c>
      <c r="BC618" s="1">
        <v>187.0</v>
      </c>
      <c r="BD618" s="1" t="s">
        <v>74</v>
      </c>
      <c r="BE618" s="1" t="s">
        <v>6329</v>
      </c>
      <c r="BF618" s="2" t="str">
        <f>HYPERLINK("http://dx.doi.org/10.1016/j.apcata.2011.08.034","http://dx.doi.org/10.1016/j.apcata.2011.08.034")</f>
        <v>http://dx.doi.org/10.1016/j.apcata.2011.08.034</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6330</v>
      </c>
      <c r="BT618" s="1" t="str">
        <f>HYPERLINK("https%3A%2F%2Fwww.webofscience.com%2Fwos%2Fwoscc%2Ffull-record%2FWOS:000297234400021","View Full Record in Web of Science")</f>
        <v>View Full Record in Web of Science</v>
      </c>
    </row>
    <row r="619" ht="12.75" customHeight="1">
      <c r="A619" s="1" t="s">
        <v>72</v>
      </c>
      <c r="B619" s="1" t="s">
        <v>6331</v>
      </c>
      <c r="C619" s="1" t="s">
        <v>74</v>
      </c>
      <c r="D619" s="1" t="s">
        <v>74</v>
      </c>
      <c r="E619" s="1" t="s">
        <v>74</v>
      </c>
      <c r="F619" s="1" t="s">
        <v>6332</v>
      </c>
      <c r="G619" s="1" t="s">
        <v>74</v>
      </c>
      <c r="H619" s="1" t="s">
        <v>74</v>
      </c>
      <c r="I619" s="1" t="s">
        <v>6333</v>
      </c>
      <c r="J619" s="1" t="s">
        <v>4981</v>
      </c>
      <c r="K619" s="1" t="s">
        <v>74</v>
      </c>
      <c r="L619" s="1" t="s">
        <v>74</v>
      </c>
      <c r="M619" s="1" t="s">
        <v>74</v>
      </c>
      <c r="N619" s="1" t="s">
        <v>74</v>
      </c>
      <c r="O619" s="1" t="s">
        <v>6334</v>
      </c>
      <c r="P619" s="1" t="s">
        <v>6335</v>
      </c>
      <c r="Q619" s="1" t="s">
        <v>6336</v>
      </c>
      <c r="R619" s="1" t="s">
        <v>74</v>
      </c>
      <c r="S619" s="1" t="s">
        <v>74</v>
      </c>
      <c r="T619" s="1" t="s">
        <v>74</v>
      </c>
      <c r="U619" s="1" t="s">
        <v>74</v>
      </c>
      <c r="V619" s="1" t="s">
        <v>6337</v>
      </c>
      <c r="W619" s="1" t="s">
        <v>74</v>
      </c>
      <c r="X619" s="1" t="s">
        <v>74</v>
      </c>
      <c r="Y619" s="1" t="s">
        <v>74</v>
      </c>
      <c r="Z619" s="1" t="s">
        <v>74</v>
      </c>
      <c r="AA619" s="1" t="s">
        <v>6338</v>
      </c>
      <c r="AB619" s="1" t="s">
        <v>6339</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4985</v>
      </c>
      <c r="AP619" s="1" t="s">
        <v>4986</v>
      </c>
      <c r="AQ619" s="1" t="s">
        <v>74</v>
      </c>
      <c r="AR619" s="1" t="s">
        <v>74</v>
      </c>
      <c r="AS619" s="1" t="s">
        <v>74</v>
      </c>
      <c r="AT619" s="1" t="s">
        <v>6340</v>
      </c>
      <c r="AU619" s="1">
        <v>2011.0</v>
      </c>
      <c r="AV619" s="1">
        <v>172.0</v>
      </c>
      <c r="AW619" s="1">
        <v>1.0</v>
      </c>
      <c r="AX619" s="1" t="s">
        <v>74</v>
      </c>
      <c r="AY619" s="1" t="s">
        <v>74</v>
      </c>
      <c r="AZ619" s="1" t="s">
        <v>74</v>
      </c>
      <c r="BA619" s="1" t="s">
        <v>74</v>
      </c>
      <c r="BB619" s="1">
        <v>73.0</v>
      </c>
      <c r="BC619" s="1">
        <v>77.0</v>
      </c>
      <c r="BD619" s="1" t="s">
        <v>74</v>
      </c>
      <c r="BE619" s="1" t="s">
        <v>6341</v>
      </c>
      <c r="BF619" s="2" t="str">
        <f>HYPERLINK("http://dx.doi.org/10.1016/j.cattod.2011.05.002","http://dx.doi.org/10.1016/j.cattod.2011.05.002")</f>
        <v>http://dx.doi.org/10.1016/j.cattod.2011.05.002</v>
      </c>
      <c r="BG619" s="1" t="s">
        <v>74</v>
      </c>
      <c r="BH619" s="1" t="s">
        <v>74</v>
      </c>
      <c r="BI619" s="1" t="s">
        <v>74</v>
      </c>
      <c r="BJ619" s="1" t="s">
        <v>74</v>
      </c>
      <c r="BK619" s="1" t="s">
        <v>74</v>
      </c>
      <c r="BL619" s="1" t="s">
        <v>74</v>
      </c>
      <c r="BM619" s="1" t="s">
        <v>74</v>
      </c>
      <c r="BN619" s="1" t="s">
        <v>74</v>
      </c>
      <c r="BO619" s="1" t="s">
        <v>74</v>
      </c>
      <c r="BP619" s="1" t="s">
        <v>74</v>
      </c>
      <c r="BQ619" s="1" t="s">
        <v>74</v>
      </c>
      <c r="BR619" s="1" t="s">
        <v>74</v>
      </c>
      <c r="BS619" s="1" t="s">
        <v>6342</v>
      </c>
      <c r="BT619" s="1" t="str">
        <f>HYPERLINK("https%3A%2F%2Fwww.webofscience.com%2Fwos%2Fwoscc%2Ffull-record%2FWOS:000294302400013","View Full Record in Web of Science")</f>
        <v>View Full Record in Web of Science</v>
      </c>
    </row>
    <row r="620" ht="12.75" customHeight="1">
      <c r="A620" s="1" t="s">
        <v>72</v>
      </c>
      <c r="B620" s="1" t="s">
        <v>6343</v>
      </c>
      <c r="C620" s="1" t="s">
        <v>74</v>
      </c>
      <c r="D620" s="1" t="s">
        <v>74</v>
      </c>
      <c r="E620" s="1" t="s">
        <v>74</v>
      </c>
      <c r="F620" s="1" t="s">
        <v>6344</v>
      </c>
      <c r="G620" s="1" t="s">
        <v>74</v>
      </c>
      <c r="H620" s="1" t="s">
        <v>74</v>
      </c>
      <c r="I620" s="1" t="s">
        <v>6345</v>
      </c>
      <c r="J620" s="1" t="s">
        <v>6346</v>
      </c>
      <c r="K620" s="1" t="s">
        <v>74</v>
      </c>
      <c r="L620" s="1" t="s">
        <v>74</v>
      </c>
      <c r="M620" s="1" t="s">
        <v>74</v>
      </c>
      <c r="N620" s="1" t="s">
        <v>74</v>
      </c>
      <c r="O620" s="1" t="s">
        <v>74</v>
      </c>
      <c r="P620" s="1" t="s">
        <v>74</v>
      </c>
      <c r="Q620" s="1" t="s">
        <v>74</v>
      </c>
      <c r="R620" s="1" t="s">
        <v>74</v>
      </c>
      <c r="S620" s="1" t="s">
        <v>74</v>
      </c>
      <c r="T620" s="1" t="s">
        <v>74</v>
      </c>
      <c r="U620" s="1" t="s">
        <v>74</v>
      </c>
      <c r="V620" s="1" t="s">
        <v>74</v>
      </c>
      <c r="W620" s="1" t="s">
        <v>74</v>
      </c>
      <c r="X620" s="1" t="s">
        <v>74</v>
      </c>
      <c r="Y620" s="1" t="s">
        <v>74</v>
      </c>
      <c r="Z620" s="1" t="s">
        <v>74</v>
      </c>
      <c r="AA620" s="1" t="s">
        <v>6347</v>
      </c>
      <c r="AB620" s="1" t="s">
        <v>74</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6348</v>
      </c>
      <c r="AP620" s="1" t="s">
        <v>74</v>
      </c>
      <c r="AQ620" s="1" t="s">
        <v>74</v>
      </c>
      <c r="AR620" s="1" t="s">
        <v>74</v>
      </c>
      <c r="AS620" s="1" t="s">
        <v>74</v>
      </c>
      <c r="AT620" s="1" t="s">
        <v>74</v>
      </c>
      <c r="AU620" s="1">
        <v>2010.0</v>
      </c>
      <c r="AV620" s="1">
        <v>181.0</v>
      </c>
      <c r="AW620" s="1" t="s">
        <v>74</v>
      </c>
      <c r="AX620" s="1" t="s">
        <v>74</v>
      </c>
      <c r="AY620" s="1" t="s">
        <v>74</v>
      </c>
      <c r="AZ620" s="1" t="s">
        <v>74</v>
      </c>
      <c r="BA620" s="1" t="s">
        <v>6349</v>
      </c>
      <c r="BB620" s="1" t="s">
        <v>74</v>
      </c>
      <c r="BC620" s="1" t="s">
        <v>74</v>
      </c>
      <c r="BD620" s="1" t="s">
        <v>74</v>
      </c>
      <c r="BE620" s="1" t="s">
        <v>74</v>
      </c>
      <c r="BF620" s="1" t="s">
        <v>74</v>
      </c>
      <c r="BG620" s="1" t="s">
        <v>74</v>
      </c>
      <c r="BH620" s="1" t="s">
        <v>74</v>
      </c>
      <c r="BI620" s="1" t="s">
        <v>74</v>
      </c>
      <c r="BJ620" s="1" t="s">
        <v>74</v>
      </c>
      <c r="BK620" s="1" t="s">
        <v>74</v>
      </c>
      <c r="BL620" s="1" t="s">
        <v>74</v>
      </c>
      <c r="BM620" s="1" t="s">
        <v>74</v>
      </c>
      <c r="BN620" s="1" t="s">
        <v>74</v>
      </c>
      <c r="BO620" s="1" t="s">
        <v>74</v>
      </c>
      <c r="BP620" s="1" t="s">
        <v>74</v>
      </c>
      <c r="BQ620" s="1" t="s">
        <v>74</v>
      </c>
      <c r="BR620" s="1" t="s">
        <v>74</v>
      </c>
      <c r="BS620" s="1" t="s">
        <v>6350</v>
      </c>
      <c r="BT620" s="1" t="str">
        <f>HYPERLINK("https%3A%2F%2Fwww.webofscience.com%2Fwos%2Fwoscc%2Ffull-record%2FWOS:000208771001073","View Full Record in Web of Science")</f>
        <v>View Full Record in Web of Science</v>
      </c>
    </row>
    <row r="621" ht="12.75" customHeight="1">
      <c r="A621" s="1" t="s">
        <v>72</v>
      </c>
      <c r="B621" s="1" t="s">
        <v>6351</v>
      </c>
      <c r="C621" s="1" t="s">
        <v>74</v>
      </c>
      <c r="D621" s="1" t="s">
        <v>74</v>
      </c>
      <c r="E621" s="1" t="s">
        <v>74</v>
      </c>
      <c r="F621" s="1" t="s">
        <v>6352</v>
      </c>
      <c r="G621" s="1" t="s">
        <v>74</v>
      </c>
      <c r="H621" s="1" t="s">
        <v>74</v>
      </c>
      <c r="I621" s="1" t="s">
        <v>6353</v>
      </c>
      <c r="J621" s="1" t="s">
        <v>6354</v>
      </c>
      <c r="K621" s="1" t="s">
        <v>74</v>
      </c>
      <c r="L621" s="1" t="s">
        <v>74</v>
      </c>
      <c r="M621" s="1" t="s">
        <v>74</v>
      </c>
      <c r="N621" s="1" t="s">
        <v>74</v>
      </c>
      <c r="O621" s="1" t="s">
        <v>74</v>
      </c>
      <c r="P621" s="1" t="s">
        <v>74</v>
      </c>
      <c r="Q621" s="1" t="s">
        <v>74</v>
      </c>
      <c r="R621" s="1" t="s">
        <v>74</v>
      </c>
      <c r="S621" s="1" t="s">
        <v>74</v>
      </c>
      <c r="T621" s="1" t="s">
        <v>74</v>
      </c>
      <c r="U621" s="1" t="s">
        <v>74</v>
      </c>
      <c r="V621" s="1" t="s">
        <v>6355</v>
      </c>
      <c r="W621" s="1" t="s">
        <v>74</v>
      </c>
      <c r="X621" s="1" t="s">
        <v>74</v>
      </c>
      <c r="Y621" s="1" t="s">
        <v>74</v>
      </c>
      <c r="Z621" s="1" t="s">
        <v>74</v>
      </c>
      <c r="AA621" s="1" t="s">
        <v>6356</v>
      </c>
      <c r="AB621" s="1" t="s">
        <v>6357</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6358</v>
      </c>
      <c r="AP621" s="1" t="s">
        <v>6359</v>
      </c>
      <c r="AQ621" s="1" t="s">
        <v>74</v>
      </c>
      <c r="AR621" s="1" t="s">
        <v>74</v>
      </c>
      <c r="AS621" s="1" t="s">
        <v>74</v>
      </c>
      <c r="AT621" s="1" t="s">
        <v>82</v>
      </c>
      <c r="AU621" s="1">
        <v>2009.0</v>
      </c>
      <c r="AV621" s="1">
        <v>22.0</v>
      </c>
      <c r="AW621" s="1">
        <v>5.0</v>
      </c>
      <c r="AX621" s="1" t="s">
        <v>74</v>
      </c>
      <c r="AY621" s="1" t="s">
        <v>74</v>
      </c>
      <c r="AZ621" s="1" t="s">
        <v>74</v>
      </c>
      <c r="BA621" s="1" t="s">
        <v>74</v>
      </c>
      <c r="BB621" s="1">
        <v>390.0</v>
      </c>
      <c r="BC621" s="1">
        <v>400.0</v>
      </c>
      <c r="BD621" s="1" t="s">
        <v>74</v>
      </c>
      <c r="BE621" s="1" t="s">
        <v>6360</v>
      </c>
      <c r="BF621" s="2" t="str">
        <f>HYPERLINK("http://dx.doi.org/10.1179/174313309X436646","http://dx.doi.org/10.1179/174313309X436646")</f>
        <v>http://dx.doi.org/10.1179/174313309X436646</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6361</v>
      </c>
      <c r="BT621" s="1" t="str">
        <f>HYPERLINK("https%3A%2F%2Fwww.webofscience.com%2Fwos%2Fwoscc%2Ffull-record%2FWOS:000269520900007","View Full Record in Web of Science")</f>
        <v>View Full Record in Web of Science</v>
      </c>
    </row>
    <row r="622" ht="12.75" customHeight="1">
      <c r="A622" s="1" t="s">
        <v>72</v>
      </c>
      <c r="B622" s="1" t="s">
        <v>6362</v>
      </c>
      <c r="C622" s="1" t="s">
        <v>74</v>
      </c>
      <c r="D622" s="1" t="s">
        <v>74</v>
      </c>
      <c r="E622" s="1" t="s">
        <v>74</v>
      </c>
      <c r="F622" s="1" t="s">
        <v>6363</v>
      </c>
      <c r="G622" s="1" t="s">
        <v>74</v>
      </c>
      <c r="H622" s="1" t="s">
        <v>74</v>
      </c>
      <c r="I622" s="1" t="s">
        <v>6364</v>
      </c>
      <c r="J622" s="1" t="s">
        <v>3962</v>
      </c>
      <c r="K622" s="1" t="s">
        <v>74</v>
      </c>
      <c r="L622" s="1" t="s">
        <v>74</v>
      </c>
      <c r="M622" s="1" t="s">
        <v>74</v>
      </c>
      <c r="N622" s="1" t="s">
        <v>74</v>
      </c>
      <c r="O622" s="1" t="s">
        <v>74</v>
      </c>
      <c r="P622" s="1" t="s">
        <v>74</v>
      </c>
      <c r="Q622" s="1" t="s">
        <v>74</v>
      </c>
      <c r="R622" s="1" t="s">
        <v>74</v>
      </c>
      <c r="S622" s="1" t="s">
        <v>74</v>
      </c>
      <c r="T622" s="1" t="s">
        <v>74</v>
      </c>
      <c r="U622" s="1" t="s">
        <v>74</v>
      </c>
      <c r="V622" s="1" t="s">
        <v>6365</v>
      </c>
      <c r="W622" s="1" t="s">
        <v>74</v>
      </c>
      <c r="X622" s="1" t="s">
        <v>74</v>
      </c>
      <c r="Y622" s="1" t="s">
        <v>74</v>
      </c>
      <c r="Z622" s="1" t="s">
        <v>74</v>
      </c>
      <c r="AA622" s="1" t="s">
        <v>6366</v>
      </c>
      <c r="AB622" s="1" t="s">
        <v>6367</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3964</v>
      </c>
      <c r="AP622" s="1" t="s">
        <v>3965</v>
      </c>
      <c r="AQ622" s="1" t="s">
        <v>74</v>
      </c>
      <c r="AR622" s="1" t="s">
        <v>74</v>
      </c>
      <c r="AS622" s="1" t="s">
        <v>74</v>
      </c>
      <c r="AT622" s="1" t="s">
        <v>74</v>
      </c>
      <c r="AU622" s="1">
        <v>2007.0</v>
      </c>
      <c r="AV622" s="1">
        <v>41.0</v>
      </c>
      <c r="AW622" s="1">
        <v>3.0</v>
      </c>
      <c r="AX622" s="1" t="s">
        <v>74</v>
      </c>
      <c r="AY622" s="1" t="s">
        <v>74</v>
      </c>
      <c r="AZ622" s="1" t="s">
        <v>74</v>
      </c>
      <c r="BA622" s="1" t="s">
        <v>74</v>
      </c>
      <c r="BB622" s="1">
        <v>316.0</v>
      </c>
      <c r="BC622" s="1">
        <v>323.0</v>
      </c>
      <c r="BD622" s="1" t="s">
        <v>74</v>
      </c>
      <c r="BE622" s="1" t="s">
        <v>6368</v>
      </c>
      <c r="BF622" s="2" t="str">
        <f>HYPERLINK("http://dx.doi.org/10.1080/10715760601090305","http://dx.doi.org/10.1080/10715760601090305")</f>
        <v>http://dx.doi.org/10.1080/10715760601090305</v>
      </c>
      <c r="BG622" s="1" t="s">
        <v>74</v>
      </c>
      <c r="BH622" s="1" t="s">
        <v>74</v>
      </c>
      <c r="BI622" s="1" t="s">
        <v>74</v>
      </c>
      <c r="BJ622" s="1" t="s">
        <v>74</v>
      </c>
      <c r="BK622" s="1" t="s">
        <v>74</v>
      </c>
      <c r="BL622" s="1" t="s">
        <v>74</v>
      </c>
      <c r="BM622" s="1" t="s">
        <v>74</v>
      </c>
      <c r="BN622" s="1">
        <v>1.736496E7</v>
      </c>
      <c r="BO622" s="1" t="s">
        <v>74</v>
      </c>
      <c r="BP622" s="1" t="s">
        <v>74</v>
      </c>
      <c r="BQ622" s="1" t="s">
        <v>74</v>
      </c>
      <c r="BR622" s="1" t="s">
        <v>74</v>
      </c>
      <c r="BS622" s="1" t="s">
        <v>6369</v>
      </c>
      <c r="BT622" s="1" t="str">
        <f>HYPERLINK("https%3A%2F%2Fwww.webofscience.com%2Fwos%2Fwoscc%2Ffull-record%2FWOS:000245588800009","View Full Record in Web of Science")</f>
        <v>View Full Record in Web of Science</v>
      </c>
    </row>
    <row r="623" ht="12.75" customHeight="1">
      <c r="A623" s="1" t="s">
        <v>72</v>
      </c>
      <c r="B623" s="1" t="s">
        <v>6370</v>
      </c>
      <c r="C623" s="1" t="s">
        <v>74</v>
      </c>
      <c r="D623" s="1" t="s">
        <v>74</v>
      </c>
      <c r="E623" s="1" t="s">
        <v>74</v>
      </c>
      <c r="F623" s="1" t="s">
        <v>6370</v>
      </c>
      <c r="G623" s="1" t="s">
        <v>74</v>
      </c>
      <c r="H623" s="1" t="s">
        <v>74</v>
      </c>
      <c r="I623" s="1" t="s">
        <v>6371</v>
      </c>
      <c r="J623" s="1" t="s">
        <v>4401</v>
      </c>
      <c r="K623" s="1" t="s">
        <v>74</v>
      </c>
      <c r="L623" s="1" t="s">
        <v>74</v>
      </c>
      <c r="M623" s="1" t="s">
        <v>74</v>
      </c>
      <c r="N623" s="1" t="s">
        <v>74</v>
      </c>
      <c r="O623" s="1" t="s">
        <v>74</v>
      </c>
      <c r="P623" s="1" t="s">
        <v>74</v>
      </c>
      <c r="Q623" s="1" t="s">
        <v>74</v>
      </c>
      <c r="R623" s="1" t="s">
        <v>74</v>
      </c>
      <c r="S623" s="1" t="s">
        <v>74</v>
      </c>
      <c r="T623" s="1" t="s">
        <v>74</v>
      </c>
      <c r="U623" s="1" t="s">
        <v>74</v>
      </c>
      <c r="V623" s="1" t="s">
        <v>6372</v>
      </c>
      <c r="W623" s="1" t="s">
        <v>74</v>
      </c>
      <c r="X623" s="1" t="s">
        <v>74</v>
      </c>
      <c r="Y623" s="1" t="s">
        <v>74</v>
      </c>
      <c r="Z623" s="1" t="s">
        <v>74</v>
      </c>
      <c r="AA623" s="1" t="s">
        <v>74</v>
      </c>
      <c r="AB623" s="1" t="s">
        <v>74</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4403</v>
      </c>
      <c r="AP623" s="1" t="s">
        <v>74</v>
      </c>
      <c r="AQ623" s="1" t="s">
        <v>74</v>
      </c>
      <c r="AR623" s="1" t="s">
        <v>74</v>
      </c>
      <c r="AS623" s="1" t="s">
        <v>74</v>
      </c>
      <c r="AT623" s="1" t="s">
        <v>3269</v>
      </c>
      <c r="AU623" s="1">
        <v>2001.0</v>
      </c>
      <c r="AV623" s="1">
        <v>612.0</v>
      </c>
      <c r="AW623" s="1">
        <v>3.0</v>
      </c>
      <c r="AX623" s="1" t="s">
        <v>74</v>
      </c>
      <c r="AY623" s="1" t="s">
        <v>74</v>
      </c>
      <c r="AZ623" s="1" t="s">
        <v>74</v>
      </c>
      <c r="BA623" s="1" t="s">
        <v>74</v>
      </c>
      <c r="BB623" s="1">
        <v>413.0</v>
      </c>
      <c r="BC623" s="1">
        <v>445.0</v>
      </c>
      <c r="BD623" s="1" t="s">
        <v>74</v>
      </c>
      <c r="BE623" s="1" t="s">
        <v>6373</v>
      </c>
      <c r="BF623" s="2" t="str">
        <f>HYPERLINK("http://dx.doi.org/10.1016/S0550-3213(01)00350-9","http://dx.doi.org/10.1016/S0550-3213(01)00350-9")</f>
        <v>http://dx.doi.org/10.1016/S0550-3213(01)00350-9</v>
      </c>
      <c r="BG623" s="1" t="s">
        <v>74</v>
      </c>
      <c r="BH623" s="1" t="s">
        <v>74</v>
      </c>
      <c r="BI623" s="1" t="s">
        <v>74</v>
      </c>
      <c r="BJ623" s="1" t="s">
        <v>74</v>
      </c>
      <c r="BK623" s="1" t="s">
        <v>74</v>
      </c>
      <c r="BL623" s="1" t="s">
        <v>74</v>
      </c>
      <c r="BM623" s="1" t="s">
        <v>74</v>
      </c>
      <c r="BN623" s="1" t="s">
        <v>74</v>
      </c>
      <c r="BO623" s="1" t="s">
        <v>74</v>
      </c>
      <c r="BP623" s="1" t="s">
        <v>74</v>
      </c>
      <c r="BQ623" s="1" t="s">
        <v>74</v>
      </c>
      <c r="BR623" s="1" t="s">
        <v>74</v>
      </c>
      <c r="BS623" s="1" t="s">
        <v>6374</v>
      </c>
      <c r="BT623" s="1" t="str">
        <f>HYPERLINK("https%3A%2F%2Fwww.webofscience.com%2Fwos%2Fwoscc%2Ffull-record%2FWOS:000171717300007","View Full Record in Web of Science")</f>
        <v>View Full Record in Web of Science</v>
      </c>
    </row>
    <row r="624" ht="12.75" customHeight="1">
      <c r="A624" s="1" t="s">
        <v>72</v>
      </c>
      <c r="B624" s="1" t="s">
        <v>6375</v>
      </c>
      <c r="C624" s="1" t="s">
        <v>74</v>
      </c>
      <c r="D624" s="1" t="s">
        <v>74</v>
      </c>
      <c r="E624" s="1" t="s">
        <v>74</v>
      </c>
      <c r="F624" s="1" t="s">
        <v>6375</v>
      </c>
      <c r="G624" s="1" t="s">
        <v>74</v>
      </c>
      <c r="H624" s="1" t="s">
        <v>74</v>
      </c>
      <c r="I624" s="1" t="s">
        <v>6376</v>
      </c>
      <c r="J624" s="1" t="s">
        <v>1595</v>
      </c>
      <c r="K624" s="1" t="s">
        <v>74</v>
      </c>
      <c r="L624" s="1" t="s">
        <v>74</v>
      </c>
      <c r="M624" s="1" t="s">
        <v>74</v>
      </c>
      <c r="N624" s="1" t="s">
        <v>74</v>
      </c>
      <c r="O624" s="1" t="s">
        <v>74</v>
      </c>
      <c r="P624" s="1" t="s">
        <v>74</v>
      </c>
      <c r="Q624" s="1" t="s">
        <v>74</v>
      </c>
      <c r="R624" s="1" t="s">
        <v>74</v>
      </c>
      <c r="S624" s="1" t="s">
        <v>74</v>
      </c>
      <c r="T624" s="1" t="s">
        <v>74</v>
      </c>
      <c r="U624" s="1" t="s">
        <v>74</v>
      </c>
      <c r="V624" s="1" t="s">
        <v>6377</v>
      </c>
      <c r="W624" s="1" t="s">
        <v>74</v>
      </c>
      <c r="X624" s="1" t="s">
        <v>74</v>
      </c>
      <c r="Y624" s="1" t="s">
        <v>74</v>
      </c>
      <c r="Z624" s="1" t="s">
        <v>74</v>
      </c>
      <c r="AA624" s="1" t="s">
        <v>6378</v>
      </c>
      <c r="AB624" s="1" t="s">
        <v>6379</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1599</v>
      </c>
      <c r="AP624" s="1" t="s">
        <v>74</v>
      </c>
      <c r="AQ624" s="1" t="s">
        <v>74</v>
      </c>
      <c r="AR624" s="1" t="s">
        <v>74</v>
      </c>
      <c r="AS624" s="1" t="s">
        <v>74</v>
      </c>
      <c r="AT624" s="1" t="s">
        <v>408</v>
      </c>
      <c r="AU624" s="1">
        <v>2000.0</v>
      </c>
      <c r="AV624" s="1">
        <v>147.0</v>
      </c>
      <c r="AW624" s="1">
        <v>3.0</v>
      </c>
      <c r="AX624" s="1" t="s">
        <v>74</v>
      </c>
      <c r="AY624" s="1" t="s">
        <v>74</v>
      </c>
      <c r="AZ624" s="1" t="s">
        <v>74</v>
      </c>
      <c r="BA624" s="1" t="s">
        <v>74</v>
      </c>
      <c r="BB624" s="1">
        <v>1015.0</v>
      </c>
      <c r="BC624" s="1">
        <v>1020.0</v>
      </c>
      <c r="BD624" s="1" t="s">
        <v>74</v>
      </c>
      <c r="BE624" s="1" t="s">
        <v>6380</v>
      </c>
      <c r="BF624" s="2" t="str">
        <f>HYPERLINK("http://dx.doi.org/10.1149/1.1393306","http://dx.doi.org/10.1149/1.1393306")</f>
        <v>http://dx.doi.org/10.1149/1.1393306</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6381</v>
      </c>
      <c r="BT624" s="1" t="str">
        <f>HYPERLINK("https%3A%2F%2Fwww.webofscience.com%2Fwos%2Fwoscc%2Ffull-record%2FWOS:000085912700031","View Full Record in Web of Science")</f>
        <v>View Full Record in Web of Science</v>
      </c>
    </row>
    <row r="625" ht="12.75" customHeight="1">
      <c r="A625" s="1" t="s">
        <v>72</v>
      </c>
      <c r="B625" s="1" t="s">
        <v>6382</v>
      </c>
      <c r="C625" s="1" t="s">
        <v>74</v>
      </c>
      <c r="D625" s="1" t="s">
        <v>74</v>
      </c>
      <c r="E625" s="1" t="s">
        <v>74</v>
      </c>
      <c r="F625" s="1" t="s">
        <v>6382</v>
      </c>
      <c r="G625" s="1" t="s">
        <v>74</v>
      </c>
      <c r="H625" s="1" t="s">
        <v>74</v>
      </c>
      <c r="I625" s="1" t="s">
        <v>6383</v>
      </c>
      <c r="J625" s="1" t="s">
        <v>2877</v>
      </c>
      <c r="K625" s="1" t="s">
        <v>74</v>
      </c>
      <c r="L625" s="1" t="s">
        <v>74</v>
      </c>
      <c r="M625" s="1" t="s">
        <v>74</v>
      </c>
      <c r="N625" s="1" t="s">
        <v>74</v>
      </c>
      <c r="O625" s="1" t="s">
        <v>74</v>
      </c>
      <c r="P625" s="1" t="s">
        <v>74</v>
      </c>
      <c r="Q625" s="1" t="s">
        <v>74</v>
      </c>
      <c r="R625" s="1" t="s">
        <v>74</v>
      </c>
      <c r="S625" s="1" t="s">
        <v>74</v>
      </c>
      <c r="T625" s="1" t="s">
        <v>74</v>
      </c>
      <c r="U625" s="1" t="s">
        <v>74</v>
      </c>
      <c r="V625" s="1" t="s">
        <v>6384</v>
      </c>
      <c r="W625" s="1" t="s">
        <v>74</v>
      </c>
      <c r="X625" s="1" t="s">
        <v>74</v>
      </c>
      <c r="Y625" s="1" t="s">
        <v>74</v>
      </c>
      <c r="Z625" s="1" t="s">
        <v>74</v>
      </c>
      <c r="AA625" s="1" t="s">
        <v>74</v>
      </c>
      <c r="AB625" s="1" t="s">
        <v>4913</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2880</v>
      </c>
      <c r="AP625" s="1" t="s">
        <v>5288</v>
      </c>
      <c r="AQ625" s="1" t="s">
        <v>74</v>
      </c>
      <c r="AR625" s="1" t="s">
        <v>74</v>
      </c>
      <c r="AS625" s="1" t="s">
        <v>74</v>
      </c>
      <c r="AT625" s="1" t="s">
        <v>82</v>
      </c>
      <c r="AU625" s="1">
        <v>1999.0</v>
      </c>
      <c r="AV625" s="1">
        <v>70.0</v>
      </c>
      <c r="AW625" s="1">
        <v>4.0</v>
      </c>
      <c r="AX625" s="1" t="s">
        <v>74</v>
      </c>
      <c r="AY625" s="1" t="s">
        <v>74</v>
      </c>
      <c r="AZ625" s="1" t="s">
        <v>74</v>
      </c>
      <c r="BA625" s="1" t="s">
        <v>74</v>
      </c>
      <c r="BB625" s="1">
        <v>499.0</v>
      </c>
      <c r="BC625" s="1">
        <v>504.0</v>
      </c>
      <c r="BD625" s="1" t="s">
        <v>74</v>
      </c>
      <c r="BE625" s="1" t="s">
        <v>6385</v>
      </c>
      <c r="BF625" s="2" t="str">
        <f>HYPERLINK("http://dx.doi.org/10.1562/0031-8655(1999)070&lt;0499:SOMPOT&gt;2.3.CO;2","http://dx.doi.org/10.1562/0031-8655(1999)070&lt;0499:SOMPOT&gt;2.3.CO;2")</f>
        <v>http://dx.doi.org/10.1562/0031-8655(1999)070&lt;0499:SOMPOT&gt;2.3.CO;2</v>
      </c>
      <c r="BG625" s="1" t="s">
        <v>74</v>
      </c>
      <c r="BH625" s="1" t="s">
        <v>74</v>
      </c>
      <c r="BI625" s="1" t="s">
        <v>74</v>
      </c>
      <c r="BJ625" s="1" t="s">
        <v>74</v>
      </c>
      <c r="BK625" s="1" t="s">
        <v>74</v>
      </c>
      <c r="BL625" s="1" t="s">
        <v>74</v>
      </c>
      <c r="BM625" s="1" t="s">
        <v>74</v>
      </c>
      <c r="BN625" s="1">
        <v>1.0546547E7</v>
      </c>
      <c r="BO625" s="1" t="s">
        <v>74</v>
      </c>
      <c r="BP625" s="1" t="s">
        <v>74</v>
      </c>
      <c r="BQ625" s="1" t="s">
        <v>74</v>
      </c>
      <c r="BR625" s="1" t="s">
        <v>74</v>
      </c>
      <c r="BS625" s="1" t="s">
        <v>6386</v>
      </c>
      <c r="BT625" s="1" t="str">
        <f>HYPERLINK("https%3A%2F%2Fwww.webofscience.com%2Fwos%2Fwoscc%2Ffull-record%2FWOS:000083354300007","View Full Record in Web of Science")</f>
        <v>View Full Record in Web of Science</v>
      </c>
    </row>
    <row r="626" ht="12.75" customHeight="1">
      <c r="A626" s="1" t="s">
        <v>72</v>
      </c>
      <c r="B626" s="1" t="s">
        <v>6387</v>
      </c>
      <c r="C626" s="1" t="s">
        <v>74</v>
      </c>
      <c r="D626" s="1" t="s">
        <v>74</v>
      </c>
      <c r="E626" s="1" t="s">
        <v>74</v>
      </c>
      <c r="F626" s="1" t="s">
        <v>6387</v>
      </c>
      <c r="G626" s="1" t="s">
        <v>74</v>
      </c>
      <c r="H626" s="1" t="s">
        <v>74</v>
      </c>
      <c r="I626" s="1" t="s">
        <v>6388</v>
      </c>
      <c r="J626" s="1" t="s">
        <v>6389</v>
      </c>
      <c r="K626" s="1" t="s">
        <v>74</v>
      </c>
      <c r="L626" s="1" t="s">
        <v>74</v>
      </c>
      <c r="M626" s="1" t="s">
        <v>74</v>
      </c>
      <c r="N626" s="1" t="s">
        <v>74</v>
      </c>
      <c r="O626" s="1" t="s">
        <v>74</v>
      </c>
      <c r="P626" s="1" t="s">
        <v>74</v>
      </c>
      <c r="Q626" s="1" t="s">
        <v>74</v>
      </c>
      <c r="R626" s="1" t="s">
        <v>74</v>
      </c>
      <c r="S626" s="1" t="s">
        <v>74</v>
      </c>
      <c r="T626" s="1" t="s">
        <v>74</v>
      </c>
      <c r="U626" s="1" t="s">
        <v>74</v>
      </c>
      <c r="V626" s="1" t="s">
        <v>6390</v>
      </c>
      <c r="W626" s="1" t="s">
        <v>74</v>
      </c>
      <c r="X626" s="1" t="s">
        <v>74</v>
      </c>
      <c r="Y626" s="1" t="s">
        <v>74</v>
      </c>
      <c r="Z626" s="1" t="s">
        <v>74</v>
      </c>
      <c r="AA626" s="1" t="s">
        <v>6391</v>
      </c>
      <c r="AB626" s="1" t="s">
        <v>6392</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6393</v>
      </c>
      <c r="AP626" s="1" t="s">
        <v>6394</v>
      </c>
      <c r="AQ626" s="1" t="s">
        <v>74</v>
      </c>
      <c r="AR626" s="1" t="s">
        <v>74</v>
      </c>
      <c r="AS626" s="1" t="s">
        <v>74</v>
      </c>
      <c r="AT626" s="1" t="s">
        <v>745</v>
      </c>
      <c r="AU626" s="1">
        <v>1998.0</v>
      </c>
      <c r="AV626" s="1">
        <v>103.0</v>
      </c>
      <c r="AW626" s="1">
        <v>1.0</v>
      </c>
      <c r="AX626" s="1" t="s">
        <v>74</v>
      </c>
      <c r="AY626" s="1" t="s">
        <v>74</v>
      </c>
      <c r="AZ626" s="1" t="s">
        <v>74</v>
      </c>
      <c r="BA626" s="1" t="s">
        <v>74</v>
      </c>
      <c r="BB626" s="1">
        <v>17.0</v>
      </c>
      <c r="BC626" s="1">
        <v>23.0</v>
      </c>
      <c r="BD626" s="1" t="s">
        <v>74</v>
      </c>
      <c r="BE626" s="1" t="s">
        <v>6395</v>
      </c>
      <c r="BF626" s="2" t="str">
        <f>HYPERLINK("http://dx.doi.org/10.1034/j.1399-3054.1998.1030103.x","http://dx.doi.org/10.1034/j.1399-3054.1998.1030103.x")</f>
        <v>http://dx.doi.org/10.1034/j.1399-3054.1998.1030103.x</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6396</v>
      </c>
      <c r="BT626" s="1" t="str">
        <f>HYPERLINK("https%3A%2F%2Fwww.webofscience.com%2Fwos%2Fwoscc%2Ffull-record%2FWOS:000074696300003","View Full Record in Web of Science")</f>
        <v>View Full Record in Web of Science</v>
      </c>
    </row>
    <row r="627" ht="12.75" customHeight="1">
      <c r="A627" s="1" t="s">
        <v>72</v>
      </c>
      <c r="B627" s="1" t="s">
        <v>6397</v>
      </c>
      <c r="C627" s="1" t="s">
        <v>74</v>
      </c>
      <c r="D627" s="1" t="s">
        <v>74</v>
      </c>
      <c r="E627" s="1" t="s">
        <v>74</v>
      </c>
      <c r="F627" s="1" t="s">
        <v>6397</v>
      </c>
      <c r="G627" s="1" t="s">
        <v>74</v>
      </c>
      <c r="H627" s="1" t="s">
        <v>74</v>
      </c>
      <c r="I627" s="1" t="s">
        <v>6398</v>
      </c>
      <c r="J627" s="1" t="s">
        <v>1509</v>
      </c>
      <c r="K627" s="1" t="s">
        <v>74</v>
      </c>
      <c r="L627" s="1" t="s">
        <v>74</v>
      </c>
      <c r="M627" s="1" t="s">
        <v>74</v>
      </c>
      <c r="N627" s="1" t="s">
        <v>74</v>
      </c>
      <c r="O627" s="1" t="s">
        <v>74</v>
      </c>
      <c r="P627" s="1" t="s">
        <v>74</v>
      </c>
      <c r="Q627" s="1" t="s">
        <v>74</v>
      </c>
      <c r="R627" s="1" t="s">
        <v>74</v>
      </c>
      <c r="S627" s="1" t="s">
        <v>74</v>
      </c>
      <c r="T627" s="1" t="s">
        <v>74</v>
      </c>
      <c r="U627" s="1" t="s">
        <v>74</v>
      </c>
      <c r="V627" s="1" t="s">
        <v>6399</v>
      </c>
      <c r="W627" s="1" t="s">
        <v>74</v>
      </c>
      <c r="X627" s="1" t="s">
        <v>74</v>
      </c>
      <c r="Y627" s="1" t="s">
        <v>74</v>
      </c>
      <c r="Z627" s="1" t="s">
        <v>74</v>
      </c>
      <c r="AA627" s="1" t="s">
        <v>6400</v>
      </c>
      <c r="AB627" s="1" t="s">
        <v>6401</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1511</v>
      </c>
      <c r="AP627" s="1" t="s">
        <v>74</v>
      </c>
      <c r="AQ627" s="1" t="s">
        <v>74</v>
      </c>
      <c r="AR627" s="1" t="s">
        <v>74</v>
      </c>
      <c r="AS627" s="1" t="s">
        <v>74</v>
      </c>
      <c r="AT627" s="1" t="s">
        <v>5050</v>
      </c>
      <c r="AU627" s="1">
        <v>1997.0</v>
      </c>
      <c r="AV627" s="1">
        <v>412.0</v>
      </c>
      <c r="AW627" s="1" t="s">
        <v>409</v>
      </c>
      <c r="AX627" s="1" t="s">
        <v>74</v>
      </c>
      <c r="AY627" s="1" t="s">
        <v>74</v>
      </c>
      <c r="AZ627" s="1" t="s">
        <v>74</v>
      </c>
      <c r="BA627" s="1" t="s">
        <v>74</v>
      </c>
      <c r="BB627" s="1">
        <v>111.0</v>
      </c>
      <c r="BC627" s="1">
        <v>118.0</v>
      </c>
      <c r="BD627" s="1" t="s">
        <v>74</v>
      </c>
      <c r="BE627" s="1" t="s">
        <v>6402</v>
      </c>
      <c r="BF627" s="2" t="str">
        <f>HYPERLINK("http://dx.doi.org/10.1016/S0370-2693(97)01066-6","http://dx.doi.org/10.1016/S0370-2693(97)01066-6")</f>
        <v>http://dx.doi.org/10.1016/S0370-2693(97)01066-6</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6403</v>
      </c>
      <c r="BT627" s="1" t="str">
        <f>HYPERLINK("https%3A%2F%2Fwww.webofscience.com%2Fwos%2Fwoscc%2Ffull-record%2FWOS:A1997YG53000017","View Full Record in Web of Science")</f>
        <v>View Full Record in Web of Science</v>
      </c>
    </row>
    <row r="628" ht="12.75" customHeight="1">
      <c r="A628" s="1" t="s">
        <v>72</v>
      </c>
      <c r="B628" s="1" t="s">
        <v>6404</v>
      </c>
      <c r="C628" s="1" t="s">
        <v>74</v>
      </c>
      <c r="D628" s="1" t="s">
        <v>74</v>
      </c>
      <c r="E628" s="1" t="s">
        <v>74</v>
      </c>
      <c r="F628" s="1" t="s">
        <v>6405</v>
      </c>
      <c r="G628" s="1" t="s">
        <v>74</v>
      </c>
      <c r="H628" s="1" t="s">
        <v>74</v>
      </c>
      <c r="I628" s="1" t="s">
        <v>6406</v>
      </c>
      <c r="J628" s="1" t="s">
        <v>6407</v>
      </c>
      <c r="K628" s="1" t="s">
        <v>74</v>
      </c>
      <c r="L628" s="1" t="s">
        <v>74</v>
      </c>
      <c r="M628" s="1" t="s">
        <v>74</v>
      </c>
      <c r="N628" s="1" t="s">
        <v>74</v>
      </c>
      <c r="O628" s="1" t="s">
        <v>74</v>
      </c>
      <c r="P628" s="1" t="s">
        <v>74</v>
      </c>
      <c r="Q628" s="1" t="s">
        <v>74</v>
      </c>
      <c r="R628" s="1" t="s">
        <v>74</v>
      </c>
      <c r="S628" s="1" t="s">
        <v>74</v>
      </c>
      <c r="T628" s="1" t="s">
        <v>74</v>
      </c>
      <c r="U628" s="1" t="s">
        <v>74</v>
      </c>
      <c r="V628" s="1" t="s">
        <v>6408</v>
      </c>
      <c r="W628" s="1" t="s">
        <v>74</v>
      </c>
      <c r="X628" s="1" t="s">
        <v>74</v>
      </c>
      <c r="Y628" s="1" t="s">
        <v>74</v>
      </c>
      <c r="Z628" s="1" t="s">
        <v>74</v>
      </c>
      <c r="AA628" s="1" t="s">
        <v>6409</v>
      </c>
      <c r="AB628" s="1" t="s">
        <v>6410</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6411</v>
      </c>
      <c r="AP628" s="1" t="s">
        <v>6412</v>
      </c>
      <c r="AQ628" s="1" t="s">
        <v>74</v>
      </c>
      <c r="AR628" s="1" t="s">
        <v>74</v>
      </c>
      <c r="AS628" s="1" t="s">
        <v>74</v>
      </c>
      <c r="AT628" s="1" t="s">
        <v>6413</v>
      </c>
      <c r="AU628" s="1">
        <v>2024.0</v>
      </c>
      <c r="AV628" s="1">
        <v>16.0</v>
      </c>
      <c r="AW628" s="1">
        <v>21.0</v>
      </c>
      <c r="AX628" s="1" t="s">
        <v>74</v>
      </c>
      <c r="AY628" s="1" t="s">
        <v>74</v>
      </c>
      <c r="AZ628" s="1" t="s">
        <v>74</v>
      </c>
      <c r="BA628" s="1" t="s">
        <v>74</v>
      </c>
      <c r="BB628" s="1">
        <v>27605.0</v>
      </c>
      <c r="BC628" s="1">
        <v>27613.0</v>
      </c>
      <c r="BD628" s="1" t="s">
        <v>74</v>
      </c>
      <c r="BE628" s="1" t="s">
        <v>6414</v>
      </c>
      <c r="BF628" s="2" t="str">
        <f>HYPERLINK("http://dx.doi.org/10.1021/acsami.4c01963","http://dx.doi.org/10.1021/acsami.4c01963")</f>
        <v>http://dx.doi.org/10.1021/acsami.4c01963</v>
      </c>
      <c r="BG628" s="1" t="s">
        <v>74</v>
      </c>
      <c r="BH628" s="1" t="s">
        <v>3539</v>
      </c>
      <c r="BI628" s="1" t="s">
        <v>74</v>
      </c>
      <c r="BJ628" s="1" t="s">
        <v>74</v>
      </c>
      <c r="BK628" s="1" t="s">
        <v>74</v>
      </c>
      <c r="BL628" s="1" t="s">
        <v>74</v>
      </c>
      <c r="BM628" s="1" t="s">
        <v>74</v>
      </c>
      <c r="BN628" s="1">
        <v>3.8754391E7</v>
      </c>
      <c r="BO628" s="1" t="s">
        <v>74</v>
      </c>
      <c r="BP628" s="1" t="s">
        <v>74</v>
      </c>
      <c r="BQ628" s="1" t="s">
        <v>74</v>
      </c>
      <c r="BR628" s="1" t="s">
        <v>74</v>
      </c>
      <c r="BS628" s="1" t="s">
        <v>6415</v>
      </c>
      <c r="BT628" s="1" t="str">
        <f>HYPERLINK("https%3A%2F%2Fwww.webofscience.com%2Fwos%2Fwoscc%2Ffull-record%2FWOS:001227277400001","View Full Record in Web of Science")</f>
        <v>View Full Record in Web of Science</v>
      </c>
    </row>
    <row r="629" ht="12.75" customHeight="1">
      <c r="A629" s="1" t="s">
        <v>72</v>
      </c>
      <c r="B629" s="1" t="s">
        <v>6416</v>
      </c>
      <c r="C629" s="1" t="s">
        <v>74</v>
      </c>
      <c r="D629" s="1" t="s">
        <v>74</v>
      </c>
      <c r="E629" s="1" t="s">
        <v>74</v>
      </c>
      <c r="F629" s="1" t="s">
        <v>6417</v>
      </c>
      <c r="G629" s="1" t="s">
        <v>74</v>
      </c>
      <c r="H629" s="1" t="s">
        <v>74</v>
      </c>
      <c r="I629" s="1" t="s">
        <v>6418</v>
      </c>
      <c r="J629" s="1" t="s">
        <v>6419</v>
      </c>
      <c r="K629" s="1" t="s">
        <v>74</v>
      </c>
      <c r="L629" s="1" t="s">
        <v>74</v>
      </c>
      <c r="M629" s="1" t="s">
        <v>74</v>
      </c>
      <c r="N629" s="1" t="s">
        <v>74</v>
      </c>
      <c r="O629" s="1" t="s">
        <v>74</v>
      </c>
      <c r="P629" s="1" t="s">
        <v>74</v>
      </c>
      <c r="Q629" s="1" t="s">
        <v>74</v>
      </c>
      <c r="R629" s="1" t="s">
        <v>74</v>
      </c>
      <c r="S629" s="1" t="s">
        <v>74</v>
      </c>
      <c r="T629" s="1" t="s">
        <v>74</v>
      </c>
      <c r="U629" s="1" t="s">
        <v>74</v>
      </c>
      <c r="V629" s="1" t="s">
        <v>6420</v>
      </c>
      <c r="W629" s="1" t="s">
        <v>74</v>
      </c>
      <c r="X629" s="1" t="s">
        <v>74</v>
      </c>
      <c r="Y629" s="1" t="s">
        <v>74</v>
      </c>
      <c r="Z629" s="1" t="s">
        <v>74</v>
      </c>
      <c r="AA629" s="1" t="s">
        <v>6421</v>
      </c>
      <c r="AB629" s="1" t="s">
        <v>6422</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6423</v>
      </c>
      <c r="AP629" s="1" t="s">
        <v>6424</v>
      </c>
      <c r="AQ629" s="1" t="s">
        <v>74</v>
      </c>
      <c r="AR629" s="1" t="s">
        <v>74</v>
      </c>
      <c r="AS629" s="1" t="s">
        <v>74</v>
      </c>
      <c r="AT629" s="1" t="s">
        <v>6413</v>
      </c>
      <c r="AU629" s="1">
        <v>2024.0</v>
      </c>
      <c r="AV629" s="1">
        <v>12.0</v>
      </c>
      <c r="AW629" s="1">
        <v>19.0</v>
      </c>
      <c r="AX629" s="1" t="s">
        <v>74</v>
      </c>
      <c r="AY629" s="1" t="s">
        <v>74</v>
      </c>
      <c r="AZ629" s="1" t="s">
        <v>74</v>
      </c>
      <c r="BA629" s="1" t="s">
        <v>74</v>
      </c>
      <c r="BB629" s="1">
        <v>7009.0</v>
      </c>
      <c r="BC629" s="1">
        <v>7016.0</v>
      </c>
      <c r="BD629" s="1" t="s">
        <v>74</v>
      </c>
      <c r="BE629" s="1" t="s">
        <v>6425</v>
      </c>
      <c r="BF629" s="2" t="str">
        <f>HYPERLINK("http://dx.doi.org/10.1039/d4tc00564c","http://dx.doi.org/10.1039/d4tc00564c")</f>
        <v>http://dx.doi.org/10.1039/d4tc00564c</v>
      </c>
      <c r="BG629" s="1" t="s">
        <v>74</v>
      </c>
      <c r="BH629" s="1" t="s">
        <v>3539</v>
      </c>
      <c r="BI629" s="1" t="s">
        <v>74</v>
      </c>
      <c r="BJ629" s="1" t="s">
        <v>74</v>
      </c>
      <c r="BK629" s="1" t="s">
        <v>74</v>
      </c>
      <c r="BL629" s="1" t="s">
        <v>74</v>
      </c>
      <c r="BM629" s="1" t="s">
        <v>74</v>
      </c>
      <c r="BN629" s="1" t="s">
        <v>74</v>
      </c>
      <c r="BO629" s="1" t="s">
        <v>74</v>
      </c>
      <c r="BP629" s="1" t="s">
        <v>74</v>
      </c>
      <c r="BQ629" s="1" t="s">
        <v>74</v>
      </c>
      <c r="BR629" s="1" t="s">
        <v>74</v>
      </c>
      <c r="BS629" s="1" t="s">
        <v>6426</v>
      </c>
      <c r="BT629" s="1" t="str">
        <f>HYPERLINK("https%3A%2F%2Fwww.webofscience.com%2Fwos%2Fwoscc%2Ffull-record%2FWOS:001210825000001","View Full Record in Web of Science")</f>
        <v>View Full Record in Web of Science</v>
      </c>
    </row>
    <row r="630" ht="12.75" customHeight="1">
      <c r="A630" s="1" t="s">
        <v>72</v>
      </c>
      <c r="B630" s="1" t="s">
        <v>6427</v>
      </c>
      <c r="C630" s="1" t="s">
        <v>74</v>
      </c>
      <c r="D630" s="1" t="s">
        <v>74</v>
      </c>
      <c r="E630" s="1" t="s">
        <v>74</v>
      </c>
      <c r="F630" s="1" t="s">
        <v>6428</v>
      </c>
      <c r="G630" s="1" t="s">
        <v>74</v>
      </c>
      <c r="H630" s="1" t="s">
        <v>74</v>
      </c>
      <c r="I630" s="1" t="s">
        <v>6429</v>
      </c>
      <c r="J630" s="1" t="s">
        <v>6430</v>
      </c>
      <c r="K630" s="1" t="s">
        <v>74</v>
      </c>
      <c r="L630" s="1" t="s">
        <v>74</v>
      </c>
      <c r="M630" s="1" t="s">
        <v>74</v>
      </c>
      <c r="N630" s="1" t="s">
        <v>74</v>
      </c>
      <c r="O630" s="1" t="s">
        <v>74</v>
      </c>
      <c r="P630" s="1" t="s">
        <v>74</v>
      </c>
      <c r="Q630" s="1" t="s">
        <v>74</v>
      </c>
      <c r="R630" s="1" t="s">
        <v>74</v>
      </c>
      <c r="S630" s="1" t="s">
        <v>74</v>
      </c>
      <c r="T630" s="1" t="s">
        <v>74</v>
      </c>
      <c r="U630" s="1" t="s">
        <v>74</v>
      </c>
      <c r="V630" s="1" t="s">
        <v>6431</v>
      </c>
      <c r="W630" s="1" t="s">
        <v>74</v>
      </c>
      <c r="X630" s="1" t="s">
        <v>74</v>
      </c>
      <c r="Y630" s="1" t="s">
        <v>74</v>
      </c>
      <c r="Z630" s="1" t="s">
        <v>74</v>
      </c>
      <c r="AA630" s="1" t="s">
        <v>6432</v>
      </c>
      <c r="AB630" s="1" t="s">
        <v>6433</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6434</v>
      </c>
      <c r="AP630" s="1" t="s">
        <v>74</v>
      </c>
      <c r="AQ630" s="1" t="s">
        <v>74</v>
      </c>
      <c r="AR630" s="1" t="s">
        <v>74</v>
      </c>
      <c r="AS630" s="1" t="s">
        <v>74</v>
      </c>
      <c r="AT630" s="1" t="s">
        <v>82</v>
      </c>
      <c r="AU630" s="1">
        <v>2023.0</v>
      </c>
      <c r="AV630" s="1">
        <v>88.0</v>
      </c>
      <c r="AW630" s="1">
        <v>10.0</v>
      </c>
      <c r="AX630" s="1" t="s">
        <v>74</v>
      </c>
      <c r="AY630" s="1" t="s">
        <v>74</v>
      </c>
      <c r="AZ630" s="1" t="s">
        <v>74</v>
      </c>
      <c r="BA630" s="1" t="s">
        <v>74</v>
      </c>
      <c r="BB630" s="1" t="s">
        <v>74</v>
      </c>
      <c r="BC630" s="1" t="s">
        <v>74</v>
      </c>
      <c r="BD630" s="1" t="s">
        <v>74</v>
      </c>
      <c r="BE630" s="1" t="s">
        <v>6435</v>
      </c>
      <c r="BF630" s="2" t="str">
        <f>HYPERLINK("http://dx.doi.org/10.1002/cplu.202300257","http://dx.doi.org/10.1002/cplu.202300257")</f>
        <v>http://dx.doi.org/10.1002/cplu.202300257</v>
      </c>
      <c r="BG630" s="1" t="s">
        <v>74</v>
      </c>
      <c r="BH630" s="1" t="s">
        <v>5806</v>
      </c>
      <c r="BI630" s="1" t="s">
        <v>74</v>
      </c>
      <c r="BJ630" s="1" t="s">
        <v>74</v>
      </c>
      <c r="BK630" s="1" t="s">
        <v>74</v>
      </c>
      <c r="BL630" s="1" t="s">
        <v>74</v>
      </c>
      <c r="BM630" s="1" t="s">
        <v>74</v>
      </c>
      <c r="BN630" s="1">
        <v>3.7708459E7</v>
      </c>
      <c r="BO630" s="1" t="s">
        <v>74</v>
      </c>
      <c r="BP630" s="1" t="s">
        <v>74</v>
      </c>
      <c r="BQ630" s="1" t="s">
        <v>74</v>
      </c>
      <c r="BR630" s="1" t="s">
        <v>74</v>
      </c>
      <c r="BS630" s="1" t="s">
        <v>6436</v>
      </c>
      <c r="BT630" s="1" t="str">
        <f>HYPERLINK("https%3A%2F%2Fwww.webofscience.com%2Fwos%2Fwoscc%2Ffull-record%2FWOS:001079981200001","View Full Record in Web of Science")</f>
        <v>View Full Record in Web of Science</v>
      </c>
    </row>
    <row r="631" ht="12.75" customHeight="1">
      <c r="A631" s="1" t="s">
        <v>72</v>
      </c>
      <c r="B631" s="1" t="s">
        <v>6437</v>
      </c>
      <c r="C631" s="1" t="s">
        <v>74</v>
      </c>
      <c r="D631" s="1" t="s">
        <v>74</v>
      </c>
      <c r="E631" s="1" t="s">
        <v>74</v>
      </c>
      <c r="F631" s="1" t="s">
        <v>6438</v>
      </c>
      <c r="G631" s="1" t="s">
        <v>74</v>
      </c>
      <c r="H631" s="1" t="s">
        <v>74</v>
      </c>
      <c r="I631" s="1" t="s">
        <v>6439</v>
      </c>
      <c r="J631" s="1" t="s">
        <v>6440</v>
      </c>
      <c r="K631" s="1" t="s">
        <v>74</v>
      </c>
      <c r="L631" s="1" t="s">
        <v>74</v>
      </c>
      <c r="M631" s="1" t="s">
        <v>74</v>
      </c>
      <c r="N631" s="1" t="s">
        <v>74</v>
      </c>
      <c r="O631" s="1" t="s">
        <v>74</v>
      </c>
      <c r="P631" s="1" t="s">
        <v>74</v>
      </c>
      <c r="Q631" s="1" t="s">
        <v>74</v>
      </c>
      <c r="R631" s="1" t="s">
        <v>74</v>
      </c>
      <c r="S631" s="1" t="s">
        <v>74</v>
      </c>
      <c r="T631" s="1" t="s">
        <v>74</v>
      </c>
      <c r="U631" s="1" t="s">
        <v>74</v>
      </c>
      <c r="V631" s="1" t="s">
        <v>6441</v>
      </c>
      <c r="W631" s="1" t="s">
        <v>74</v>
      </c>
      <c r="X631" s="1" t="s">
        <v>74</v>
      </c>
      <c r="Y631" s="1" t="s">
        <v>74</v>
      </c>
      <c r="Z631" s="1" t="s">
        <v>74</v>
      </c>
      <c r="AA631" s="1" t="s">
        <v>6442</v>
      </c>
      <c r="AB631" s="1" t="s">
        <v>6443</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6444</v>
      </c>
      <c r="AP631" s="1" t="s">
        <v>6445</v>
      </c>
      <c r="AQ631" s="1" t="s">
        <v>74</v>
      </c>
      <c r="AR631" s="1" t="s">
        <v>74</v>
      </c>
      <c r="AS631" s="1" t="s">
        <v>74</v>
      </c>
      <c r="AT631" s="1" t="s">
        <v>271</v>
      </c>
      <c r="AU631" s="1">
        <v>2023.0</v>
      </c>
      <c r="AV631" s="1">
        <v>73.0</v>
      </c>
      <c r="AW631" s="1">
        <v>3.0</v>
      </c>
      <c r="AX631" s="1" t="s">
        <v>74</v>
      </c>
      <c r="AY631" s="1" t="s">
        <v>74</v>
      </c>
      <c r="AZ631" s="1" t="s">
        <v>74</v>
      </c>
      <c r="BA631" s="1" t="s">
        <v>74</v>
      </c>
      <c r="BB631" s="1">
        <v>443.0</v>
      </c>
      <c r="BC631" s="1">
        <v>467.0</v>
      </c>
      <c r="BD631" s="1" t="s">
        <v>74</v>
      </c>
      <c r="BE631" s="1" t="s">
        <v>6446</v>
      </c>
      <c r="BF631" s="2" t="str">
        <f>HYPERLINK("http://dx.doi.org/10.1556/032.2023.00025","http://dx.doi.org/10.1556/032.2023.00025")</f>
        <v>http://dx.doi.org/10.1556/032.2023.00025</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6447</v>
      </c>
      <c r="BT631" s="1" t="str">
        <f>HYPERLINK("https%3A%2F%2Fwww.webofscience.com%2Fwos%2Fwoscc%2Ffull-record%2FWOS:001084794700006","View Full Record in Web of Science")</f>
        <v>View Full Record in Web of Science</v>
      </c>
    </row>
    <row r="632" ht="12.75" customHeight="1">
      <c r="A632" s="1" t="s">
        <v>72</v>
      </c>
      <c r="B632" s="1" t="s">
        <v>6448</v>
      </c>
      <c r="C632" s="1" t="s">
        <v>74</v>
      </c>
      <c r="D632" s="1" t="s">
        <v>74</v>
      </c>
      <c r="E632" s="1" t="s">
        <v>74</v>
      </c>
      <c r="F632" s="1" t="s">
        <v>6449</v>
      </c>
      <c r="G632" s="1" t="s">
        <v>74</v>
      </c>
      <c r="H632" s="1" t="s">
        <v>74</v>
      </c>
      <c r="I632" s="1" t="s">
        <v>6450</v>
      </c>
      <c r="J632" s="1" t="s">
        <v>6451</v>
      </c>
      <c r="K632" s="1" t="s">
        <v>74</v>
      </c>
      <c r="L632" s="1" t="s">
        <v>74</v>
      </c>
      <c r="M632" s="1" t="s">
        <v>74</v>
      </c>
      <c r="N632" s="1" t="s">
        <v>74</v>
      </c>
      <c r="O632" s="1" t="s">
        <v>74</v>
      </c>
      <c r="P632" s="1" t="s">
        <v>74</v>
      </c>
      <c r="Q632" s="1" t="s">
        <v>74</v>
      </c>
      <c r="R632" s="1" t="s">
        <v>74</v>
      </c>
      <c r="S632" s="1" t="s">
        <v>74</v>
      </c>
      <c r="T632" s="1" t="s">
        <v>74</v>
      </c>
      <c r="U632" s="1" t="s">
        <v>74</v>
      </c>
      <c r="V632" s="1" t="s">
        <v>6452</v>
      </c>
      <c r="W632" s="1" t="s">
        <v>74</v>
      </c>
      <c r="X632" s="1" t="s">
        <v>74</v>
      </c>
      <c r="Y632" s="1" t="s">
        <v>74</v>
      </c>
      <c r="Z632" s="1" t="s">
        <v>74</v>
      </c>
      <c r="AA632" s="1" t="s">
        <v>6453</v>
      </c>
      <c r="AB632" s="1" t="s">
        <v>6454</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74</v>
      </c>
      <c r="AP632" s="1" t="s">
        <v>6455</v>
      </c>
      <c r="AQ632" s="1" t="s">
        <v>74</v>
      </c>
      <c r="AR632" s="1" t="s">
        <v>74</v>
      </c>
      <c r="AS632" s="1" t="s">
        <v>74</v>
      </c>
      <c r="AT632" s="1" t="s">
        <v>271</v>
      </c>
      <c r="AU632" s="1">
        <v>2023.0</v>
      </c>
      <c r="AV632" s="1">
        <v>12.0</v>
      </c>
      <c r="AW632" s="1">
        <v>9.0</v>
      </c>
      <c r="AX632" s="1" t="s">
        <v>74</v>
      </c>
      <c r="AY632" s="1" t="s">
        <v>74</v>
      </c>
      <c r="AZ632" s="1" t="s">
        <v>74</v>
      </c>
      <c r="BA632" s="1" t="s">
        <v>74</v>
      </c>
      <c r="BB632" s="1" t="s">
        <v>74</v>
      </c>
      <c r="BC632" s="1" t="s">
        <v>74</v>
      </c>
      <c r="BD632" s="1">
        <v>1241.0</v>
      </c>
      <c r="BE632" s="1" t="s">
        <v>6456</v>
      </c>
      <c r="BF632" s="2" t="str">
        <f>HYPERLINK("http://dx.doi.org/10.3390/biology12091241","http://dx.doi.org/10.3390/biology12091241")</f>
        <v>http://dx.doi.org/10.3390/biology12091241</v>
      </c>
      <c r="BG632" s="1" t="s">
        <v>74</v>
      </c>
      <c r="BH632" s="1" t="s">
        <v>74</v>
      </c>
      <c r="BI632" s="1" t="s">
        <v>74</v>
      </c>
      <c r="BJ632" s="1" t="s">
        <v>74</v>
      </c>
      <c r="BK632" s="1" t="s">
        <v>74</v>
      </c>
      <c r="BL632" s="1" t="s">
        <v>74</v>
      </c>
      <c r="BM632" s="1" t="s">
        <v>74</v>
      </c>
      <c r="BN632" s="1">
        <v>3.775964E7</v>
      </c>
      <c r="BO632" s="1" t="s">
        <v>74</v>
      </c>
      <c r="BP632" s="1" t="s">
        <v>74</v>
      </c>
      <c r="BQ632" s="1" t="s">
        <v>74</v>
      </c>
      <c r="BR632" s="1" t="s">
        <v>74</v>
      </c>
      <c r="BS632" s="1" t="s">
        <v>6457</v>
      </c>
      <c r="BT632" s="1" t="str">
        <f>HYPERLINK("https%3A%2F%2Fwww.webofscience.com%2Fwos%2Fwoscc%2Ffull-record%2FWOS:001073536200001","View Full Record in Web of Science")</f>
        <v>View Full Record in Web of Science</v>
      </c>
    </row>
    <row r="633" ht="12.75" customHeight="1">
      <c r="A633" s="1" t="s">
        <v>72</v>
      </c>
      <c r="B633" s="1" t="s">
        <v>6458</v>
      </c>
      <c r="C633" s="1" t="s">
        <v>74</v>
      </c>
      <c r="D633" s="1" t="s">
        <v>74</v>
      </c>
      <c r="E633" s="1" t="s">
        <v>74</v>
      </c>
      <c r="F633" s="1" t="s">
        <v>6459</v>
      </c>
      <c r="G633" s="1" t="s">
        <v>74</v>
      </c>
      <c r="H633" s="1" t="s">
        <v>74</v>
      </c>
      <c r="I633" s="1" t="s">
        <v>6460</v>
      </c>
      <c r="J633" s="1" t="s">
        <v>6461</v>
      </c>
      <c r="K633" s="1" t="s">
        <v>74</v>
      </c>
      <c r="L633" s="1" t="s">
        <v>74</v>
      </c>
      <c r="M633" s="1" t="s">
        <v>74</v>
      </c>
      <c r="N633" s="1" t="s">
        <v>74</v>
      </c>
      <c r="O633" s="1" t="s">
        <v>74</v>
      </c>
      <c r="P633" s="1" t="s">
        <v>74</v>
      </c>
      <c r="Q633" s="1" t="s">
        <v>74</v>
      </c>
      <c r="R633" s="1" t="s">
        <v>74</v>
      </c>
      <c r="S633" s="1" t="s">
        <v>74</v>
      </c>
      <c r="T633" s="1" t="s">
        <v>74</v>
      </c>
      <c r="U633" s="1" t="s">
        <v>74</v>
      </c>
      <c r="V633" s="1" t="s">
        <v>6462</v>
      </c>
      <c r="W633" s="1" t="s">
        <v>74</v>
      </c>
      <c r="X633" s="1" t="s">
        <v>74</v>
      </c>
      <c r="Y633" s="1" t="s">
        <v>74</v>
      </c>
      <c r="Z633" s="1" t="s">
        <v>74</v>
      </c>
      <c r="AA633" s="1" t="s">
        <v>6463</v>
      </c>
      <c r="AB633" s="1" t="s">
        <v>6464</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6465</v>
      </c>
      <c r="AP633" s="1" t="s">
        <v>6466</v>
      </c>
      <c r="AQ633" s="1" t="s">
        <v>74</v>
      </c>
      <c r="AR633" s="1" t="s">
        <v>74</v>
      </c>
      <c r="AS633" s="1" t="s">
        <v>74</v>
      </c>
      <c r="AT633" s="1" t="s">
        <v>6467</v>
      </c>
      <c r="AU633" s="1">
        <v>2023.0</v>
      </c>
      <c r="AV633" s="1" t="s">
        <v>74</v>
      </c>
      <c r="AW633" s="1" t="s">
        <v>74</v>
      </c>
      <c r="AX633" s="1" t="s">
        <v>74</v>
      </c>
      <c r="AY633" s="1" t="s">
        <v>74</v>
      </c>
      <c r="AZ633" s="1" t="s">
        <v>74</v>
      </c>
      <c r="BA633" s="1" t="s">
        <v>74</v>
      </c>
      <c r="BB633" s="1" t="s">
        <v>74</v>
      </c>
      <c r="BC633" s="1" t="s">
        <v>74</v>
      </c>
      <c r="BD633" s="1" t="s">
        <v>74</v>
      </c>
      <c r="BE633" s="1" t="s">
        <v>6468</v>
      </c>
      <c r="BF633" s="2" t="str">
        <f>HYPERLINK("http://dx.doi.org/10.1159/000528961","http://dx.doi.org/10.1159/000528961")</f>
        <v>http://dx.doi.org/10.1159/000528961</v>
      </c>
      <c r="BG633" s="1" t="s">
        <v>74</v>
      </c>
      <c r="BH633" s="1" t="s">
        <v>6469</v>
      </c>
      <c r="BI633" s="1" t="s">
        <v>74</v>
      </c>
      <c r="BJ633" s="1" t="s">
        <v>74</v>
      </c>
      <c r="BK633" s="1" t="s">
        <v>74</v>
      </c>
      <c r="BL633" s="1" t="s">
        <v>74</v>
      </c>
      <c r="BM633" s="1" t="s">
        <v>74</v>
      </c>
      <c r="BN633" s="1">
        <v>3.712123E7</v>
      </c>
      <c r="BO633" s="1" t="s">
        <v>74</v>
      </c>
      <c r="BP633" s="1" t="s">
        <v>74</v>
      </c>
      <c r="BQ633" s="1" t="s">
        <v>74</v>
      </c>
      <c r="BR633" s="1" t="s">
        <v>74</v>
      </c>
      <c r="BS633" s="1" t="s">
        <v>6470</v>
      </c>
      <c r="BT633" s="1" t="str">
        <f>HYPERLINK("https%3A%2F%2Fwww.webofscience.com%2Fwos%2Fwoscc%2Ffull-record%2FWOS:001008101200001","View Full Record in Web of Science")</f>
        <v>View Full Record in Web of Science</v>
      </c>
    </row>
    <row r="634" ht="12.75" customHeight="1">
      <c r="A634" s="1" t="s">
        <v>72</v>
      </c>
      <c r="B634" s="1" t="s">
        <v>6471</v>
      </c>
      <c r="C634" s="1" t="s">
        <v>74</v>
      </c>
      <c r="D634" s="1" t="s">
        <v>74</v>
      </c>
      <c r="E634" s="1" t="s">
        <v>74</v>
      </c>
      <c r="F634" s="1" t="s">
        <v>6472</v>
      </c>
      <c r="G634" s="1" t="s">
        <v>74</v>
      </c>
      <c r="H634" s="1" t="s">
        <v>74</v>
      </c>
      <c r="I634" s="1" t="s">
        <v>6473</v>
      </c>
      <c r="J634" s="1" t="s">
        <v>6474</v>
      </c>
      <c r="K634" s="1" t="s">
        <v>74</v>
      </c>
      <c r="L634" s="1" t="s">
        <v>74</v>
      </c>
      <c r="M634" s="1" t="s">
        <v>74</v>
      </c>
      <c r="N634" s="1" t="s">
        <v>74</v>
      </c>
      <c r="O634" s="1" t="s">
        <v>74</v>
      </c>
      <c r="P634" s="1" t="s">
        <v>74</v>
      </c>
      <c r="Q634" s="1" t="s">
        <v>74</v>
      </c>
      <c r="R634" s="1" t="s">
        <v>74</v>
      </c>
      <c r="S634" s="1" t="s">
        <v>74</v>
      </c>
      <c r="T634" s="1" t="s">
        <v>74</v>
      </c>
      <c r="U634" s="1" t="s">
        <v>74</v>
      </c>
      <c r="V634" s="1" t="s">
        <v>6475</v>
      </c>
      <c r="W634" s="1" t="s">
        <v>74</v>
      </c>
      <c r="X634" s="1" t="s">
        <v>74</v>
      </c>
      <c r="Y634" s="1" t="s">
        <v>74</v>
      </c>
      <c r="Z634" s="1" t="s">
        <v>74</v>
      </c>
      <c r="AA634" s="1" t="s">
        <v>6476</v>
      </c>
      <c r="AB634" s="1" t="s">
        <v>6477</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6478</v>
      </c>
      <c r="AP634" s="1" t="s">
        <v>6479</v>
      </c>
      <c r="AQ634" s="1" t="s">
        <v>74</v>
      </c>
      <c r="AR634" s="1" t="s">
        <v>74</v>
      </c>
      <c r="AS634" s="1" t="s">
        <v>74</v>
      </c>
      <c r="AT634" s="1" t="s">
        <v>6480</v>
      </c>
      <c r="AU634" s="1">
        <v>2023.0</v>
      </c>
      <c r="AV634" s="1">
        <v>28.0</v>
      </c>
      <c r="AW634" s="1">
        <v>3.0</v>
      </c>
      <c r="AX634" s="1" t="s">
        <v>74</v>
      </c>
      <c r="AY634" s="1" t="s">
        <v>74</v>
      </c>
      <c r="AZ634" s="1" t="s">
        <v>74</v>
      </c>
      <c r="BA634" s="1" t="s">
        <v>74</v>
      </c>
      <c r="BB634" s="1">
        <v>201.0</v>
      </c>
      <c r="BC634" s="1">
        <v>214.0</v>
      </c>
      <c r="BD634" s="1" t="s">
        <v>74</v>
      </c>
      <c r="BE634" s="1" t="s">
        <v>6481</v>
      </c>
      <c r="BF634" s="2" t="str">
        <f>HYPERLINK("http://dx.doi.org/10.1080/1023666X.2023.2175167","http://dx.doi.org/10.1080/1023666X.2023.2175167")</f>
        <v>http://dx.doi.org/10.1080/1023666X.2023.2175167</v>
      </c>
      <c r="BG634" s="1" t="s">
        <v>74</v>
      </c>
      <c r="BH634" s="1" t="s">
        <v>5815</v>
      </c>
      <c r="BI634" s="1" t="s">
        <v>74</v>
      </c>
      <c r="BJ634" s="1" t="s">
        <v>74</v>
      </c>
      <c r="BK634" s="1" t="s">
        <v>74</v>
      </c>
      <c r="BL634" s="1" t="s">
        <v>74</v>
      </c>
      <c r="BM634" s="1" t="s">
        <v>74</v>
      </c>
      <c r="BN634" s="1" t="s">
        <v>74</v>
      </c>
      <c r="BO634" s="1" t="s">
        <v>74</v>
      </c>
      <c r="BP634" s="1" t="s">
        <v>74</v>
      </c>
      <c r="BQ634" s="1" t="s">
        <v>74</v>
      </c>
      <c r="BR634" s="1" t="s">
        <v>74</v>
      </c>
      <c r="BS634" s="1" t="s">
        <v>6482</v>
      </c>
      <c r="BT634" s="1" t="str">
        <f>HYPERLINK("https%3A%2F%2Fwww.webofscience.com%2Fwos%2Fwoscc%2Ffull-record%2FWOS:000931767300001","View Full Record in Web of Science")</f>
        <v>View Full Record in Web of Science</v>
      </c>
    </row>
    <row r="635" ht="12.75" customHeight="1">
      <c r="A635" s="1" t="s">
        <v>72</v>
      </c>
      <c r="B635" s="1" t="s">
        <v>6483</v>
      </c>
      <c r="C635" s="1" t="s">
        <v>74</v>
      </c>
      <c r="D635" s="1" t="s">
        <v>74</v>
      </c>
      <c r="E635" s="1" t="s">
        <v>74</v>
      </c>
      <c r="F635" s="1" t="s">
        <v>6484</v>
      </c>
      <c r="G635" s="1" t="s">
        <v>74</v>
      </c>
      <c r="H635" s="1" t="s">
        <v>74</v>
      </c>
      <c r="I635" s="1" t="s">
        <v>6485</v>
      </c>
      <c r="J635" s="1" t="s">
        <v>6486</v>
      </c>
      <c r="K635" s="1" t="s">
        <v>74</v>
      </c>
      <c r="L635" s="1" t="s">
        <v>74</v>
      </c>
      <c r="M635" s="1" t="s">
        <v>74</v>
      </c>
      <c r="N635" s="1" t="s">
        <v>74</v>
      </c>
      <c r="O635" s="1" t="s">
        <v>74</v>
      </c>
      <c r="P635" s="1" t="s">
        <v>74</v>
      </c>
      <c r="Q635" s="1" t="s">
        <v>74</v>
      </c>
      <c r="R635" s="1" t="s">
        <v>74</v>
      </c>
      <c r="S635" s="1" t="s">
        <v>74</v>
      </c>
      <c r="T635" s="1" t="s">
        <v>74</v>
      </c>
      <c r="U635" s="1" t="s">
        <v>74</v>
      </c>
      <c r="V635" s="1" t="s">
        <v>6487</v>
      </c>
      <c r="W635" s="1" t="s">
        <v>74</v>
      </c>
      <c r="X635" s="1" t="s">
        <v>74</v>
      </c>
      <c r="Y635" s="1" t="s">
        <v>74</v>
      </c>
      <c r="Z635" s="1" t="s">
        <v>74</v>
      </c>
      <c r="AA635" s="1" t="s">
        <v>6488</v>
      </c>
      <c r="AB635" s="1" t="s">
        <v>6489</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6490</v>
      </c>
      <c r="AP635" s="1" t="s">
        <v>74</v>
      </c>
      <c r="AQ635" s="1" t="s">
        <v>74</v>
      </c>
      <c r="AR635" s="1" t="s">
        <v>74</v>
      </c>
      <c r="AS635" s="1" t="s">
        <v>74</v>
      </c>
      <c r="AT635" s="1" t="s">
        <v>977</v>
      </c>
      <c r="AU635" s="1">
        <v>2022.0</v>
      </c>
      <c r="AV635" s="1">
        <v>18.0</v>
      </c>
      <c r="AW635" s="1">
        <v>3.0</v>
      </c>
      <c r="AX635" s="1" t="s">
        <v>74</v>
      </c>
      <c r="AY635" s="1" t="s">
        <v>74</v>
      </c>
      <c r="AZ635" s="1" t="s">
        <v>74</v>
      </c>
      <c r="BA635" s="1" t="s">
        <v>74</v>
      </c>
      <c r="BB635" s="1" t="s">
        <v>74</v>
      </c>
      <c r="BC635" s="1" t="s">
        <v>74</v>
      </c>
      <c r="BD635" s="1">
        <v>34004.0</v>
      </c>
      <c r="BE635" s="1" t="s">
        <v>6491</v>
      </c>
      <c r="BF635" s="2" t="str">
        <f>HYPERLINK("http://dx.doi.org/10.1103/PhysRevApplied.18.034004","http://dx.doi.org/10.1103/PhysRevApplied.18.034004")</f>
        <v>http://dx.doi.org/10.1103/PhysRevApplied.18.034004</v>
      </c>
      <c r="BG635" s="1" t="s">
        <v>74</v>
      </c>
      <c r="BH635" s="1" t="s">
        <v>74</v>
      </c>
      <c r="BI635" s="1" t="s">
        <v>74</v>
      </c>
      <c r="BJ635" s="1" t="s">
        <v>74</v>
      </c>
      <c r="BK635" s="1" t="s">
        <v>74</v>
      </c>
      <c r="BL635" s="1" t="s">
        <v>74</v>
      </c>
      <c r="BM635" s="1" t="s">
        <v>74</v>
      </c>
      <c r="BN635" s="1" t="s">
        <v>74</v>
      </c>
      <c r="BO635" s="1" t="s">
        <v>74</v>
      </c>
      <c r="BP635" s="1" t="s">
        <v>74</v>
      </c>
      <c r="BQ635" s="1" t="s">
        <v>74</v>
      </c>
      <c r="BR635" s="1" t="s">
        <v>74</v>
      </c>
      <c r="BS635" s="1" t="s">
        <v>6492</v>
      </c>
      <c r="BT635" s="1" t="str">
        <f>HYPERLINK("https%3A%2F%2Fwww.webofscience.com%2Fwos%2Fwoscc%2Ffull-record%2FWOS:000850937000004","View Full Record in Web of Science")</f>
        <v>View Full Record in Web of Science</v>
      </c>
    </row>
    <row r="636" ht="12.75" customHeight="1">
      <c r="A636" s="1" t="s">
        <v>72</v>
      </c>
      <c r="B636" s="1" t="s">
        <v>6493</v>
      </c>
      <c r="C636" s="1" t="s">
        <v>74</v>
      </c>
      <c r="D636" s="1" t="s">
        <v>74</v>
      </c>
      <c r="E636" s="1" t="s">
        <v>74</v>
      </c>
      <c r="F636" s="1" t="s">
        <v>6494</v>
      </c>
      <c r="G636" s="1" t="s">
        <v>74</v>
      </c>
      <c r="H636" s="1" t="s">
        <v>74</v>
      </c>
      <c r="I636" s="1" t="s">
        <v>6495</v>
      </c>
      <c r="J636" s="1" t="s">
        <v>6496</v>
      </c>
      <c r="K636" s="1" t="s">
        <v>74</v>
      </c>
      <c r="L636" s="1" t="s">
        <v>74</v>
      </c>
      <c r="M636" s="1" t="s">
        <v>74</v>
      </c>
      <c r="N636" s="1" t="s">
        <v>74</v>
      </c>
      <c r="O636" s="1" t="s">
        <v>74</v>
      </c>
      <c r="P636" s="1" t="s">
        <v>74</v>
      </c>
      <c r="Q636" s="1" t="s">
        <v>74</v>
      </c>
      <c r="R636" s="1" t="s">
        <v>74</v>
      </c>
      <c r="S636" s="1" t="s">
        <v>74</v>
      </c>
      <c r="T636" s="1" t="s">
        <v>74</v>
      </c>
      <c r="U636" s="1" t="s">
        <v>74</v>
      </c>
      <c r="V636" s="1" t="s">
        <v>6497</v>
      </c>
      <c r="W636" s="1" t="s">
        <v>74</v>
      </c>
      <c r="X636" s="1" t="s">
        <v>74</v>
      </c>
      <c r="Y636" s="1" t="s">
        <v>74</v>
      </c>
      <c r="Z636" s="1" t="s">
        <v>74</v>
      </c>
      <c r="AA636" s="1" t="s">
        <v>6498</v>
      </c>
      <c r="AB636" s="1" t="s">
        <v>6499</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6500</v>
      </c>
      <c r="AP636" s="1" t="s">
        <v>74</v>
      </c>
      <c r="AQ636" s="1" t="s">
        <v>74</v>
      </c>
      <c r="AR636" s="1" t="s">
        <v>74</v>
      </c>
      <c r="AS636" s="1" t="s">
        <v>74</v>
      </c>
      <c r="AT636" s="1" t="s">
        <v>282</v>
      </c>
      <c r="AU636" s="1">
        <v>2022.0</v>
      </c>
      <c r="AV636" s="1">
        <v>12.0</v>
      </c>
      <c r="AW636" s="1">
        <v>8.0</v>
      </c>
      <c r="AX636" s="1" t="s">
        <v>74</v>
      </c>
      <c r="AY636" s="1" t="s">
        <v>74</v>
      </c>
      <c r="AZ636" s="1" t="s">
        <v>74</v>
      </c>
      <c r="BA636" s="1" t="s">
        <v>74</v>
      </c>
      <c r="BB636" s="1" t="s">
        <v>74</v>
      </c>
      <c r="BC636" s="1" t="s">
        <v>74</v>
      </c>
      <c r="BD636" s="1" t="s">
        <v>6501</v>
      </c>
      <c r="BE636" s="1" t="s">
        <v>6502</v>
      </c>
      <c r="BF636" s="2" t="str">
        <f>HYPERLINK("http://dx.doi.org/10.1136/bmjopen-2022-061586","http://dx.doi.org/10.1136/bmjopen-2022-061586")</f>
        <v>http://dx.doi.org/10.1136/bmjopen-2022-061586</v>
      </c>
      <c r="BG636" s="1" t="s">
        <v>74</v>
      </c>
      <c r="BH636" s="1" t="s">
        <v>74</v>
      </c>
      <c r="BI636" s="1" t="s">
        <v>74</v>
      </c>
      <c r="BJ636" s="1" t="s">
        <v>74</v>
      </c>
      <c r="BK636" s="1" t="s">
        <v>74</v>
      </c>
      <c r="BL636" s="1" t="s">
        <v>74</v>
      </c>
      <c r="BM636" s="1" t="s">
        <v>74</v>
      </c>
      <c r="BN636" s="1">
        <v>3.5953246E7</v>
      </c>
      <c r="BO636" s="1" t="s">
        <v>74</v>
      </c>
      <c r="BP636" s="1" t="s">
        <v>74</v>
      </c>
      <c r="BQ636" s="1" t="s">
        <v>74</v>
      </c>
      <c r="BR636" s="1" t="s">
        <v>74</v>
      </c>
      <c r="BS636" s="1" t="s">
        <v>6503</v>
      </c>
      <c r="BT636" s="1" t="str">
        <f>HYPERLINK("https%3A%2F%2Fwww.webofscience.com%2Fwos%2Fwoscc%2Ffull-record%2FWOS:000840807900003","View Full Record in Web of Science")</f>
        <v>View Full Record in Web of Science</v>
      </c>
    </row>
    <row r="637" ht="12.75" customHeight="1">
      <c r="A637" s="1" t="s">
        <v>72</v>
      </c>
      <c r="B637" s="1" t="s">
        <v>6504</v>
      </c>
      <c r="C637" s="1" t="s">
        <v>74</v>
      </c>
      <c r="D637" s="1" t="s">
        <v>74</v>
      </c>
      <c r="E637" s="1" t="s">
        <v>74</v>
      </c>
      <c r="F637" s="1" t="s">
        <v>6505</v>
      </c>
      <c r="G637" s="1" t="s">
        <v>74</v>
      </c>
      <c r="H637" s="1" t="s">
        <v>74</v>
      </c>
      <c r="I637" s="1" t="s">
        <v>6506</v>
      </c>
      <c r="J637" s="1" t="s">
        <v>6507</v>
      </c>
      <c r="K637" s="1" t="s">
        <v>74</v>
      </c>
      <c r="L637" s="1" t="s">
        <v>74</v>
      </c>
      <c r="M637" s="1" t="s">
        <v>74</v>
      </c>
      <c r="N637" s="1" t="s">
        <v>74</v>
      </c>
      <c r="O637" s="1" t="s">
        <v>74</v>
      </c>
      <c r="P637" s="1" t="s">
        <v>74</v>
      </c>
      <c r="Q637" s="1" t="s">
        <v>74</v>
      </c>
      <c r="R637" s="1" t="s">
        <v>74</v>
      </c>
      <c r="S637" s="1" t="s">
        <v>74</v>
      </c>
      <c r="T637" s="1" t="s">
        <v>74</v>
      </c>
      <c r="U637" s="1" t="s">
        <v>74</v>
      </c>
      <c r="V637" s="1" t="s">
        <v>6508</v>
      </c>
      <c r="W637" s="1" t="s">
        <v>74</v>
      </c>
      <c r="X637" s="1" t="s">
        <v>74</v>
      </c>
      <c r="Y637" s="1" t="s">
        <v>74</v>
      </c>
      <c r="Z637" s="1" t="s">
        <v>74</v>
      </c>
      <c r="AA637" s="1" t="s">
        <v>6509</v>
      </c>
      <c r="AB637" s="1" t="s">
        <v>6510</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6511</v>
      </c>
      <c r="AP637" s="1" t="s">
        <v>6512</v>
      </c>
      <c r="AQ637" s="1" t="s">
        <v>74</v>
      </c>
      <c r="AR637" s="1" t="s">
        <v>74</v>
      </c>
      <c r="AS637" s="1" t="s">
        <v>74</v>
      </c>
      <c r="AT637" s="1" t="s">
        <v>82</v>
      </c>
      <c r="AU637" s="1">
        <v>2020.0</v>
      </c>
      <c r="AV637" s="1">
        <v>20.0</v>
      </c>
      <c r="AW637" s="1">
        <v>2.0</v>
      </c>
      <c r="AX637" s="1" t="s">
        <v>74</v>
      </c>
      <c r="AY637" s="1" t="s">
        <v>74</v>
      </c>
      <c r="AZ637" s="1" t="s">
        <v>74</v>
      </c>
      <c r="BA637" s="1" t="s">
        <v>74</v>
      </c>
      <c r="BB637" s="1">
        <v>62.0</v>
      </c>
      <c r="BC637" s="1">
        <v>71.0</v>
      </c>
      <c r="BD637" s="1" t="s">
        <v>74</v>
      </c>
      <c r="BE637" s="1" t="s">
        <v>6513</v>
      </c>
      <c r="BF637" s="2" t="str">
        <f>HYPERLINK("http://dx.doi.org/10.24215/16666038.20.e07","http://dx.doi.org/10.24215/16666038.20.e07")</f>
        <v>http://dx.doi.org/10.24215/16666038.20.e07</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6514</v>
      </c>
      <c r="BT637" s="1" t="str">
        <f>HYPERLINK("https%3A%2F%2Fwww.webofscience.com%2Fwos%2Fwoscc%2Ffull-record%2FWOS:000591848200001","View Full Record in Web of Science")</f>
        <v>View Full Record in Web of Science</v>
      </c>
    </row>
    <row r="638" ht="12.75" customHeight="1">
      <c r="A638" s="1" t="s">
        <v>72</v>
      </c>
      <c r="B638" s="1" t="s">
        <v>6515</v>
      </c>
      <c r="C638" s="1" t="s">
        <v>74</v>
      </c>
      <c r="D638" s="1" t="s">
        <v>74</v>
      </c>
      <c r="E638" s="1" t="s">
        <v>74</v>
      </c>
      <c r="F638" s="1" t="s">
        <v>6516</v>
      </c>
      <c r="G638" s="1" t="s">
        <v>74</v>
      </c>
      <c r="H638" s="1" t="s">
        <v>74</v>
      </c>
      <c r="I638" s="1" t="s">
        <v>6517</v>
      </c>
      <c r="J638" s="1" t="s">
        <v>665</v>
      </c>
      <c r="K638" s="1" t="s">
        <v>74</v>
      </c>
      <c r="L638" s="1" t="s">
        <v>74</v>
      </c>
      <c r="M638" s="1" t="s">
        <v>74</v>
      </c>
      <c r="N638" s="1" t="s">
        <v>74</v>
      </c>
      <c r="O638" s="1" t="s">
        <v>74</v>
      </c>
      <c r="P638" s="1" t="s">
        <v>74</v>
      </c>
      <c r="Q638" s="1" t="s">
        <v>74</v>
      </c>
      <c r="R638" s="1" t="s">
        <v>74</v>
      </c>
      <c r="S638" s="1" t="s">
        <v>74</v>
      </c>
      <c r="T638" s="1" t="s">
        <v>74</v>
      </c>
      <c r="U638" s="1" t="s">
        <v>74</v>
      </c>
      <c r="V638" s="1" t="s">
        <v>6518</v>
      </c>
      <c r="W638" s="1" t="s">
        <v>74</v>
      </c>
      <c r="X638" s="1" t="s">
        <v>74</v>
      </c>
      <c r="Y638" s="1" t="s">
        <v>74</v>
      </c>
      <c r="Z638" s="1" t="s">
        <v>74</v>
      </c>
      <c r="AA638" s="1" t="s">
        <v>6519</v>
      </c>
      <c r="AB638" s="1" t="s">
        <v>6520</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74</v>
      </c>
      <c r="AP638" s="1" t="s">
        <v>669</v>
      </c>
      <c r="AQ638" s="1" t="s">
        <v>74</v>
      </c>
      <c r="AR638" s="1" t="s">
        <v>74</v>
      </c>
      <c r="AS638" s="1" t="s">
        <v>74</v>
      </c>
      <c r="AT638" s="1" t="s">
        <v>745</v>
      </c>
      <c r="AU638" s="1">
        <v>2020.0</v>
      </c>
      <c r="AV638" s="1">
        <v>25.0</v>
      </c>
      <c r="AW638" s="1">
        <v>10.0</v>
      </c>
      <c r="AX638" s="1" t="s">
        <v>74</v>
      </c>
      <c r="AY638" s="1" t="s">
        <v>74</v>
      </c>
      <c r="AZ638" s="1" t="s">
        <v>74</v>
      </c>
      <c r="BA638" s="1" t="s">
        <v>74</v>
      </c>
      <c r="BB638" s="1" t="s">
        <v>74</v>
      </c>
      <c r="BC638" s="1" t="s">
        <v>74</v>
      </c>
      <c r="BD638" s="1">
        <v>2308.0</v>
      </c>
      <c r="BE638" s="1" t="s">
        <v>6521</v>
      </c>
      <c r="BF638" s="2" t="str">
        <f>HYPERLINK("http://dx.doi.org/10.3390/molecules25102308","http://dx.doi.org/10.3390/molecules25102308")</f>
        <v>http://dx.doi.org/10.3390/molecules25102308</v>
      </c>
      <c r="BG638" s="1" t="s">
        <v>74</v>
      </c>
      <c r="BH638" s="1" t="s">
        <v>74</v>
      </c>
      <c r="BI638" s="1" t="s">
        <v>74</v>
      </c>
      <c r="BJ638" s="1" t="s">
        <v>74</v>
      </c>
      <c r="BK638" s="1" t="s">
        <v>74</v>
      </c>
      <c r="BL638" s="1" t="s">
        <v>74</v>
      </c>
      <c r="BM638" s="1" t="s">
        <v>74</v>
      </c>
      <c r="BN638" s="1">
        <v>3.2423061E7</v>
      </c>
      <c r="BO638" s="1" t="s">
        <v>74</v>
      </c>
      <c r="BP638" s="1" t="s">
        <v>74</v>
      </c>
      <c r="BQ638" s="1" t="s">
        <v>74</v>
      </c>
      <c r="BR638" s="1" t="s">
        <v>74</v>
      </c>
      <c r="BS638" s="1" t="s">
        <v>6522</v>
      </c>
      <c r="BT638" s="1" t="str">
        <f>HYPERLINK("https%3A%2F%2Fwww.webofscience.com%2Fwos%2Fwoscc%2Ffull-record%2FWOS:000539293400041","View Full Record in Web of Science")</f>
        <v>View Full Record in Web of Science</v>
      </c>
    </row>
    <row r="639" ht="12.75" customHeight="1">
      <c r="A639" s="1" t="s">
        <v>72</v>
      </c>
      <c r="B639" s="1" t="s">
        <v>6523</v>
      </c>
      <c r="C639" s="1" t="s">
        <v>74</v>
      </c>
      <c r="D639" s="1" t="s">
        <v>74</v>
      </c>
      <c r="E639" s="1" t="s">
        <v>74</v>
      </c>
      <c r="F639" s="1" t="s">
        <v>6524</v>
      </c>
      <c r="G639" s="1" t="s">
        <v>74</v>
      </c>
      <c r="H639" s="1" t="s">
        <v>74</v>
      </c>
      <c r="I639" s="1" t="s">
        <v>6525</v>
      </c>
      <c r="J639" s="1" t="s">
        <v>6526</v>
      </c>
      <c r="K639" s="1" t="s">
        <v>74</v>
      </c>
      <c r="L639" s="1" t="s">
        <v>74</v>
      </c>
      <c r="M639" s="1" t="s">
        <v>74</v>
      </c>
      <c r="N639" s="1" t="s">
        <v>74</v>
      </c>
      <c r="O639" s="1" t="s">
        <v>74</v>
      </c>
      <c r="P639" s="1" t="s">
        <v>74</v>
      </c>
      <c r="Q639" s="1" t="s">
        <v>74</v>
      </c>
      <c r="R639" s="1" t="s">
        <v>74</v>
      </c>
      <c r="S639" s="1" t="s">
        <v>74</v>
      </c>
      <c r="T639" s="1" t="s">
        <v>74</v>
      </c>
      <c r="U639" s="1" t="s">
        <v>74</v>
      </c>
      <c r="V639" s="1" t="s">
        <v>6527</v>
      </c>
      <c r="W639" s="1" t="s">
        <v>74</v>
      </c>
      <c r="X639" s="1" t="s">
        <v>74</v>
      </c>
      <c r="Y639" s="1" t="s">
        <v>74</v>
      </c>
      <c r="Z639" s="1" t="s">
        <v>74</v>
      </c>
      <c r="AA639" s="1" t="s">
        <v>6528</v>
      </c>
      <c r="AB639" s="1" t="s">
        <v>6529</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6530</v>
      </c>
      <c r="AP639" s="1" t="s">
        <v>6531</v>
      </c>
      <c r="AQ639" s="1" t="s">
        <v>74</v>
      </c>
      <c r="AR639" s="1" t="s">
        <v>74</v>
      </c>
      <c r="AS639" s="1" t="s">
        <v>74</v>
      </c>
      <c r="AT639" s="1" t="s">
        <v>1279</v>
      </c>
      <c r="AU639" s="1">
        <v>2019.0</v>
      </c>
      <c r="AV639" s="1">
        <v>101.0</v>
      </c>
      <c r="AW639" s="1" t="s">
        <v>6532</v>
      </c>
      <c r="AX639" s="1" t="s">
        <v>74</v>
      </c>
      <c r="AY639" s="1" t="s">
        <v>74</v>
      </c>
      <c r="AZ639" s="1" t="s">
        <v>74</v>
      </c>
      <c r="BA639" s="1" t="s">
        <v>74</v>
      </c>
      <c r="BB639" s="1">
        <v>2633.0</v>
      </c>
      <c r="BC639" s="1">
        <v>2641.0</v>
      </c>
      <c r="BD639" s="1" t="s">
        <v>74</v>
      </c>
      <c r="BE639" s="1" t="s">
        <v>6533</v>
      </c>
      <c r="BF639" s="2" t="str">
        <f>HYPERLINK("http://dx.doi.org/10.1007/s00170-018-3139-7","http://dx.doi.org/10.1007/s00170-018-3139-7")</f>
        <v>http://dx.doi.org/10.1007/s00170-018-3139-7</v>
      </c>
      <c r="BG639" s="1" t="s">
        <v>74</v>
      </c>
      <c r="BH639" s="1" t="s">
        <v>74</v>
      </c>
      <c r="BI639" s="1" t="s">
        <v>74</v>
      </c>
      <c r="BJ639" s="1" t="s">
        <v>74</v>
      </c>
      <c r="BK639" s="1" t="s">
        <v>74</v>
      </c>
      <c r="BL639" s="1" t="s">
        <v>74</v>
      </c>
      <c r="BM639" s="1" t="s">
        <v>74</v>
      </c>
      <c r="BN639" s="1" t="s">
        <v>74</v>
      </c>
      <c r="BO639" s="1" t="s">
        <v>74</v>
      </c>
      <c r="BP639" s="1" t="s">
        <v>74</v>
      </c>
      <c r="BQ639" s="1" t="s">
        <v>74</v>
      </c>
      <c r="BR639" s="1" t="s">
        <v>74</v>
      </c>
      <c r="BS639" s="1" t="s">
        <v>6534</v>
      </c>
      <c r="BT639" s="1" t="str">
        <f>HYPERLINK("https%3A%2F%2Fwww.webofscience.com%2Fwos%2Fwoscc%2Ffull-record%2FWOS:000463669500034","View Full Record in Web of Science")</f>
        <v>View Full Record in Web of Science</v>
      </c>
    </row>
    <row r="640" ht="12.75" customHeight="1">
      <c r="A640" s="1" t="s">
        <v>72</v>
      </c>
      <c r="B640" s="1" t="s">
        <v>6535</v>
      </c>
      <c r="C640" s="1" t="s">
        <v>74</v>
      </c>
      <c r="D640" s="1" t="s">
        <v>74</v>
      </c>
      <c r="E640" s="1" t="s">
        <v>74</v>
      </c>
      <c r="F640" s="1" t="s">
        <v>6536</v>
      </c>
      <c r="G640" s="1" t="s">
        <v>74</v>
      </c>
      <c r="H640" s="1" t="s">
        <v>74</v>
      </c>
      <c r="I640" s="1" t="s">
        <v>6537</v>
      </c>
      <c r="J640" s="1" t="s">
        <v>5146</v>
      </c>
      <c r="K640" s="1" t="s">
        <v>74</v>
      </c>
      <c r="L640" s="1" t="s">
        <v>74</v>
      </c>
      <c r="M640" s="1" t="s">
        <v>74</v>
      </c>
      <c r="N640" s="1" t="s">
        <v>74</v>
      </c>
      <c r="O640" s="1" t="s">
        <v>74</v>
      </c>
      <c r="P640" s="1" t="s">
        <v>74</v>
      </c>
      <c r="Q640" s="1" t="s">
        <v>74</v>
      </c>
      <c r="R640" s="1" t="s">
        <v>74</v>
      </c>
      <c r="S640" s="1" t="s">
        <v>74</v>
      </c>
      <c r="T640" s="1" t="s">
        <v>74</v>
      </c>
      <c r="U640" s="1" t="s">
        <v>74</v>
      </c>
      <c r="V640" s="1" t="s">
        <v>6538</v>
      </c>
      <c r="W640" s="1" t="s">
        <v>74</v>
      </c>
      <c r="X640" s="1" t="s">
        <v>74</v>
      </c>
      <c r="Y640" s="1" t="s">
        <v>74</v>
      </c>
      <c r="Z640" s="1" t="s">
        <v>74</v>
      </c>
      <c r="AA640" s="1" t="s">
        <v>6539</v>
      </c>
      <c r="AB640" s="1" t="s">
        <v>6540</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5150</v>
      </c>
      <c r="AP640" s="1" t="s">
        <v>74</v>
      </c>
      <c r="AQ640" s="1" t="s">
        <v>74</v>
      </c>
      <c r="AR640" s="1" t="s">
        <v>74</v>
      </c>
      <c r="AS640" s="1" t="s">
        <v>74</v>
      </c>
      <c r="AT640" s="1" t="s">
        <v>6541</v>
      </c>
      <c r="AU640" s="1">
        <v>2018.0</v>
      </c>
      <c r="AV640" s="1">
        <v>9.0</v>
      </c>
      <c r="AW640" s="1" t="s">
        <v>74</v>
      </c>
      <c r="AX640" s="1" t="s">
        <v>74</v>
      </c>
      <c r="AY640" s="1" t="s">
        <v>74</v>
      </c>
      <c r="AZ640" s="1" t="s">
        <v>74</v>
      </c>
      <c r="BA640" s="1" t="s">
        <v>74</v>
      </c>
      <c r="BB640" s="1" t="s">
        <v>74</v>
      </c>
      <c r="BC640" s="1" t="s">
        <v>74</v>
      </c>
      <c r="BD640" s="1">
        <v>3044.0</v>
      </c>
      <c r="BE640" s="1" t="s">
        <v>6542</v>
      </c>
      <c r="BF640" s="2" t="str">
        <f>HYPERLINK("http://dx.doi.org/10.3389/fimmu.2018.03044","http://dx.doi.org/10.3389/fimmu.2018.03044")</f>
        <v>http://dx.doi.org/10.3389/fimmu.2018.03044</v>
      </c>
      <c r="BG640" s="1" t="s">
        <v>74</v>
      </c>
      <c r="BH640" s="1" t="s">
        <v>74</v>
      </c>
      <c r="BI640" s="1" t="s">
        <v>74</v>
      </c>
      <c r="BJ640" s="1" t="s">
        <v>74</v>
      </c>
      <c r="BK640" s="1" t="s">
        <v>74</v>
      </c>
      <c r="BL640" s="1" t="s">
        <v>74</v>
      </c>
      <c r="BM640" s="1" t="s">
        <v>74</v>
      </c>
      <c r="BN640" s="1">
        <v>3.062713E7</v>
      </c>
      <c r="BO640" s="1" t="s">
        <v>74</v>
      </c>
      <c r="BP640" s="1" t="s">
        <v>74</v>
      </c>
      <c r="BQ640" s="1" t="s">
        <v>74</v>
      </c>
      <c r="BR640" s="1" t="s">
        <v>74</v>
      </c>
      <c r="BS640" s="1" t="s">
        <v>6543</v>
      </c>
      <c r="BT640" s="1" t="str">
        <f>HYPERLINK("https%3A%2F%2Fwww.webofscience.com%2Fwos%2Fwoscc%2Ffull-record%2FWOS:000454091400002","View Full Record in Web of Science")</f>
        <v>View Full Record in Web of Science</v>
      </c>
    </row>
    <row r="641" ht="12.75" customHeight="1">
      <c r="A641" s="1" t="s">
        <v>72</v>
      </c>
      <c r="B641" s="1" t="s">
        <v>6544</v>
      </c>
      <c r="C641" s="1" t="s">
        <v>74</v>
      </c>
      <c r="D641" s="1" t="s">
        <v>74</v>
      </c>
      <c r="E641" s="1" t="s">
        <v>74</v>
      </c>
      <c r="F641" s="1" t="s">
        <v>6545</v>
      </c>
      <c r="G641" s="1" t="s">
        <v>74</v>
      </c>
      <c r="H641" s="1" t="s">
        <v>74</v>
      </c>
      <c r="I641" s="1" t="s">
        <v>6546</v>
      </c>
      <c r="J641" s="1" t="s">
        <v>1509</v>
      </c>
      <c r="K641" s="1" t="s">
        <v>74</v>
      </c>
      <c r="L641" s="1" t="s">
        <v>74</v>
      </c>
      <c r="M641" s="1" t="s">
        <v>74</v>
      </c>
      <c r="N641" s="1" t="s">
        <v>74</v>
      </c>
      <c r="O641" s="1" t="s">
        <v>74</v>
      </c>
      <c r="P641" s="1" t="s">
        <v>74</v>
      </c>
      <c r="Q641" s="1" t="s">
        <v>74</v>
      </c>
      <c r="R641" s="1" t="s">
        <v>74</v>
      </c>
      <c r="S641" s="1" t="s">
        <v>74</v>
      </c>
      <c r="T641" s="1" t="s">
        <v>74</v>
      </c>
      <c r="U641" s="1" t="s">
        <v>74</v>
      </c>
      <c r="V641" s="1" t="s">
        <v>6547</v>
      </c>
      <c r="W641" s="1" t="s">
        <v>74</v>
      </c>
      <c r="X641" s="1" t="s">
        <v>74</v>
      </c>
      <c r="Y641" s="1" t="s">
        <v>74</v>
      </c>
      <c r="Z641" s="1" t="s">
        <v>74</v>
      </c>
      <c r="AA641" s="1" t="s">
        <v>6548</v>
      </c>
      <c r="AB641" s="1" t="s">
        <v>6549</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1511</v>
      </c>
      <c r="AP641" s="1" t="s">
        <v>1512</v>
      </c>
      <c r="AQ641" s="1" t="s">
        <v>74</v>
      </c>
      <c r="AR641" s="1" t="s">
        <v>74</v>
      </c>
      <c r="AS641" s="1" t="s">
        <v>74</v>
      </c>
      <c r="AT641" s="1" t="s">
        <v>6550</v>
      </c>
      <c r="AU641" s="1">
        <v>2018.0</v>
      </c>
      <c r="AV641" s="1">
        <v>785.0</v>
      </c>
      <c r="AW641" s="1" t="s">
        <v>74</v>
      </c>
      <c r="AX641" s="1" t="s">
        <v>74</v>
      </c>
      <c r="AY641" s="1" t="s">
        <v>74</v>
      </c>
      <c r="AZ641" s="1" t="s">
        <v>74</v>
      </c>
      <c r="BA641" s="1" t="s">
        <v>74</v>
      </c>
      <c r="BB641" s="1">
        <v>399.0</v>
      </c>
      <c r="BC641" s="1">
        <v>402.0</v>
      </c>
      <c r="BD641" s="1" t="s">
        <v>74</v>
      </c>
      <c r="BE641" s="1" t="s">
        <v>6551</v>
      </c>
      <c r="BF641" s="2" t="str">
        <f>HYPERLINK("http://dx.doi.org/10.1016/j.physletb.2018.08.055","http://dx.doi.org/10.1016/j.physletb.2018.08.055")</f>
        <v>http://dx.doi.org/10.1016/j.physletb.2018.08.055</v>
      </c>
      <c r="BG641" s="1" t="s">
        <v>74</v>
      </c>
      <c r="BH641" s="1" t="s">
        <v>74</v>
      </c>
      <c r="BI641" s="1" t="s">
        <v>74</v>
      </c>
      <c r="BJ641" s="1" t="s">
        <v>74</v>
      </c>
      <c r="BK641" s="1" t="s">
        <v>74</v>
      </c>
      <c r="BL641" s="1" t="s">
        <v>74</v>
      </c>
      <c r="BM641" s="1" t="s">
        <v>74</v>
      </c>
      <c r="BN641" s="1" t="s">
        <v>74</v>
      </c>
      <c r="BO641" s="1" t="s">
        <v>74</v>
      </c>
      <c r="BP641" s="1" t="s">
        <v>74</v>
      </c>
      <c r="BQ641" s="1" t="s">
        <v>74</v>
      </c>
      <c r="BR641" s="1" t="s">
        <v>74</v>
      </c>
      <c r="BS641" s="1" t="s">
        <v>6552</v>
      </c>
      <c r="BT641" s="1" t="str">
        <f>HYPERLINK("https%3A%2F%2Fwww.webofscience.com%2Fwos%2Fwoscc%2Ffull-record%2FWOS:000447424000058","View Full Record in Web of Science")</f>
        <v>View Full Record in Web of Science</v>
      </c>
    </row>
    <row r="642" ht="12.75" customHeight="1">
      <c r="A642" s="1" t="s">
        <v>72</v>
      </c>
      <c r="B642" s="1" t="s">
        <v>6553</v>
      </c>
      <c r="C642" s="1" t="s">
        <v>74</v>
      </c>
      <c r="D642" s="1" t="s">
        <v>74</v>
      </c>
      <c r="E642" s="1" t="s">
        <v>74</v>
      </c>
      <c r="F642" s="1" t="s">
        <v>6554</v>
      </c>
      <c r="G642" s="1" t="s">
        <v>74</v>
      </c>
      <c r="H642" s="1" t="s">
        <v>74</v>
      </c>
      <c r="I642" s="1" t="s">
        <v>6555</v>
      </c>
      <c r="J642" s="1" t="s">
        <v>6556</v>
      </c>
      <c r="K642" s="1" t="s">
        <v>74</v>
      </c>
      <c r="L642" s="1" t="s">
        <v>74</v>
      </c>
      <c r="M642" s="1" t="s">
        <v>74</v>
      </c>
      <c r="N642" s="1" t="s">
        <v>74</v>
      </c>
      <c r="O642" s="1" t="s">
        <v>74</v>
      </c>
      <c r="P642" s="1" t="s">
        <v>74</v>
      </c>
      <c r="Q642" s="1" t="s">
        <v>74</v>
      </c>
      <c r="R642" s="1" t="s">
        <v>74</v>
      </c>
      <c r="S642" s="1" t="s">
        <v>74</v>
      </c>
      <c r="T642" s="1" t="s">
        <v>74</v>
      </c>
      <c r="U642" s="1" t="s">
        <v>74</v>
      </c>
      <c r="V642" s="1" t="s">
        <v>6557</v>
      </c>
      <c r="W642" s="1" t="s">
        <v>74</v>
      </c>
      <c r="X642" s="1" t="s">
        <v>74</v>
      </c>
      <c r="Y642" s="1" t="s">
        <v>74</v>
      </c>
      <c r="Z642" s="1" t="s">
        <v>74</v>
      </c>
      <c r="AA642" s="1" t="s">
        <v>6558</v>
      </c>
      <c r="AB642" s="1" t="s">
        <v>6559</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6560</v>
      </c>
      <c r="AP642" s="1" t="s">
        <v>6561</v>
      </c>
      <c r="AQ642" s="1" t="s">
        <v>74</v>
      </c>
      <c r="AR642" s="1" t="s">
        <v>74</v>
      </c>
      <c r="AS642" s="1" t="s">
        <v>74</v>
      </c>
      <c r="AT642" s="1" t="s">
        <v>74</v>
      </c>
      <c r="AU642" s="1">
        <v>2018.0</v>
      </c>
      <c r="AV642" s="1">
        <v>68.0</v>
      </c>
      <c r="AW642" s="1">
        <v>4.0</v>
      </c>
      <c r="AX642" s="1" t="s">
        <v>74</v>
      </c>
      <c r="AY642" s="1" t="s">
        <v>74</v>
      </c>
      <c r="AZ642" s="1" t="s">
        <v>74</v>
      </c>
      <c r="BA642" s="1" t="s">
        <v>74</v>
      </c>
      <c r="BB642" s="1">
        <v>329.0</v>
      </c>
      <c r="BC642" s="1">
        <v>346.0</v>
      </c>
      <c r="BD642" s="1" t="s">
        <v>74</v>
      </c>
      <c r="BE642" s="1" t="s">
        <v>6562</v>
      </c>
      <c r="BF642" s="2" t="str">
        <f>HYPERLINK("http://dx.doi.org/10.1080/10962247.2017.1386600","http://dx.doi.org/10.1080/10962247.2017.1386600")</f>
        <v>http://dx.doi.org/10.1080/10962247.2017.1386600</v>
      </c>
      <c r="BG642" s="1" t="s">
        <v>74</v>
      </c>
      <c r="BH642" s="1" t="s">
        <v>74</v>
      </c>
      <c r="BI642" s="1" t="s">
        <v>74</v>
      </c>
      <c r="BJ642" s="1" t="s">
        <v>74</v>
      </c>
      <c r="BK642" s="1" t="s">
        <v>74</v>
      </c>
      <c r="BL642" s="1" t="s">
        <v>74</v>
      </c>
      <c r="BM642" s="1" t="s">
        <v>74</v>
      </c>
      <c r="BN642" s="1">
        <v>2.9020572E7</v>
      </c>
      <c r="BO642" s="1" t="s">
        <v>74</v>
      </c>
      <c r="BP642" s="1" t="s">
        <v>74</v>
      </c>
      <c r="BQ642" s="1" t="s">
        <v>74</v>
      </c>
      <c r="BR642" s="1" t="s">
        <v>74</v>
      </c>
      <c r="BS642" s="1" t="s">
        <v>6563</v>
      </c>
      <c r="BT642" s="1" t="str">
        <f>HYPERLINK("https%3A%2F%2Fwww.webofscience.com%2Fwos%2Fwoscc%2Ffull-record%2FWOS:000430486700004","View Full Record in Web of Science")</f>
        <v>View Full Record in Web of Science</v>
      </c>
    </row>
    <row r="643" ht="12.75" customHeight="1">
      <c r="A643" s="1" t="s">
        <v>72</v>
      </c>
      <c r="B643" s="1" t="s">
        <v>6564</v>
      </c>
      <c r="C643" s="1" t="s">
        <v>74</v>
      </c>
      <c r="D643" s="1" t="s">
        <v>74</v>
      </c>
      <c r="E643" s="1" t="s">
        <v>74</v>
      </c>
      <c r="F643" s="1" t="s">
        <v>6565</v>
      </c>
      <c r="G643" s="1" t="s">
        <v>74</v>
      </c>
      <c r="H643" s="1" t="s">
        <v>74</v>
      </c>
      <c r="I643" s="1" t="s">
        <v>6566</v>
      </c>
      <c r="J643" s="1" t="s">
        <v>6567</v>
      </c>
      <c r="K643" s="1" t="s">
        <v>74</v>
      </c>
      <c r="L643" s="1" t="s">
        <v>74</v>
      </c>
      <c r="M643" s="1" t="s">
        <v>74</v>
      </c>
      <c r="N643" s="1" t="s">
        <v>74</v>
      </c>
      <c r="O643" s="1" t="s">
        <v>74</v>
      </c>
      <c r="P643" s="1" t="s">
        <v>74</v>
      </c>
      <c r="Q643" s="1" t="s">
        <v>74</v>
      </c>
      <c r="R643" s="1" t="s">
        <v>74</v>
      </c>
      <c r="S643" s="1" t="s">
        <v>74</v>
      </c>
      <c r="T643" s="1" t="s">
        <v>74</v>
      </c>
      <c r="U643" s="1" t="s">
        <v>74</v>
      </c>
      <c r="V643" s="1" t="s">
        <v>6568</v>
      </c>
      <c r="W643" s="1" t="s">
        <v>74</v>
      </c>
      <c r="X643" s="1" t="s">
        <v>74</v>
      </c>
      <c r="Y643" s="1" t="s">
        <v>74</v>
      </c>
      <c r="Z643" s="1" t="s">
        <v>74</v>
      </c>
      <c r="AA643" s="1" t="s">
        <v>6569</v>
      </c>
      <c r="AB643" s="1" t="s">
        <v>6570</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6571</v>
      </c>
      <c r="AP643" s="1" t="s">
        <v>6572</v>
      </c>
      <c r="AQ643" s="1" t="s">
        <v>74</v>
      </c>
      <c r="AR643" s="1" t="s">
        <v>74</v>
      </c>
      <c r="AS643" s="1" t="s">
        <v>74</v>
      </c>
      <c r="AT643" s="1" t="s">
        <v>82</v>
      </c>
      <c r="AU643" s="1">
        <v>2016.0</v>
      </c>
      <c r="AV643" s="1">
        <v>83.0</v>
      </c>
      <c r="AW643" s="1">
        <v>10.0</v>
      </c>
      <c r="AX643" s="1" t="s">
        <v>74</v>
      </c>
      <c r="AY643" s="1" t="s">
        <v>74</v>
      </c>
      <c r="AZ643" s="1" t="s">
        <v>74</v>
      </c>
      <c r="BA643" s="1" t="s">
        <v>74</v>
      </c>
      <c r="BB643" s="1">
        <v>875.0</v>
      </c>
      <c r="BC643" s="1">
        <v>883.0</v>
      </c>
      <c r="BD643" s="1" t="s">
        <v>74</v>
      </c>
      <c r="BE643" s="1" t="s">
        <v>6573</v>
      </c>
      <c r="BF643" s="2" t="str">
        <f>HYPERLINK("http://dx.doi.org/10.1002/mrd.22674","http://dx.doi.org/10.1002/mrd.22674")</f>
        <v>http://dx.doi.org/10.1002/mrd.22674</v>
      </c>
      <c r="BG643" s="1" t="s">
        <v>74</v>
      </c>
      <c r="BH643" s="1" t="s">
        <v>74</v>
      </c>
      <c r="BI643" s="1" t="s">
        <v>74</v>
      </c>
      <c r="BJ643" s="1" t="s">
        <v>74</v>
      </c>
      <c r="BK643" s="1" t="s">
        <v>74</v>
      </c>
      <c r="BL643" s="1" t="s">
        <v>74</v>
      </c>
      <c r="BM643" s="1" t="s">
        <v>74</v>
      </c>
      <c r="BN643" s="1">
        <v>2.7371809E7</v>
      </c>
      <c r="BO643" s="1" t="s">
        <v>74</v>
      </c>
      <c r="BP643" s="1" t="s">
        <v>74</v>
      </c>
      <c r="BQ643" s="1" t="s">
        <v>74</v>
      </c>
      <c r="BR643" s="1" t="s">
        <v>74</v>
      </c>
      <c r="BS643" s="1" t="s">
        <v>6574</v>
      </c>
      <c r="BT643" s="1" t="str">
        <f>HYPERLINK("https%3A%2F%2Fwww.webofscience.com%2Fwos%2Fwoscc%2Ffull-record%2FWOS:000387015400006","View Full Record in Web of Science")</f>
        <v>View Full Record in Web of Science</v>
      </c>
    </row>
    <row r="644" ht="12.75" customHeight="1">
      <c r="A644" s="1" t="s">
        <v>72</v>
      </c>
      <c r="B644" s="1" t="s">
        <v>6575</v>
      </c>
      <c r="C644" s="1" t="s">
        <v>74</v>
      </c>
      <c r="D644" s="1" t="s">
        <v>74</v>
      </c>
      <c r="E644" s="1" t="s">
        <v>74</v>
      </c>
      <c r="F644" s="1" t="s">
        <v>6576</v>
      </c>
      <c r="G644" s="1" t="s">
        <v>74</v>
      </c>
      <c r="H644" s="1" t="s">
        <v>74</v>
      </c>
      <c r="I644" s="1" t="s">
        <v>6577</v>
      </c>
      <c r="J644" s="1" t="s">
        <v>3127</v>
      </c>
      <c r="K644" s="1" t="s">
        <v>74</v>
      </c>
      <c r="L644" s="1" t="s">
        <v>74</v>
      </c>
      <c r="M644" s="1" t="s">
        <v>74</v>
      </c>
      <c r="N644" s="1" t="s">
        <v>74</v>
      </c>
      <c r="O644" s="1" t="s">
        <v>74</v>
      </c>
      <c r="P644" s="1" t="s">
        <v>74</v>
      </c>
      <c r="Q644" s="1" t="s">
        <v>74</v>
      </c>
      <c r="R644" s="1" t="s">
        <v>74</v>
      </c>
      <c r="S644" s="1" t="s">
        <v>74</v>
      </c>
      <c r="T644" s="1" t="s">
        <v>74</v>
      </c>
      <c r="U644" s="1" t="s">
        <v>74</v>
      </c>
      <c r="V644" s="1" t="s">
        <v>6578</v>
      </c>
      <c r="W644" s="1" t="s">
        <v>74</v>
      </c>
      <c r="X644" s="1" t="s">
        <v>74</v>
      </c>
      <c r="Y644" s="1" t="s">
        <v>74</v>
      </c>
      <c r="Z644" s="1" t="s">
        <v>74</v>
      </c>
      <c r="AA644" s="1" t="s">
        <v>6579</v>
      </c>
      <c r="AB644" s="1" t="s">
        <v>6580</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74</v>
      </c>
      <c r="AP644" s="1" t="s">
        <v>3131</v>
      </c>
      <c r="AQ644" s="1" t="s">
        <v>74</v>
      </c>
      <c r="AR644" s="1" t="s">
        <v>74</v>
      </c>
      <c r="AS644" s="1" t="s">
        <v>74</v>
      </c>
      <c r="AT644" s="1" t="s">
        <v>74</v>
      </c>
      <c r="AU644" s="1">
        <v>2016.0</v>
      </c>
      <c r="AV644" s="1">
        <v>6.0</v>
      </c>
      <c r="AW644" s="1">
        <v>69.0</v>
      </c>
      <c r="AX644" s="1" t="s">
        <v>74</v>
      </c>
      <c r="AY644" s="1" t="s">
        <v>74</v>
      </c>
      <c r="AZ644" s="1" t="s">
        <v>74</v>
      </c>
      <c r="BA644" s="1" t="s">
        <v>74</v>
      </c>
      <c r="BB644" s="1">
        <v>64993.0</v>
      </c>
      <c r="BC644" s="1">
        <v>65011.0</v>
      </c>
      <c r="BD644" s="1" t="s">
        <v>74</v>
      </c>
      <c r="BE644" s="1" t="s">
        <v>6581</v>
      </c>
      <c r="BF644" s="2" t="str">
        <f>HYPERLINK("http://dx.doi.org/10.1039/c6ra07626b","http://dx.doi.org/10.1039/c6ra07626b")</f>
        <v>http://dx.doi.org/10.1039/c6ra07626b</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6582</v>
      </c>
      <c r="BT644" s="1" t="str">
        <f>HYPERLINK("https%3A%2F%2Fwww.webofscience.com%2Fwos%2Fwoscc%2Ffull-record%2FWOS:000379442400093","View Full Record in Web of Science")</f>
        <v>View Full Record in Web of Science</v>
      </c>
    </row>
    <row r="645" ht="12.75" customHeight="1">
      <c r="A645" s="1" t="s">
        <v>72</v>
      </c>
      <c r="B645" s="1" t="s">
        <v>6583</v>
      </c>
      <c r="C645" s="1" t="s">
        <v>74</v>
      </c>
      <c r="D645" s="1" t="s">
        <v>74</v>
      </c>
      <c r="E645" s="1" t="s">
        <v>74</v>
      </c>
      <c r="F645" s="1" t="s">
        <v>6584</v>
      </c>
      <c r="G645" s="1" t="s">
        <v>74</v>
      </c>
      <c r="H645" s="1" t="s">
        <v>74</v>
      </c>
      <c r="I645" s="1" t="s">
        <v>6585</v>
      </c>
      <c r="J645" s="1" t="s">
        <v>2173</v>
      </c>
      <c r="K645" s="1" t="s">
        <v>74</v>
      </c>
      <c r="L645" s="1" t="s">
        <v>74</v>
      </c>
      <c r="M645" s="1" t="s">
        <v>74</v>
      </c>
      <c r="N645" s="1" t="s">
        <v>74</v>
      </c>
      <c r="O645" s="1" t="s">
        <v>74</v>
      </c>
      <c r="P645" s="1" t="s">
        <v>74</v>
      </c>
      <c r="Q645" s="1" t="s">
        <v>74</v>
      </c>
      <c r="R645" s="1" t="s">
        <v>74</v>
      </c>
      <c r="S645" s="1" t="s">
        <v>74</v>
      </c>
      <c r="T645" s="1" t="s">
        <v>74</v>
      </c>
      <c r="U645" s="1" t="s">
        <v>74</v>
      </c>
      <c r="V645" s="1" t="s">
        <v>6586</v>
      </c>
      <c r="W645" s="1" t="s">
        <v>74</v>
      </c>
      <c r="X645" s="1" t="s">
        <v>74</v>
      </c>
      <c r="Y645" s="1" t="s">
        <v>74</v>
      </c>
      <c r="Z645" s="1" t="s">
        <v>74</v>
      </c>
      <c r="AA645" s="1" t="s">
        <v>6587</v>
      </c>
      <c r="AB645" s="1" t="s">
        <v>6588</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2177</v>
      </c>
      <c r="AP645" s="1" t="s">
        <v>2178</v>
      </c>
      <c r="AQ645" s="1" t="s">
        <v>74</v>
      </c>
      <c r="AR645" s="1" t="s">
        <v>74</v>
      </c>
      <c r="AS645" s="1" t="s">
        <v>74</v>
      </c>
      <c r="AT645" s="1" t="s">
        <v>192</v>
      </c>
      <c r="AU645" s="1">
        <v>2015.0</v>
      </c>
      <c r="AV645" s="1">
        <v>745.0</v>
      </c>
      <c r="AW645" s="1" t="s">
        <v>74</v>
      </c>
      <c r="AX645" s="1" t="s">
        <v>74</v>
      </c>
      <c r="AY645" s="1" t="s">
        <v>74</v>
      </c>
      <c r="AZ645" s="1" t="s">
        <v>74</v>
      </c>
      <c r="BA645" s="1" t="s">
        <v>74</v>
      </c>
      <c r="BB645" s="1">
        <v>61.0</v>
      </c>
      <c r="BC645" s="1">
        <v>65.0</v>
      </c>
      <c r="BD645" s="1" t="s">
        <v>74</v>
      </c>
      <c r="BE645" s="1" t="s">
        <v>6589</v>
      </c>
      <c r="BF645" s="2" t="str">
        <f>HYPERLINK("http://dx.doi.org/10.1016/j.jelechem.2015.03.008","http://dx.doi.org/10.1016/j.jelechem.2015.03.008")</f>
        <v>http://dx.doi.org/10.1016/j.jelechem.2015.03.008</v>
      </c>
      <c r="BG645" s="1" t="s">
        <v>74</v>
      </c>
      <c r="BH645" s="1" t="s">
        <v>74</v>
      </c>
      <c r="BI645" s="1" t="s">
        <v>74</v>
      </c>
      <c r="BJ645" s="1" t="s">
        <v>74</v>
      </c>
      <c r="BK645" s="1" t="s">
        <v>74</v>
      </c>
      <c r="BL645" s="1" t="s">
        <v>74</v>
      </c>
      <c r="BM645" s="1" t="s">
        <v>74</v>
      </c>
      <c r="BN645" s="1" t="s">
        <v>74</v>
      </c>
      <c r="BO645" s="1" t="s">
        <v>74</v>
      </c>
      <c r="BP645" s="1" t="s">
        <v>74</v>
      </c>
      <c r="BQ645" s="1" t="s">
        <v>74</v>
      </c>
      <c r="BR645" s="1" t="s">
        <v>74</v>
      </c>
      <c r="BS645" s="1" t="s">
        <v>6590</v>
      </c>
      <c r="BT645" s="1" t="str">
        <f>HYPERLINK("https%3A%2F%2Fwww.webofscience.com%2Fwos%2Fwoscc%2Ffull-record%2FWOS:000353860500009","View Full Record in Web of Science")</f>
        <v>View Full Record in Web of Science</v>
      </c>
    </row>
    <row r="646" ht="12.75" customHeight="1">
      <c r="A646" s="1" t="s">
        <v>207</v>
      </c>
      <c r="B646" s="1" t="s">
        <v>6591</v>
      </c>
      <c r="C646" s="1" t="s">
        <v>74</v>
      </c>
      <c r="D646" s="1" t="s">
        <v>6592</v>
      </c>
      <c r="E646" s="1" t="s">
        <v>74</v>
      </c>
      <c r="F646" s="1" t="s">
        <v>6593</v>
      </c>
      <c r="G646" s="1" t="s">
        <v>74</v>
      </c>
      <c r="H646" s="1" t="s">
        <v>74</v>
      </c>
      <c r="I646" s="1" t="s">
        <v>6594</v>
      </c>
      <c r="J646" s="1" t="s">
        <v>6595</v>
      </c>
      <c r="K646" s="1" t="s">
        <v>74</v>
      </c>
      <c r="L646" s="1" t="s">
        <v>74</v>
      </c>
      <c r="M646" s="1" t="s">
        <v>74</v>
      </c>
      <c r="N646" s="1" t="s">
        <v>74</v>
      </c>
      <c r="O646" s="1" t="s">
        <v>6596</v>
      </c>
      <c r="P646" s="1" t="s">
        <v>6597</v>
      </c>
      <c r="Q646" s="1" t="s">
        <v>6598</v>
      </c>
      <c r="R646" s="1" t="s">
        <v>6599</v>
      </c>
      <c r="S646" s="1" t="s">
        <v>74</v>
      </c>
      <c r="T646" s="1" t="s">
        <v>74</v>
      </c>
      <c r="U646" s="1" t="s">
        <v>74</v>
      </c>
      <c r="V646" s="1" t="s">
        <v>6600</v>
      </c>
      <c r="W646" s="1" t="s">
        <v>74</v>
      </c>
      <c r="X646" s="1" t="s">
        <v>74</v>
      </c>
      <c r="Y646" s="1" t="s">
        <v>74</v>
      </c>
      <c r="Z646" s="1" t="s">
        <v>74</v>
      </c>
      <c r="AA646" s="1" t="s">
        <v>6601</v>
      </c>
      <c r="AB646" s="1" t="s">
        <v>6602</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74</v>
      </c>
      <c r="AP646" s="1" t="s">
        <v>74</v>
      </c>
      <c r="AQ646" s="1" t="s">
        <v>6603</v>
      </c>
      <c r="AR646" s="1" t="s">
        <v>74</v>
      </c>
      <c r="AS646" s="1" t="s">
        <v>74</v>
      </c>
      <c r="AT646" s="1" t="s">
        <v>74</v>
      </c>
      <c r="AU646" s="1">
        <v>2015.0</v>
      </c>
      <c r="AV646" s="1" t="s">
        <v>74</v>
      </c>
      <c r="AW646" s="1" t="s">
        <v>74</v>
      </c>
      <c r="AX646" s="1" t="s">
        <v>74</v>
      </c>
      <c r="AY646" s="1" t="s">
        <v>74</v>
      </c>
      <c r="AZ646" s="1" t="s">
        <v>74</v>
      </c>
      <c r="BA646" s="1" t="s">
        <v>74</v>
      </c>
      <c r="BB646" s="1">
        <v>337.0</v>
      </c>
      <c r="BC646" s="1">
        <v>340.0</v>
      </c>
      <c r="BD646" s="1" t="s">
        <v>74</v>
      </c>
      <c r="BE646" s="1" t="s">
        <v>6604</v>
      </c>
      <c r="BF646" s="2" t="str">
        <f>HYPERLINK("http://dx.doi.org/10.1109/PDP.2015.13","http://dx.doi.org/10.1109/PDP.2015.13")</f>
        <v>http://dx.doi.org/10.1109/PDP.2015.13</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6605</v>
      </c>
      <c r="BT646" s="1" t="str">
        <f>HYPERLINK("https%3A%2F%2Fwww.webofscience.com%2Fwos%2Fwoscc%2Ffull-record%2FWOS:000380471500050","View Full Record in Web of Science")</f>
        <v>View Full Record in Web of Science</v>
      </c>
    </row>
    <row r="647" ht="12.75" customHeight="1">
      <c r="A647" s="1" t="s">
        <v>72</v>
      </c>
      <c r="B647" s="1" t="s">
        <v>6606</v>
      </c>
      <c r="C647" s="1" t="s">
        <v>74</v>
      </c>
      <c r="D647" s="1" t="s">
        <v>74</v>
      </c>
      <c r="E647" s="1" t="s">
        <v>74</v>
      </c>
      <c r="F647" s="1" t="s">
        <v>6607</v>
      </c>
      <c r="G647" s="1" t="s">
        <v>74</v>
      </c>
      <c r="H647" s="1" t="s">
        <v>74</v>
      </c>
      <c r="I647" s="1" t="s">
        <v>6608</v>
      </c>
      <c r="J647" s="1" t="s">
        <v>6609</v>
      </c>
      <c r="K647" s="1" t="s">
        <v>74</v>
      </c>
      <c r="L647" s="1" t="s">
        <v>74</v>
      </c>
      <c r="M647" s="1" t="s">
        <v>74</v>
      </c>
      <c r="N647" s="1" t="s">
        <v>74</v>
      </c>
      <c r="O647" s="1" t="s">
        <v>74</v>
      </c>
      <c r="P647" s="1" t="s">
        <v>74</v>
      </c>
      <c r="Q647" s="1" t="s">
        <v>74</v>
      </c>
      <c r="R647" s="1" t="s">
        <v>74</v>
      </c>
      <c r="S647" s="1" t="s">
        <v>74</v>
      </c>
      <c r="T647" s="1" t="s">
        <v>74</v>
      </c>
      <c r="U647" s="1" t="s">
        <v>74</v>
      </c>
      <c r="V647" s="1" t="s">
        <v>6610</v>
      </c>
      <c r="W647" s="1" t="s">
        <v>74</v>
      </c>
      <c r="X647" s="1" t="s">
        <v>74</v>
      </c>
      <c r="Y647" s="1" t="s">
        <v>74</v>
      </c>
      <c r="Z647" s="1" t="s">
        <v>74</v>
      </c>
      <c r="AA647" s="1" t="s">
        <v>6611</v>
      </c>
      <c r="AB647" s="1" t="s">
        <v>6612</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6613</v>
      </c>
      <c r="AP647" s="1" t="s">
        <v>6614</v>
      </c>
      <c r="AQ647" s="1" t="s">
        <v>74</v>
      </c>
      <c r="AR647" s="1" t="s">
        <v>74</v>
      </c>
      <c r="AS647" s="1" t="s">
        <v>74</v>
      </c>
      <c r="AT647" s="1" t="s">
        <v>3995</v>
      </c>
      <c r="AU647" s="1">
        <v>2014.0</v>
      </c>
      <c r="AV647" s="1">
        <v>282.0</v>
      </c>
      <c r="AW647" s="1" t="s">
        <v>74</v>
      </c>
      <c r="AX647" s="1" t="s">
        <v>74</v>
      </c>
      <c r="AY647" s="1" t="s">
        <v>74</v>
      </c>
      <c r="AZ647" s="1" t="s">
        <v>74</v>
      </c>
      <c r="BA647" s="1" t="s">
        <v>74</v>
      </c>
      <c r="BB647" s="1">
        <v>134.0</v>
      </c>
      <c r="BC647" s="1">
        <v>147.0</v>
      </c>
      <c r="BD647" s="1" t="s">
        <v>74</v>
      </c>
      <c r="BE647" s="1" t="s">
        <v>6615</v>
      </c>
      <c r="BF647" s="2" t="str">
        <f>HYPERLINK("http://dx.doi.org/10.1016/j.jvolgeores.2014.06.004","http://dx.doi.org/10.1016/j.jvolgeores.2014.06.004")</f>
        <v>http://dx.doi.org/10.1016/j.jvolgeores.2014.06.004</v>
      </c>
      <c r="BG647" s="1" t="s">
        <v>74</v>
      </c>
      <c r="BH647" s="1" t="s">
        <v>74</v>
      </c>
      <c r="BI647" s="1" t="s">
        <v>74</v>
      </c>
      <c r="BJ647" s="1" t="s">
        <v>74</v>
      </c>
      <c r="BK647" s="1" t="s">
        <v>74</v>
      </c>
      <c r="BL647" s="1" t="s">
        <v>74</v>
      </c>
      <c r="BM647" s="1" t="s">
        <v>74</v>
      </c>
      <c r="BN647" s="1" t="s">
        <v>74</v>
      </c>
      <c r="BO647" s="1" t="s">
        <v>74</v>
      </c>
      <c r="BP647" s="1" t="s">
        <v>74</v>
      </c>
      <c r="BQ647" s="1" t="s">
        <v>74</v>
      </c>
      <c r="BR647" s="1" t="s">
        <v>74</v>
      </c>
      <c r="BS647" s="1" t="s">
        <v>6616</v>
      </c>
      <c r="BT647" s="1" t="str">
        <f>HYPERLINK("https%3A%2F%2Fwww.webofscience.com%2Fwos%2Fwoscc%2Ffull-record%2FWOS:000340309400011","View Full Record in Web of Science")</f>
        <v>View Full Record in Web of Science</v>
      </c>
    </row>
    <row r="648" ht="12.75" customHeight="1">
      <c r="A648" s="1" t="s">
        <v>72</v>
      </c>
      <c r="B648" s="1" t="s">
        <v>6617</v>
      </c>
      <c r="C648" s="1" t="s">
        <v>74</v>
      </c>
      <c r="D648" s="1" t="s">
        <v>74</v>
      </c>
      <c r="E648" s="1" t="s">
        <v>74</v>
      </c>
      <c r="F648" s="1" t="s">
        <v>6618</v>
      </c>
      <c r="G648" s="1" t="s">
        <v>74</v>
      </c>
      <c r="H648" s="1" t="s">
        <v>74</v>
      </c>
      <c r="I648" s="1" t="s">
        <v>6619</v>
      </c>
      <c r="J648" s="1" t="s">
        <v>6620</v>
      </c>
      <c r="K648" s="1" t="s">
        <v>74</v>
      </c>
      <c r="L648" s="1" t="s">
        <v>74</v>
      </c>
      <c r="M648" s="1" t="s">
        <v>74</v>
      </c>
      <c r="N648" s="1" t="s">
        <v>74</v>
      </c>
      <c r="O648" s="1" t="s">
        <v>74</v>
      </c>
      <c r="P648" s="1" t="s">
        <v>74</v>
      </c>
      <c r="Q648" s="1" t="s">
        <v>74</v>
      </c>
      <c r="R648" s="1" t="s">
        <v>74</v>
      </c>
      <c r="S648" s="1" t="s">
        <v>74</v>
      </c>
      <c r="T648" s="1" t="s">
        <v>74</v>
      </c>
      <c r="U648" s="1" t="s">
        <v>74</v>
      </c>
      <c r="V648" s="1" t="s">
        <v>6621</v>
      </c>
      <c r="W648" s="1" t="s">
        <v>74</v>
      </c>
      <c r="X648" s="1" t="s">
        <v>74</v>
      </c>
      <c r="Y648" s="1" t="s">
        <v>74</v>
      </c>
      <c r="Z648" s="1" t="s">
        <v>74</v>
      </c>
      <c r="AA648" s="1" t="s">
        <v>6622</v>
      </c>
      <c r="AB648" s="1" t="s">
        <v>6623</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6624</v>
      </c>
      <c r="AP648" s="1" t="s">
        <v>6625</v>
      </c>
      <c r="AQ648" s="1" t="s">
        <v>74</v>
      </c>
      <c r="AR648" s="1" t="s">
        <v>74</v>
      </c>
      <c r="AS648" s="1" t="s">
        <v>74</v>
      </c>
      <c r="AT648" s="1" t="s">
        <v>6626</v>
      </c>
      <c r="AU648" s="1">
        <v>2013.0</v>
      </c>
      <c r="AV648" s="1">
        <v>7.0</v>
      </c>
      <c r="AW648" s="1">
        <v>1.0</v>
      </c>
      <c r="AX648" s="1" t="s">
        <v>74</v>
      </c>
      <c r="AY648" s="1" t="s">
        <v>74</v>
      </c>
      <c r="AZ648" s="1" t="s">
        <v>74</v>
      </c>
      <c r="BA648" s="1" t="s">
        <v>74</v>
      </c>
      <c r="BB648" s="1">
        <v>17.0</v>
      </c>
      <c r="BC648" s="1">
        <v>26.0</v>
      </c>
      <c r="BD648" s="1" t="s">
        <v>74</v>
      </c>
      <c r="BE648" s="1" t="s">
        <v>74</v>
      </c>
      <c r="BF648" s="1" t="s">
        <v>74</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6627</v>
      </c>
      <c r="BT648" s="1" t="str">
        <f>HYPERLINK("https%3A%2F%2Fwww.webofscience.com%2Fwos%2Fwoscc%2Ffull-record%2FWOS:000313133700003","View Full Record in Web of Science")</f>
        <v>View Full Record in Web of Science</v>
      </c>
    </row>
    <row r="649" ht="12.75" customHeight="1">
      <c r="A649" s="1" t="s">
        <v>72</v>
      </c>
      <c r="B649" s="1" t="s">
        <v>6628</v>
      </c>
      <c r="C649" s="1" t="s">
        <v>74</v>
      </c>
      <c r="D649" s="1" t="s">
        <v>74</v>
      </c>
      <c r="E649" s="1" t="s">
        <v>74</v>
      </c>
      <c r="F649" s="1" t="s">
        <v>6629</v>
      </c>
      <c r="G649" s="1" t="s">
        <v>74</v>
      </c>
      <c r="H649" s="1" t="s">
        <v>74</v>
      </c>
      <c r="I649" s="1" t="s">
        <v>6630</v>
      </c>
      <c r="J649" s="1" t="s">
        <v>6631</v>
      </c>
      <c r="K649" s="1" t="s">
        <v>74</v>
      </c>
      <c r="L649" s="1" t="s">
        <v>74</v>
      </c>
      <c r="M649" s="1" t="s">
        <v>74</v>
      </c>
      <c r="N649" s="1" t="s">
        <v>74</v>
      </c>
      <c r="O649" s="1" t="s">
        <v>74</v>
      </c>
      <c r="P649" s="1" t="s">
        <v>74</v>
      </c>
      <c r="Q649" s="1" t="s">
        <v>74</v>
      </c>
      <c r="R649" s="1" t="s">
        <v>74</v>
      </c>
      <c r="S649" s="1" t="s">
        <v>74</v>
      </c>
      <c r="T649" s="1" t="s">
        <v>74</v>
      </c>
      <c r="U649" s="1" t="s">
        <v>74</v>
      </c>
      <c r="V649" s="1" t="s">
        <v>6632</v>
      </c>
      <c r="W649" s="1" t="s">
        <v>74</v>
      </c>
      <c r="X649" s="1" t="s">
        <v>74</v>
      </c>
      <c r="Y649" s="1" t="s">
        <v>74</v>
      </c>
      <c r="Z649" s="1" t="s">
        <v>74</v>
      </c>
      <c r="AA649" s="1" t="s">
        <v>74</v>
      </c>
      <c r="AB649" s="1" t="s">
        <v>6633</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6634</v>
      </c>
      <c r="AP649" s="1" t="s">
        <v>6635</v>
      </c>
      <c r="AQ649" s="1" t="s">
        <v>74</v>
      </c>
      <c r="AR649" s="1" t="s">
        <v>74</v>
      </c>
      <c r="AS649" s="1" t="s">
        <v>74</v>
      </c>
      <c r="AT649" s="1" t="s">
        <v>2208</v>
      </c>
      <c r="AU649" s="1">
        <v>2011.0</v>
      </c>
      <c r="AV649" s="1">
        <v>47.0</v>
      </c>
      <c r="AW649" s="1">
        <v>1.0</v>
      </c>
      <c r="AX649" s="1" t="s">
        <v>74</v>
      </c>
      <c r="AY649" s="1" t="s">
        <v>74</v>
      </c>
      <c r="AZ649" s="1" t="s">
        <v>74</v>
      </c>
      <c r="BA649" s="1" t="s">
        <v>74</v>
      </c>
      <c r="BB649" s="1">
        <v>5.0</v>
      </c>
      <c r="BC649" s="1">
        <v>14.0</v>
      </c>
      <c r="BD649" s="1" t="s">
        <v>74</v>
      </c>
      <c r="BE649" s="1" t="s">
        <v>6636</v>
      </c>
      <c r="BF649" s="2" t="str">
        <f>HYPERLINK("http://dx.doi.org/10.3989/revmetalmadrid.0914","http://dx.doi.org/10.3989/revmetalmadrid.0914")</f>
        <v>http://dx.doi.org/10.3989/revmetalmadrid.0914</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6637</v>
      </c>
      <c r="BT649" s="1" t="str">
        <f>HYPERLINK("https%3A%2F%2Fwww.webofscience.com%2Fwos%2Fwoscc%2Ffull-record%2FWOS:000290647100001","View Full Record in Web of Science")</f>
        <v>View Full Record in Web of Science</v>
      </c>
    </row>
    <row r="650" ht="12.75" customHeight="1">
      <c r="A650" s="1" t="s">
        <v>72</v>
      </c>
      <c r="B650" s="1" t="s">
        <v>6638</v>
      </c>
      <c r="C650" s="1" t="s">
        <v>74</v>
      </c>
      <c r="D650" s="1" t="s">
        <v>74</v>
      </c>
      <c r="E650" s="1" t="s">
        <v>74</v>
      </c>
      <c r="F650" s="1" t="s">
        <v>6639</v>
      </c>
      <c r="G650" s="1" t="s">
        <v>74</v>
      </c>
      <c r="H650" s="1" t="s">
        <v>74</v>
      </c>
      <c r="I650" s="1" t="s">
        <v>6640</v>
      </c>
      <c r="J650" s="1" t="s">
        <v>6641</v>
      </c>
      <c r="K650" s="1" t="s">
        <v>74</v>
      </c>
      <c r="L650" s="1" t="s">
        <v>74</v>
      </c>
      <c r="M650" s="1" t="s">
        <v>74</v>
      </c>
      <c r="N650" s="1" t="s">
        <v>74</v>
      </c>
      <c r="O650" s="1" t="s">
        <v>74</v>
      </c>
      <c r="P650" s="1" t="s">
        <v>74</v>
      </c>
      <c r="Q650" s="1" t="s">
        <v>74</v>
      </c>
      <c r="R650" s="1" t="s">
        <v>74</v>
      </c>
      <c r="S650" s="1" t="s">
        <v>74</v>
      </c>
      <c r="T650" s="1" t="s">
        <v>74</v>
      </c>
      <c r="U650" s="1" t="s">
        <v>74</v>
      </c>
      <c r="V650" s="1" t="s">
        <v>6642</v>
      </c>
      <c r="W650" s="1" t="s">
        <v>74</v>
      </c>
      <c r="X650" s="1" t="s">
        <v>74</v>
      </c>
      <c r="Y650" s="1" t="s">
        <v>74</v>
      </c>
      <c r="Z650" s="1" t="s">
        <v>74</v>
      </c>
      <c r="AA650" s="1" t="s">
        <v>6643</v>
      </c>
      <c r="AB650" s="1" t="s">
        <v>6644</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6645</v>
      </c>
      <c r="AP650" s="1" t="s">
        <v>74</v>
      </c>
      <c r="AQ650" s="1" t="s">
        <v>74</v>
      </c>
      <c r="AR650" s="1" t="s">
        <v>74</v>
      </c>
      <c r="AS650" s="1" t="s">
        <v>74</v>
      </c>
      <c r="AT650" s="1" t="s">
        <v>6646</v>
      </c>
      <c r="AU650" s="1">
        <v>2010.0</v>
      </c>
      <c r="AV650" s="1">
        <v>82.0</v>
      </c>
      <c r="AW650" s="1" t="s">
        <v>978</v>
      </c>
      <c r="AX650" s="1" t="s">
        <v>74</v>
      </c>
      <c r="AY650" s="1" t="s">
        <v>74</v>
      </c>
      <c r="AZ650" s="1" t="s">
        <v>74</v>
      </c>
      <c r="BA650" s="1" t="s">
        <v>74</v>
      </c>
      <c r="BB650" s="1">
        <v>284.0</v>
      </c>
      <c r="BC650" s="1">
        <v>288.0</v>
      </c>
      <c r="BD650" s="1" t="s">
        <v>74</v>
      </c>
      <c r="BE650" s="1" t="s">
        <v>6647</v>
      </c>
      <c r="BF650" s="2" t="str">
        <f>HYPERLINK("http://dx.doi.org/10.1016/j.brainresbull.2010.05.010","http://dx.doi.org/10.1016/j.brainresbull.2010.05.010")</f>
        <v>http://dx.doi.org/10.1016/j.brainresbull.2010.05.010</v>
      </c>
      <c r="BG650" s="1" t="s">
        <v>74</v>
      </c>
      <c r="BH650" s="1" t="s">
        <v>74</v>
      </c>
      <c r="BI650" s="1" t="s">
        <v>74</v>
      </c>
      <c r="BJ650" s="1" t="s">
        <v>74</v>
      </c>
      <c r="BK650" s="1" t="s">
        <v>74</v>
      </c>
      <c r="BL650" s="1" t="s">
        <v>74</v>
      </c>
      <c r="BM650" s="1" t="s">
        <v>74</v>
      </c>
      <c r="BN650" s="1">
        <v>2.0510341E7</v>
      </c>
      <c r="BO650" s="1" t="s">
        <v>74</v>
      </c>
      <c r="BP650" s="1" t="s">
        <v>74</v>
      </c>
      <c r="BQ650" s="1" t="s">
        <v>74</v>
      </c>
      <c r="BR650" s="1" t="s">
        <v>74</v>
      </c>
      <c r="BS650" s="1" t="s">
        <v>6648</v>
      </c>
      <c r="BT650" s="1" t="str">
        <f>HYPERLINK("https%3A%2F%2Fwww.webofscience.com%2Fwos%2Fwoscc%2Ffull-record%2FWOS:000281329500009","View Full Record in Web of Science")</f>
        <v>View Full Record in Web of Science</v>
      </c>
    </row>
    <row r="651" ht="12.75" customHeight="1">
      <c r="A651" s="1" t="s">
        <v>72</v>
      </c>
      <c r="B651" s="1" t="s">
        <v>6649</v>
      </c>
      <c r="C651" s="1" t="s">
        <v>74</v>
      </c>
      <c r="D651" s="1" t="s">
        <v>74</v>
      </c>
      <c r="E651" s="1" t="s">
        <v>74</v>
      </c>
      <c r="F651" s="1" t="s">
        <v>6650</v>
      </c>
      <c r="G651" s="1" t="s">
        <v>74</v>
      </c>
      <c r="H651" s="1" t="s">
        <v>74</v>
      </c>
      <c r="I651" s="1" t="s">
        <v>6651</v>
      </c>
      <c r="J651" s="1" t="s">
        <v>6652</v>
      </c>
      <c r="K651" s="1" t="s">
        <v>74</v>
      </c>
      <c r="L651" s="1" t="s">
        <v>74</v>
      </c>
      <c r="M651" s="1" t="s">
        <v>74</v>
      </c>
      <c r="N651" s="1" t="s">
        <v>74</v>
      </c>
      <c r="O651" s="1" t="s">
        <v>74</v>
      </c>
      <c r="P651" s="1" t="s">
        <v>74</v>
      </c>
      <c r="Q651" s="1" t="s">
        <v>74</v>
      </c>
      <c r="R651" s="1" t="s">
        <v>74</v>
      </c>
      <c r="S651" s="1" t="s">
        <v>74</v>
      </c>
      <c r="T651" s="1" t="s">
        <v>74</v>
      </c>
      <c r="U651" s="1" t="s">
        <v>74</v>
      </c>
      <c r="V651" s="1" t="s">
        <v>6653</v>
      </c>
      <c r="W651" s="1" t="s">
        <v>74</v>
      </c>
      <c r="X651" s="1" t="s">
        <v>74</v>
      </c>
      <c r="Y651" s="1" t="s">
        <v>74</v>
      </c>
      <c r="Z651" s="1" t="s">
        <v>74</v>
      </c>
      <c r="AA651" s="1" t="s">
        <v>6654</v>
      </c>
      <c r="AB651" s="1" t="s">
        <v>6655</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6656</v>
      </c>
      <c r="AP651" s="1" t="s">
        <v>6657</v>
      </c>
      <c r="AQ651" s="1" t="s">
        <v>74</v>
      </c>
      <c r="AR651" s="1" t="s">
        <v>74</v>
      </c>
      <c r="AS651" s="1" t="s">
        <v>74</v>
      </c>
      <c r="AT651" s="1" t="s">
        <v>6658</v>
      </c>
      <c r="AU651" s="1">
        <v>2009.0</v>
      </c>
      <c r="AV651" s="1">
        <v>19.0</v>
      </c>
      <c r="AW651" s="1">
        <v>22.0</v>
      </c>
      <c r="AX651" s="1" t="s">
        <v>74</v>
      </c>
      <c r="AY651" s="1" t="s">
        <v>74</v>
      </c>
      <c r="AZ651" s="1" t="s">
        <v>74</v>
      </c>
      <c r="BA651" s="1" t="s">
        <v>74</v>
      </c>
      <c r="BB651" s="1">
        <v>6382.0</v>
      </c>
      <c r="BC651" s="1">
        <v>6385.0</v>
      </c>
      <c r="BD651" s="1" t="s">
        <v>74</v>
      </c>
      <c r="BE651" s="1" t="s">
        <v>6659</v>
      </c>
      <c r="BF651" s="2" t="str">
        <f>HYPERLINK("http://dx.doi.org/10.1016/j.bmcl.2009.09.070","http://dx.doi.org/10.1016/j.bmcl.2009.09.070")</f>
        <v>http://dx.doi.org/10.1016/j.bmcl.2009.09.070</v>
      </c>
      <c r="BG651" s="1" t="s">
        <v>74</v>
      </c>
      <c r="BH651" s="1" t="s">
        <v>74</v>
      </c>
      <c r="BI651" s="1" t="s">
        <v>74</v>
      </c>
      <c r="BJ651" s="1" t="s">
        <v>74</v>
      </c>
      <c r="BK651" s="1" t="s">
        <v>74</v>
      </c>
      <c r="BL651" s="1" t="s">
        <v>74</v>
      </c>
      <c r="BM651" s="1" t="s">
        <v>74</v>
      </c>
      <c r="BN651" s="1">
        <v>1.9804973E7</v>
      </c>
      <c r="BO651" s="1" t="s">
        <v>74</v>
      </c>
      <c r="BP651" s="1" t="s">
        <v>74</v>
      </c>
      <c r="BQ651" s="1" t="s">
        <v>74</v>
      </c>
      <c r="BR651" s="1" t="s">
        <v>74</v>
      </c>
      <c r="BS651" s="1" t="s">
        <v>6660</v>
      </c>
      <c r="BT651" s="1" t="str">
        <f>HYPERLINK("https%3A%2F%2Fwww.webofscience.com%2Fwos%2Fwoscc%2Ffull-record%2FWOS:000271029600028","View Full Record in Web of Science")</f>
        <v>View Full Record in Web of Science</v>
      </c>
    </row>
    <row r="652" ht="12.75" customHeight="1">
      <c r="A652" s="1" t="s">
        <v>72</v>
      </c>
      <c r="B652" s="1" t="s">
        <v>6661</v>
      </c>
      <c r="C652" s="1" t="s">
        <v>74</v>
      </c>
      <c r="D652" s="1" t="s">
        <v>74</v>
      </c>
      <c r="E652" s="1" t="s">
        <v>74</v>
      </c>
      <c r="F652" s="1" t="s">
        <v>6662</v>
      </c>
      <c r="G652" s="1" t="s">
        <v>74</v>
      </c>
      <c r="H652" s="1" t="s">
        <v>74</v>
      </c>
      <c r="I652" s="1" t="s">
        <v>6663</v>
      </c>
      <c r="J652" s="1" t="s">
        <v>1577</v>
      </c>
      <c r="K652" s="1" t="s">
        <v>74</v>
      </c>
      <c r="L652" s="1" t="s">
        <v>74</v>
      </c>
      <c r="M652" s="1" t="s">
        <v>74</v>
      </c>
      <c r="N652" s="1" t="s">
        <v>74</v>
      </c>
      <c r="O652" s="1" t="s">
        <v>74</v>
      </c>
      <c r="P652" s="1" t="s">
        <v>74</v>
      </c>
      <c r="Q652" s="1" t="s">
        <v>74</v>
      </c>
      <c r="R652" s="1" t="s">
        <v>74</v>
      </c>
      <c r="S652" s="1" t="s">
        <v>74</v>
      </c>
      <c r="T652" s="1" t="s">
        <v>74</v>
      </c>
      <c r="U652" s="1" t="s">
        <v>74</v>
      </c>
      <c r="V652" s="1" t="s">
        <v>6664</v>
      </c>
      <c r="W652" s="1" t="s">
        <v>74</v>
      </c>
      <c r="X652" s="1" t="s">
        <v>74</v>
      </c>
      <c r="Y652" s="1" t="s">
        <v>74</v>
      </c>
      <c r="Z652" s="1" t="s">
        <v>74</v>
      </c>
      <c r="AA652" s="1" t="s">
        <v>6665</v>
      </c>
      <c r="AB652" s="1" t="s">
        <v>6666</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1581</v>
      </c>
      <c r="AP652" s="1" t="s">
        <v>74</v>
      </c>
      <c r="AQ652" s="1" t="s">
        <v>74</v>
      </c>
      <c r="AR652" s="1" t="s">
        <v>74</v>
      </c>
      <c r="AS652" s="1" t="s">
        <v>74</v>
      </c>
      <c r="AT652" s="1" t="s">
        <v>408</v>
      </c>
      <c r="AU652" s="1">
        <v>2008.0</v>
      </c>
      <c r="AV652" s="1">
        <v>53.0</v>
      </c>
      <c r="AW652" s="1">
        <v>1.0</v>
      </c>
      <c r="AX652" s="1" t="s">
        <v>74</v>
      </c>
      <c r="AY652" s="1" t="s">
        <v>74</v>
      </c>
      <c r="AZ652" s="1" t="s">
        <v>74</v>
      </c>
      <c r="BA652" s="1" t="s">
        <v>74</v>
      </c>
      <c r="BB652" s="1">
        <v>1404.0</v>
      </c>
      <c r="BC652" s="1">
        <v>1410.0</v>
      </c>
      <c r="BD652" s="1" t="s">
        <v>74</v>
      </c>
      <c r="BE652" s="1" t="s">
        <v>74</v>
      </c>
      <c r="BF652" s="1" t="s">
        <v>74</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6667</v>
      </c>
      <c r="BT652" s="1" t="str">
        <f>HYPERLINK("https%3A%2F%2Fwww.webofscience.com%2Fwos%2Fwoscc%2Ffull-record%2FWOS:000254056500017","View Full Record in Web of Science")</f>
        <v>View Full Record in Web of Science</v>
      </c>
    </row>
    <row r="653" ht="12.75" customHeight="1">
      <c r="A653" s="1" t="s">
        <v>72</v>
      </c>
      <c r="B653" s="1" t="s">
        <v>6668</v>
      </c>
      <c r="C653" s="1" t="s">
        <v>74</v>
      </c>
      <c r="D653" s="1" t="s">
        <v>74</v>
      </c>
      <c r="E653" s="1" t="s">
        <v>74</v>
      </c>
      <c r="F653" s="1" t="s">
        <v>6668</v>
      </c>
      <c r="G653" s="1" t="s">
        <v>74</v>
      </c>
      <c r="H653" s="1" t="s">
        <v>74</v>
      </c>
      <c r="I653" s="1" t="s">
        <v>6669</v>
      </c>
      <c r="J653" s="1" t="s">
        <v>6670</v>
      </c>
      <c r="K653" s="1" t="s">
        <v>74</v>
      </c>
      <c r="L653" s="1" t="s">
        <v>74</v>
      </c>
      <c r="M653" s="1" t="s">
        <v>74</v>
      </c>
      <c r="N653" s="1" t="s">
        <v>74</v>
      </c>
      <c r="O653" s="1" t="s">
        <v>74</v>
      </c>
      <c r="P653" s="1" t="s">
        <v>74</v>
      </c>
      <c r="Q653" s="1" t="s">
        <v>74</v>
      </c>
      <c r="R653" s="1" t="s">
        <v>74</v>
      </c>
      <c r="S653" s="1" t="s">
        <v>74</v>
      </c>
      <c r="T653" s="1" t="s">
        <v>74</v>
      </c>
      <c r="U653" s="1" t="s">
        <v>74</v>
      </c>
      <c r="V653" s="1" t="s">
        <v>6671</v>
      </c>
      <c r="W653" s="1" t="s">
        <v>74</v>
      </c>
      <c r="X653" s="1" t="s">
        <v>74</v>
      </c>
      <c r="Y653" s="1" t="s">
        <v>74</v>
      </c>
      <c r="Z653" s="1" t="s">
        <v>74</v>
      </c>
      <c r="AA653" s="1" t="s">
        <v>6672</v>
      </c>
      <c r="AB653" s="1" t="s">
        <v>6673</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6674</v>
      </c>
      <c r="AP653" s="1" t="s">
        <v>6675</v>
      </c>
      <c r="AQ653" s="1" t="s">
        <v>74</v>
      </c>
      <c r="AR653" s="1" t="s">
        <v>74</v>
      </c>
      <c r="AS653" s="1" t="s">
        <v>74</v>
      </c>
      <c r="AT653" s="1" t="s">
        <v>374</v>
      </c>
      <c r="AU653" s="1">
        <v>2005.0</v>
      </c>
      <c r="AV653" s="1">
        <v>43.0</v>
      </c>
      <c r="AW653" s="1">
        <v>11.0</v>
      </c>
      <c r="AX653" s="1" t="s">
        <v>74</v>
      </c>
      <c r="AY653" s="1" t="s">
        <v>74</v>
      </c>
      <c r="AZ653" s="1" t="s">
        <v>74</v>
      </c>
      <c r="BA653" s="1" t="s">
        <v>74</v>
      </c>
      <c r="BB653" s="1">
        <v>1647.0</v>
      </c>
      <c r="BC653" s="1">
        <v>1655.0</v>
      </c>
      <c r="BD653" s="1" t="s">
        <v>74</v>
      </c>
      <c r="BE653" s="1" t="s">
        <v>6676</v>
      </c>
      <c r="BF653" s="2" t="str">
        <f>HYPERLINK("http://dx.doi.org/10.1016/j.fct.2005.05.006","http://dx.doi.org/10.1016/j.fct.2005.05.006")</f>
        <v>http://dx.doi.org/10.1016/j.fct.2005.05.006</v>
      </c>
      <c r="BG653" s="1" t="s">
        <v>74</v>
      </c>
      <c r="BH653" s="1" t="s">
        <v>74</v>
      </c>
      <c r="BI653" s="1" t="s">
        <v>74</v>
      </c>
      <c r="BJ653" s="1" t="s">
        <v>74</v>
      </c>
      <c r="BK653" s="1" t="s">
        <v>74</v>
      </c>
      <c r="BL653" s="1" t="s">
        <v>74</v>
      </c>
      <c r="BM653" s="1" t="s">
        <v>74</v>
      </c>
      <c r="BN653" s="1">
        <v>1.5975702E7</v>
      </c>
      <c r="BO653" s="1" t="s">
        <v>74</v>
      </c>
      <c r="BP653" s="1" t="s">
        <v>74</v>
      </c>
      <c r="BQ653" s="1" t="s">
        <v>74</v>
      </c>
      <c r="BR653" s="1" t="s">
        <v>74</v>
      </c>
      <c r="BS653" s="1" t="s">
        <v>6677</v>
      </c>
      <c r="BT653" s="1" t="str">
        <f>HYPERLINK("https%3A%2F%2Fwww.webofscience.com%2Fwos%2Fwoscc%2Ffull-record%2FWOS:000232388300007","View Full Record in Web of Science")</f>
        <v>View Full Record in Web of Science</v>
      </c>
    </row>
    <row r="654" ht="12.75" customHeight="1">
      <c r="A654" s="1" t="s">
        <v>72</v>
      </c>
      <c r="B654" s="1" t="s">
        <v>6678</v>
      </c>
      <c r="C654" s="1" t="s">
        <v>74</v>
      </c>
      <c r="D654" s="1" t="s">
        <v>74</v>
      </c>
      <c r="E654" s="1" t="s">
        <v>74</v>
      </c>
      <c r="F654" s="1" t="s">
        <v>6678</v>
      </c>
      <c r="G654" s="1" t="s">
        <v>74</v>
      </c>
      <c r="H654" s="1" t="s">
        <v>74</v>
      </c>
      <c r="I654" s="1" t="s">
        <v>6679</v>
      </c>
      <c r="J654" s="1" t="s">
        <v>3962</v>
      </c>
      <c r="K654" s="1" t="s">
        <v>74</v>
      </c>
      <c r="L654" s="1" t="s">
        <v>74</v>
      </c>
      <c r="M654" s="1" t="s">
        <v>74</v>
      </c>
      <c r="N654" s="1" t="s">
        <v>74</v>
      </c>
      <c r="O654" s="1" t="s">
        <v>74</v>
      </c>
      <c r="P654" s="1" t="s">
        <v>74</v>
      </c>
      <c r="Q654" s="1" t="s">
        <v>74</v>
      </c>
      <c r="R654" s="1" t="s">
        <v>74</v>
      </c>
      <c r="S654" s="1" t="s">
        <v>74</v>
      </c>
      <c r="T654" s="1" t="s">
        <v>74</v>
      </c>
      <c r="U654" s="1" t="s">
        <v>74</v>
      </c>
      <c r="V654" s="1" t="s">
        <v>6680</v>
      </c>
      <c r="W654" s="1" t="s">
        <v>74</v>
      </c>
      <c r="X654" s="1" t="s">
        <v>74</v>
      </c>
      <c r="Y654" s="1" t="s">
        <v>74</v>
      </c>
      <c r="Z654" s="1" t="s">
        <v>74</v>
      </c>
      <c r="AA654" s="1" t="s">
        <v>6681</v>
      </c>
      <c r="AB654" s="1" t="s">
        <v>6682</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3964</v>
      </c>
      <c r="AP654" s="1" t="s">
        <v>3965</v>
      </c>
      <c r="AQ654" s="1" t="s">
        <v>74</v>
      </c>
      <c r="AR654" s="1" t="s">
        <v>74</v>
      </c>
      <c r="AS654" s="1" t="s">
        <v>74</v>
      </c>
      <c r="AT654" s="1" t="s">
        <v>1106</v>
      </c>
      <c r="AU654" s="1">
        <v>2005.0</v>
      </c>
      <c r="AV654" s="1">
        <v>39.0</v>
      </c>
      <c r="AW654" s="1">
        <v>1.0</v>
      </c>
      <c r="AX654" s="1" t="s">
        <v>74</v>
      </c>
      <c r="AY654" s="1" t="s">
        <v>74</v>
      </c>
      <c r="AZ654" s="1" t="s">
        <v>74</v>
      </c>
      <c r="BA654" s="1" t="s">
        <v>74</v>
      </c>
      <c r="BB654" s="1">
        <v>71.0</v>
      </c>
      <c r="BC654" s="1">
        <v>79.0</v>
      </c>
      <c r="BD654" s="1" t="s">
        <v>74</v>
      </c>
      <c r="BE654" s="1" t="s">
        <v>6683</v>
      </c>
      <c r="BF654" s="2" t="str">
        <f>HYPERLINK("http://dx.doi.org/10.1080/10715760400022350","http://dx.doi.org/10.1080/10715760400022350")</f>
        <v>http://dx.doi.org/10.1080/10715760400022350</v>
      </c>
      <c r="BG654" s="1" t="s">
        <v>74</v>
      </c>
      <c r="BH654" s="1" t="s">
        <v>74</v>
      </c>
      <c r="BI654" s="1" t="s">
        <v>74</v>
      </c>
      <c r="BJ654" s="1" t="s">
        <v>74</v>
      </c>
      <c r="BK654" s="1" t="s">
        <v>74</v>
      </c>
      <c r="BL654" s="1" t="s">
        <v>74</v>
      </c>
      <c r="BM654" s="1" t="s">
        <v>74</v>
      </c>
      <c r="BN654" s="1">
        <v>1.5875814E7</v>
      </c>
      <c r="BO654" s="1" t="s">
        <v>74</v>
      </c>
      <c r="BP654" s="1" t="s">
        <v>74</v>
      </c>
      <c r="BQ654" s="1" t="s">
        <v>74</v>
      </c>
      <c r="BR654" s="1" t="s">
        <v>74</v>
      </c>
      <c r="BS654" s="1" t="s">
        <v>6684</v>
      </c>
      <c r="BT654" s="1" t="str">
        <f>HYPERLINK("https%3A%2F%2Fwww.webofscience.com%2Fwos%2Fwoscc%2Ffull-record%2FWOS:000227280500009","View Full Record in Web of Science")</f>
        <v>View Full Record in Web of Science</v>
      </c>
    </row>
    <row r="655" ht="12.75" customHeight="1">
      <c r="A655" s="1" t="s">
        <v>72</v>
      </c>
      <c r="B655" s="1" t="s">
        <v>6685</v>
      </c>
      <c r="C655" s="1" t="s">
        <v>74</v>
      </c>
      <c r="D655" s="1" t="s">
        <v>74</v>
      </c>
      <c r="E655" s="1" t="s">
        <v>74</v>
      </c>
      <c r="F655" s="1" t="s">
        <v>6685</v>
      </c>
      <c r="G655" s="1" t="s">
        <v>74</v>
      </c>
      <c r="H655" s="1" t="s">
        <v>74</v>
      </c>
      <c r="I655" s="1" t="s">
        <v>6686</v>
      </c>
      <c r="J655" s="1" t="s">
        <v>5601</v>
      </c>
      <c r="K655" s="1" t="s">
        <v>74</v>
      </c>
      <c r="L655" s="1" t="s">
        <v>74</v>
      </c>
      <c r="M655" s="1" t="s">
        <v>74</v>
      </c>
      <c r="N655" s="1" t="s">
        <v>74</v>
      </c>
      <c r="O655" s="1" t="s">
        <v>74</v>
      </c>
      <c r="P655" s="1" t="s">
        <v>74</v>
      </c>
      <c r="Q655" s="1" t="s">
        <v>74</v>
      </c>
      <c r="R655" s="1" t="s">
        <v>74</v>
      </c>
      <c r="S655" s="1" t="s">
        <v>74</v>
      </c>
      <c r="T655" s="1" t="s">
        <v>74</v>
      </c>
      <c r="U655" s="1" t="s">
        <v>74</v>
      </c>
      <c r="V655" s="1" t="s">
        <v>6687</v>
      </c>
      <c r="W655" s="1" t="s">
        <v>74</v>
      </c>
      <c r="X655" s="1" t="s">
        <v>74</v>
      </c>
      <c r="Y655" s="1" t="s">
        <v>74</v>
      </c>
      <c r="Z655" s="1" t="s">
        <v>74</v>
      </c>
      <c r="AA655" s="1" t="s">
        <v>6688</v>
      </c>
      <c r="AB655" s="1" t="s">
        <v>6689</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5605</v>
      </c>
      <c r="AP655" s="1" t="s">
        <v>5606</v>
      </c>
      <c r="AQ655" s="1" t="s">
        <v>74</v>
      </c>
      <c r="AR655" s="1" t="s">
        <v>74</v>
      </c>
      <c r="AS655" s="1" t="s">
        <v>74</v>
      </c>
      <c r="AT655" s="1" t="s">
        <v>408</v>
      </c>
      <c r="AU655" s="1">
        <v>1996.0</v>
      </c>
      <c r="AV655" s="1">
        <v>53.0</v>
      </c>
      <c r="AW655" s="1">
        <v>3.0</v>
      </c>
      <c r="AX655" s="1" t="s">
        <v>74</v>
      </c>
      <c r="AY655" s="1" t="s">
        <v>74</v>
      </c>
      <c r="AZ655" s="1" t="s">
        <v>74</v>
      </c>
      <c r="BA655" s="1" t="s">
        <v>74</v>
      </c>
      <c r="BB655" s="1">
        <v>1638.0</v>
      </c>
      <c r="BC655" s="1">
        <v>1643.0</v>
      </c>
      <c r="BD655" s="1" t="s">
        <v>74</v>
      </c>
      <c r="BE655" s="1" t="s">
        <v>6690</v>
      </c>
      <c r="BF655" s="2" t="str">
        <f>HYPERLINK("http://dx.doi.org/10.1103/PhysRevA.53.1638","http://dx.doi.org/10.1103/PhysRevA.53.1638")</f>
        <v>http://dx.doi.org/10.1103/PhysRevA.53.1638</v>
      </c>
      <c r="BG655" s="1" t="s">
        <v>74</v>
      </c>
      <c r="BH655" s="1" t="s">
        <v>74</v>
      </c>
      <c r="BI655" s="1" t="s">
        <v>74</v>
      </c>
      <c r="BJ655" s="1" t="s">
        <v>74</v>
      </c>
      <c r="BK655" s="1" t="s">
        <v>74</v>
      </c>
      <c r="BL655" s="1" t="s">
        <v>74</v>
      </c>
      <c r="BM655" s="1" t="s">
        <v>74</v>
      </c>
      <c r="BN655" s="1">
        <v>9913056.0</v>
      </c>
      <c r="BO655" s="1" t="s">
        <v>74</v>
      </c>
      <c r="BP655" s="1" t="s">
        <v>74</v>
      </c>
      <c r="BQ655" s="1" t="s">
        <v>74</v>
      </c>
      <c r="BR655" s="1" t="s">
        <v>74</v>
      </c>
      <c r="BS655" s="1" t="s">
        <v>6691</v>
      </c>
      <c r="BT655" s="1" t="str">
        <f>HYPERLINK("https%3A%2F%2Fwww.webofscience.com%2Fwos%2Fwoscc%2Ffull-record%2FWOS:A1996TY08700053","View Full Record in Web of Science")</f>
        <v>View Full Record in Web of Science</v>
      </c>
    </row>
    <row r="656" ht="12.75" customHeight="1">
      <c r="A656" s="1" t="s">
        <v>72</v>
      </c>
      <c r="B656" s="1" t="s">
        <v>6692</v>
      </c>
      <c r="C656" s="1" t="s">
        <v>74</v>
      </c>
      <c r="D656" s="1" t="s">
        <v>74</v>
      </c>
      <c r="E656" s="1" t="s">
        <v>74</v>
      </c>
      <c r="F656" s="1" t="s">
        <v>6692</v>
      </c>
      <c r="G656" s="1" t="s">
        <v>74</v>
      </c>
      <c r="H656" s="1" t="s">
        <v>74</v>
      </c>
      <c r="I656" s="1" t="s">
        <v>6693</v>
      </c>
      <c r="J656" s="1" t="s">
        <v>6694</v>
      </c>
      <c r="K656" s="1" t="s">
        <v>74</v>
      </c>
      <c r="L656" s="1" t="s">
        <v>74</v>
      </c>
      <c r="M656" s="1" t="s">
        <v>74</v>
      </c>
      <c r="N656" s="1" t="s">
        <v>74</v>
      </c>
      <c r="O656" s="1" t="s">
        <v>74</v>
      </c>
      <c r="P656" s="1" t="s">
        <v>74</v>
      </c>
      <c r="Q656" s="1" t="s">
        <v>74</v>
      </c>
      <c r="R656" s="1" t="s">
        <v>74</v>
      </c>
      <c r="S656" s="1" t="s">
        <v>74</v>
      </c>
      <c r="T656" s="1" t="s">
        <v>74</v>
      </c>
      <c r="U656" s="1" t="s">
        <v>74</v>
      </c>
      <c r="V656" s="1" t="s">
        <v>74</v>
      </c>
      <c r="W656" s="1" t="s">
        <v>74</v>
      </c>
      <c r="X656" s="1" t="s">
        <v>74</v>
      </c>
      <c r="Y656" s="1" t="s">
        <v>74</v>
      </c>
      <c r="Z656" s="1" t="s">
        <v>74</v>
      </c>
      <c r="AA656" s="1" t="s">
        <v>74</v>
      </c>
      <c r="AB656" s="1" t="s">
        <v>74</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6695</v>
      </c>
      <c r="AP656" s="1" t="s">
        <v>74</v>
      </c>
      <c r="AQ656" s="1" t="s">
        <v>74</v>
      </c>
      <c r="AR656" s="1" t="s">
        <v>74</v>
      </c>
      <c r="AS656" s="1" t="s">
        <v>74</v>
      </c>
      <c r="AT656" s="1" t="s">
        <v>294</v>
      </c>
      <c r="AU656" s="1">
        <v>1988.0</v>
      </c>
      <c r="AV656" s="1">
        <v>67.0</v>
      </c>
      <c r="AW656" s="1">
        <v>2.0</v>
      </c>
      <c r="AX656" s="1" t="s">
        <v>74</v>
      </c>
      <c r="AY656" s="1" t="s">
        <v>74</v>
      </c>
      <c r="AZ656" s="1" t="s">
        <v>74</v>
      </c>
      <c r="BA656" s="1" t="s">
        <v>74</v>
      </c>
      <c r="BB656" s="1" t="s">
        <v>6696</v>
      </c>
      <c r="BC656" s="1" t="s">
        <v>6697</v>
      </c>
      <c r="BD656" s="1" t="s">
        <v>74</v>
      </c>
      <c r="BE656" s="1" t="s">
        <v>74</v>
      </c>
      <c r="BF656" s="1" t="s">
        <v>74</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6698</v>
      </c>
      <c r="BT656" s="1" t="str">
        <f>HYPERLINK("https%3A%2F%2Fwww.webofscience.com%2Fwos%2Fwoscc%2Ffull-record%2FWOS:A1988L956500011","View Full Record in Web of Science")</f>
        <v>View Full Record in Web of Science</v>
      </c>
    </row>
    <row r="657" ht="12.75" customHeight="1">
      <c r="A657" s="1" t="s">
        <v>72</v>
      </c>
      <c r="B657" s="1" t="s">
        <v>6699</v>
      </c>
      <c r="C657" s="1" t="s">
        <v>74</v>
      </c>
      <c r="D657" s="1" t="s">
        <v>74</v>
      </c>
      <c r="E657" s="1" t="s">
        <v>74</v>
      </c>
      <c r="F657" s="1" t="s">
        <v>6699</v>
      </c>
      <c r="G657" s="1" t="s">
        <v>74</v>
      </c>
      <c r="H657" s="1" t="s">
        <v>74</v>
      </c>
      <c r="I657" s="1" t="s">
        <v>6700</v>
      </c>
      <c r="J657" s="1" t="s">
        <v>4178</v>
      </c>
      <c r="K657" s="1" t="s">
        <v>74</v>
      </c>
      <c r="L657" s="1" t="s">
        <v>74</v>
      </c>
      <c r="M657" s="1" t="s">
        <v>74</v>
      </c>
      <c r="N657" s="1" t="s">
        <v>74</v>
      </c>
      <c r="O657" s="1" t="s">
        <v>74</v>
      </c>
      <c r="P657" s="1" t="s">
        <v>74</v>
      </c>
      <c r="Q657" s="1" t="s">
        <v>74</v>
      </c>
      <c r="R657" s="1" t="s">
        <v>74</v>
      </c>
      <c r="S657" s="1" t="s">
        <v>74</v>
      </c>
      <c r="T657" s="1" t="s">
        <v>74</v>
      </c>
      <c r="U657" s="1" t="s">
        <v>74</v>
      </c>
      <c r="V657" s="1" t="s">
        <v>74</v>
      </c>
      <c r="W657" s="1" t="s">
        <v>74</v>
      </c>
      <c r="X657" s="1" t="s">
        <v>74</v>
      </c>
      <c r="Y657" s="1" t="s">
        <v>74</v>
      </c>
      <c r="Z657" s="1" t="s">
        <v>74</v>
      </c>
      <c r="AA657" s="1" t="s">
        <v>74</v>
      </c>
      <c r="AB657" s="1" t="s">
        <v>74</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4182</v>
      </c>
      <c r="AP657" s="1" t="s">
        <v>4183</v>
      </c>
      <c r="AQ657" s="1" t="s">
        <v>74</v>
      </c>
      <c r="AR657" s="1" t="s">
        <v>74</v>
      </c>
      <c r="AS657" s="1" t="s">
        <v>74</v>
      </c>
      <c r="AT657" s="1" t="s">
        <v>94</v>
      </c>
      <c r="AU657" s="1">
        <v>1986.0</v>
      </c>
      <c r="AV657" s="1">
        <v>4.0</v>
      </c>
      <c r="AW657" s="1">
        <v>4.0</v>
      </c>
      <c r="AX657" s="1" t="s">
        <v>74</v>
      </c>
      <c r="AY657" s="1" t="s">
        <v>74</v>
      </c>
      <c r="AZ657" s="1" t="s">
        <v>74</v>
      </c>
      <c r="BA657" s="1" t="s">
        <v>74</v>
      </c>
      <c r="BB657" s="1">
        <v>194.0</v>
      </c>
      <c r="BC657" s="1">
        <v>197.0</v>
      </c>
      <c r="BD657" s="1" t="s">
        <v>74</v>
      </c>
      <c r="BE657" s="1" t="s">
        <v>6701</v>
      </c>
      <c r="BF657" s="2" t="str">
        <f>HYPERLINK("http://dx.doi.org/10.1016/0167-577X(86)90095-9","http://dx.doi.org/10.1016/0167-577X(86)90095-9")</f>
        <v>http://dx.doi.org/10.1016/0167-577X(86)90095-9</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6702</v>
      </c>
      <c r="BT657" s="1" t="str">
        <f>HYPERLINK("https%3A%2F%2Fwww.webofscience.com%2Fwos%2Fwoscc%2Ffull-record%2FWOS:A1986D279300004","View Full Record in Web of Science")</f>
        <v>View Full Record in Web of Science</v>
      </c>
    </row>
    <row r="658" ht="12.75" customHeight="1">
      <c r="A658" s="1" t="s">
        <v>72</v>
      </c>
      <c r="B658" s="1" t="s">
        <v>6703</v>
      </c>
      <c r="C658" s="1" t="s">
        <v>74</v>
      </c>
      <c r="D658" s="1" t="s">
        <v>74</v>
      </c>
      <c r="E658" s="1" t="s">
        <v>74</v>
      </c>
      <c r="F658" s="1" t="s">
        <v>6704</v>
      </c>
      <c r="G658" s="1" t="s">
        <v>74</v>
      </c>
      <c r="H658" s="1" t="s">
        <v>6705</v>
      </c>
      <c r="I658" s="1" t="s">
        <v>6706</v>
      </c>
      <c r="J658" s="1" t="s">
        <v>6707</v>
      </c>
      <c r="K658" s="1" t="s">
        <v>74</v>
      </c>
      <c r="L658" s="1" t="s">
        <v>74</v>
      </c>
      <c r="M658" s="1" t="s">
        <v>74</v>
      </c>
      <c r="N658" s="1" t="s">
        <v>74</v>
      </c>
      <c r="O658" s="1" t="s">
        <v>6708</v>
      </c>
      <c r="P658" s="1" t="s">
        <v>6709</v>
      </c>
      <c r="Q658" s="1" t="s">
        <v>6710</v>
      </c>
      <c r="R658" s="1" t="s">
        <v>74</v>
      </c>
      <c r="S658" s="1" t="s">
        <v>74</v>
      </c>
      <c r="T658" s="1" t="s">
        <v>74</v>
      </c>
      <c r="U658" s="1" t="s">
        <v>74</v>
      </c>
      <c r="V658" s="1" t="s">
        <v>74</v>
      </c>
      <c r="W658" s="1" t="s">
        <v>74</v>
      </c>
      <c r="X658" s="1" t="s">
        <v>74</v>
      </c>
      <c r="Y658" s="1" t="s">
        <v>74</v>
      </c>
      <c r="Z658" s="1" t="s">
        <v>74</v>
      </c>
      <c r="AA658" s="1" t="s">
        <v>6711</v>
      </c>
      <c r="AB658" s="1" t="s">
        <v>74</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6712</v>
      </c>
      <c r="AP658" s="1" t="s">
        <v>6713</v>
      </c>
      <c r="AQ658" s="1" t="s">
        <v>74</v>
      </c>
      <c r="AR658" s="1" t="s">
        <v>74</v>
      </c>
      <c r="AS658" s="1" t="s">
        <v>74</v>
      </c>
      <c r="AT658" s="1" t="s">
        <v>94</v>
      </c>
      <c r="AU658" s="1">
        <v>2024.0</v>
      </c>
      <c r="AV658" s="1">
        <v>83.0</v>
      </c>
      <c r="AW658" s="1" t="s">
        <v>74</v>
      </c>
      <c r="AX658" s="1" t="s">
        <v>74</v>
      </c>
      <c r="AY658" s="1">
        <v>1.0</v>
      </c>
      <c r="AZ658" s="1" t="s">
        <v>74</v>
      </c>
      <c r="BA658" s="1" t="s">
        <v>6714</v>
      </c>
      <c r="BB658" s="1">
        <v>1220.0</v>
      </c>
      <c r="BC658" s="1">
        <v>1221.0</v>
      </c>
      <c r="BD658" s="1" t="s">
        <v>74</v>
      </c>
      <c r="BE658" s="1" t="s">
        <v>6715</v>
      </c>
      <c r="BF658" s="2" t="str">
        <f>HYPERLINK("http://dx.doi.org/10.1136/annrheumdis-2024-eular.4034","http://dx.doi.org/10.1136/annrheumdis-2024-eular.4034")</f>
        <v>http://dx.doi.org/10.1136/annrheumdis-2024-eular.4034</v>
      </c>
      <c r="BG658" s="1" t="s">
        <v>74</v>
      </c>
      <c r="BH658" s="1" t="s">
        <v>5365</v>
      </c>
      <c r="BI658" s="1" t="s">
        <v>74</v>
      </c>
      <c r="BJ658" s="1" t="s">
        <v>74</v>
      </c>
      <c r="BK658" s="1" t="s">
        <v>74</v>
      </c>
      <c r="BL658" s="1" t="s">
        <v>74</v>
      </c>
      <c r="BM658" s="1" t="s">
        <v>74</v>
      </c>
      <c r="BN658" s="1" t="s">
        <v>74</v>
      </c>
      <c r="BO658" s="1" t="s">
        <v>74</v>
      </c>
      <c r="BP658" s="1" t="s">
        <v>74</v>
      </c>
      <c r="BQ658" s="1" t="s">
        <v>74</v>
      </c>
      <c r="BR658" s="1" t="s">
        <v>74</v>
      </c>
      <c r="BS658" s="1" t="s">
        <v>6716</v>
      </c>
      <c r="BT658" s="1" t="str">
        <f>HYPERLINK("https%3A%2F%2Fwww.webofscience.com%2Fwos%2Fwoscc%2Ffull-record%2FWOS:001434501700016","View Full Record in Web of Science")</f>
        <v>View Full Record in Web of Science</v>
      </c>
    </row>
    <row r="659" ht="12.75" customHeight="1">
      <c r="A659" s="1" t="s">
        <v>72</v>
      </c>
      <c r="B659" s="1" t="s">
        <v>6717</v>
      </c>
      <c r="C659" s="1" t="s">
        <v>74</v>
      </c>
      <c r="D659" s="1" t="s">
        <v>74</v>
      </c>
      <c r="E659" s="1" t="s">
        <v>74</v>
      </c>
      <c r="F659" s="1" t="s">
        <v>6718</v>
      </c>
      <c r="G659" s="1" t="s">
        <v>74</v>
      </c>
      <c r="H659" s="1" t="s">
        <v>74</v>
      </c>
      <c r="I659" s="1" t="s">
        <v>6719</v>
      </c>
      <c r="J659" s="1" t="s">
        <v>5820</v>
      </c>
      <c r="K659" s="1" t="s">
        <v>74</v>
      </c>
      <c r="L659" s="1" t="s">
        <v>74</v>
      </c>
      <c r="M659" s="1" t="s">
        <v>74</v>
      </c>
      <c r="N659" s="1" t="s">
        <v>74</v>
      </c>
      <c r="O659" s="1" t="s">
        <v>74</v>
      </c>
      <c r="P659" s="1" t="s">
        <v>74</v>
      </c>
      <c r="Q659" s="1" t="s">
        <v>74</v>
      </c>
      <c r="R659" s="1" t="s">
        <v>74</v>
      </c>
      <c r="S659" s="1" t="s">
        <v>74</v>
      </c>
      <c r="T659" s="1" t="s">
        <v>74</v>
      </c>
      <c r="U659" s="1" t="s">
        <v>74</v>
      </c>
      <c r="V659" s="1" t="s">
        <v>6720</v>
      </c>
      <c r="W659" s="1" t="s">
        <v>74</v>
      </c>
      <c r="X659" s="1" t="s">
        <v>74</v>
      </c>
      <c r="Y659" s="1" t="s">
        <v>74</v>
      </c>
      <c r="Z659" s="1" t="s">
        <v>74</v>
      </c>
      <c r="AA659" s="1" t="s">
        <v>6721</v>
      </c>
      <c r="AB659" s="1" t="s">
        <v>6722</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5824</v>
      </c>
      <c r="AP659" s="1" t="s">
        <v>5825</v>
      </c>
      <c r="AQ659" s="1" t="s">
        <v>74</v>
      </c>
      <c r="AR659" s="1" t="s">
        <v>74</v>
      </c>
      <c r="AS659" s="1" t="s">
        <v>74</v>
      </c>
      <c r="AT659" s="1" t="s">
        <v>204</v>
      </c>
      <c r="AU659" s="1">
        <v>2025.0</v>
      </c>
      <c r="AV659" s="1">
        <v>327.0</v>
      </c>
      <c r="AW659" s="1" t="s">
        <v>74</v>
      </c>
      <c r="AX659" s="1" t="s">
        <v>74</v>
      </c>
      <c r="AY659" s="1" t="s">
        <v>74</v>
      </c>
      <c r="AZ659" s="1" t="s">
        <v>74</v>
      </c>
      <c r="BA659" s="1" t="s">
        <v>74</v>
      </c>
      <c r="BB659" s="1" t="s">
        <v>74</v>
      </c>
      <c r="BC659" s="1" t="s">
        <v>74</v>
      </c>
      <c r="BD659" s="1">
        <v>125391.0</v>
      </c>
      <c r="BE659" s="1" t="s">
        <v>6723</v>
      </c>
      <c r="BF659" s="2" t="str">
        <f>HYPERLINK("http://dx.doi.org/10.1016/j.saa.2024.125391","http://dx.doi.org/10.1016/j.saa.2024.125391")</f>
        <v>http://dx.doi.org/10.1016/j.saa.2024.125391</v>
      </c>
      <c r="BG659" s="1" t="s">
        <v>74</v>
      </c>
      <c r="BH659" s="1" t="s">
        <v>1120</v>
      </c>
      <c r="BI659" s="1" t="s">
        <v>74</v>
      </c>
      <c r="BJ659" s="1" t="s">
        <v>74</v>
      </c>
      <c r="BK659" s="1" t="s">
        <v>74</v>
      </c>
      <c r="BL659" s="1" t="s">
        <v>74</v>
      </c>
      <c r="BM659" s="1" t="s">
        <v>74</v>
      </c>
      <c r="BN659" s="1">
        <v>3.9520819E7</v>
      </c>
      <c r="BO659" s="1" t="s">
        <v>74</v>
      </c>
      <c r="BP659" s="1" t="s">
        <v>74</v>
      </c>
      <c r="BQ659" s="1" t="s">
        <v>74</v>
      </c>
      <c r="BR659" s="1" t="s">
        <v>74</v>
      </c>
      <c r="BS659" s="1" t="s">
        <v>6724</v>
      </c>
      <c r="BT659" s="1" t="str">
        <f>HYPERLINK("https%3A%2F%2Fwww.webofscience.com%2Fwos%2Fwoscc%2Ffull-record%2FWOS:001355968500001","View Full Record in Web of Science")</f>
        <v>View Full Record in Web of Science</v>
      </c>
    </row>
    <row r="660" ht="12.75" customHeight="1">
      <c r="A660" s="1" t="s">
        <v>72</v>
      </c>
      <c r="B660" s="1" t="s">
        <v>6725</v>
      </c>
      <c r="C660" s="1" t="s">
        <v>74</v>
      </c>
      <c r="D660" s="1" t="s">
        <v>74</v>
      </c>
      <c r="E660" s="1" t="s">
        <v>74</v>
      </c>
      <c r="F660" s="1" t="s">
        <v>6726</v>
      </c>
      <c r="G660" s="1" t="s">
        <v>74</v>
      </c>
      <c r="H660" s="1" t="s">
        <v>74</v>
      </c>
      <c r="I660" s="1" t="s">
        <v>6727</v>
      </c>
      <c r="J660" s="1" t="s">
        <v>2994</v>
      </c>
      <c r="K660" s="1" t="s">
        <v>74</v>
      </c>
      <c r="L660" s="1" t="s">
        <v>74</v>
      </c>
      <c r="M660" s="1" t="s">
        <v>74</v>
      </c>
      <c r="N660" s="1" t="s">
        <v>74</v>
      </c>
      <c r="O660" s="1" t="s">
        <v>74</v>
      </c>
      <c r="P660" s="1" t="s">
        <v>74</v>
      </c>
      <c r="Q660" s="1" t="s">
        <v>74</v>
      </c>
      <c r="R660" s="1" t="s">
        <v>74</v>
      </c>
      <c r="S660" s="1" t="s">
        <v>74</v>
      </c>
      <c r="T660" s="1" t="s">
        <v>74</v>
      </c>
      <c r="U660" s="1" t="s">
        <v>74</v>
      </c>
      <c r="V660" s="1" t="s">
        <v>6728</v>
      </c>
      <c r="W660" s="1" t="s">
        <v>74</v>
      </c>
      <c r="X660" s="1" t="s">
        <v>74</v>
      </c>
      <c r="Y660" s="1" t="s">
        <v>74</v>
      </c>
      <c r="Z660" s="1" t="s">
        <v>74</v>
      </c>
      <c r="AA660" s="1" t="s">
        <v>6729</v>
      </c>
      <c r="AB660" s="1" t="s">
        <v>6730</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2997</v>
      </c>
      <c r="AP660" s="1" t="s">
        <v>2998</v>
      </c>
      <c r="AQ660" s="1" t="s">
        <v>74</v>
      </c>
      <c r="AR660" s="1" t="s">
        <v>74</v>
      </c>
      <c r="AS660" s="1" t="s">
        <v>74</v>
      </c>
      <c r="AT660" s="1" t="s">
        <v>6731</v>
      </c>
      <c r="AU660" s="1">
        <v>2024.0</v>
      </c>
      <c r="AV660" s="1">
        <v>702.0</v>
      </c>
      <c r="AW660" s="1" t="s">
        <v>74</v>
      </c>
      <c r="AX660" s="1">
        <v>1.0</v>
      </c>
      <c r="AY660" s="1" t="s">
        <v>74</v>
      </c>
      <c r="AZ660" s="1" t="s">
        <v>74</v>
      </c>
      <c r="BA660" s="1" t="s">
        <v>74</v>
      </c>
      <c r="BB660" s="1" t="s">
        <v>74</v>
      </c>
      <c r="BC660" s="1" t="s">
        <v>74</v>
      </c>
      <c r="BD660" s="1">
        <v>135055.0</v>
      </c>
      <c r="BE660" s="1" t="s">
        <v>6732</v>
      </c>
      <c r="BF660" s="2" t="str">
        <f>HYPERLINK("http://dx.doi.org/10.1016/j.colsurfa.2024.135055","http://dx.doi.org/10.1016/j.colsurfa.2024.135055")</f>
        <v>http://dx.doi.org/10.1016/j.colsurfa.2024.135055</v>
      </c>
      <c r="BG660" s="1" t="s">
        <v>74</v>
      </c>
      <c r="BH660" s="1" t="s">
        <v>548</v>
      </c>
      <c r="BI660" s="1" t="s">
        <v>74</v>
      </c>
      <c r="BJ660" s="1" t="s">
        <v>74</v>
      </c>
      <c r="BK660" s="1" t="s">
        <v>74</v>
      </c>
      <c r="BL660" s="1" t="s">
        <v>74</v>
      </c>
      <c r="BM660" s="1" t="s">
        <v>74</v>
      </c>
      <c r="BN660" s="1" t="s">
        <v>74</v>
      </c>
      <c r="BO660" s="1" t="s">
        <v>74</v>
      </c>
      <c r="BP660" s="1" t="s">
        <v>74</v>
      </c>
      <c r="BQ660" s="1" t="s">
        <v>74</v>
      </c>
      <c r="BR660" s="1" t="s">
        <v>74</v>
      </c>
      <c r="BS660" s="1" t="s">
        <v>6733</v>
      </c>
      <c r="BT660" s="1" t="str">
        <f>HYPERLINK("https%3A%2F%2Fwww.webofscience.com%2Fwos%2Fwoscc%2Ffull-record%2FWOS:001296848700001","View Full Record in Web of Science")</f>
        <v>View Full Record in Web of Science</v>
      </c>
    </row>
    <row r="661" ht="12.75" customHeight="1">
      <c r="A661" s="1" t="s">
        <v>72</v>
      </c>
      <c r="B661" s="1" t="s">
        <v>6734</v>
      </c>
      <c r="C661" s="1" t="s">
        <v>74</v>
      </c>
      <c r="D661" s="1" t="s">
        <v>74</v>
      </c>
      <c r="E661" s="1" t="s">
        <v>74</v>
      </c>
      <c r="F661" s="1" t="s">
        <v>6735</v>
      </c>
      <c r="G661" s="1" t="s">
        <v>74</v>
      </c>
      <c r="H661" s="1" t="s">
        <v>74</v>
      </c>
      <c r="I661" s="1" t="s">
        <v>6736</v>
      </c>
      <c r="J661" s="1" t="s">
        <v>6737</v>
      </c>
      <c r="K661" s="1" t="s">
        <v>74</v>
      </c>
      <c r="L661" s="1" t="s">
        <v>74</v>
      </c>
      <c r="M661" s="1" t="s">
        <v>74</v>
      </c>
      <c r="N661" s="1" t="s">
        <v>74</v>
      </c>
      <c r="O661" s="1" t="s">
        <v>74</v>
      </c>
      <c r="P661" s="1" t="s">
        <v>74</v>
      </c>
      <c r="Q661" s="1" t="s">
        <v>74</v>
      </c>
      <c r="R661" s="1" t="s">
        <v>74</v>
      </c>
      <c r="S661" s="1" t="s">
        <v>74</v>
      </c>
      <c r="T661" s="1" t="s">
        <v>74</v>
      </c>
      <c r="U661" s="1" t="s">
        <v>74</v>
      </c>
      <c r="V661" s="1" t="s">
        <v>6738</v>
      </c>
      <c r="W661" s="1" t="s">
        <v>74</v>
      </c>
      <c r="X661" s="1" t="s">
        <v>74</v>
      </c>
      <c r="Y661" s="1" t="s">
        <v>74</v>
      </c>
      <c r="Z661" s="1" t="s">
        <v>74</v>
      </c>
      <c r="AA661" s="1" t="s">
        <v>6739</v>
      </c>
      <c r="AB661" s="1" t="s">
        <v>6740</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74</v>
      </c>
      <c r="AP661" s="1" t="s">
        <v>6741</v>
      </c>
      <c r="AQ661" s="1" t="s">
        <v>74</v>
      </c>
      <c r="AR661" s="1" t="s">
        <v>74</v>
      </c>
      <c r="AS661" s="1" t="s">
        <v>74</v>
      </c>
      <c r="AT661" s="1" t="s">
        <v>6742</v>
      </c>
      <c r="AU661" s="1">
        <v>2024.0</v>
      </c>
      <c r="AV661" s="1" t="s">
        <v>74</v>
      </c>
      <c r="AW661" s="1" t="s">
        <v>74</v>
      </c>
      <c r="AX661" s="1" t="s">
        <v>74</v>
      </c>
      <c r="AY661" s="1" t="s">
        <v>74</v>
      </c>
      <c r="AZ661" s="1" t="s">
        <v>74</v>
      </c>
      <c r="BA661" s="1" t="s">
        <v>74</v>
      </c>
      <c r="BB661" s="1" t="s">
        <v>74</v>
      </c>
      <c r="BC661" s="1" t="s">
        <v>74</v>
      </c>
      <c r="BD661" s="1" t="s">
        <v>74</v>
      </c>
      <c r="BE661" s="1" t="s">
        <v>6743</v>
      </c>
      <c r="BF661" s="2" t="str">
        <f>HYPERLINK("http://dx.doi.org/10.1002/qute.202300294","http://dx.doi.org/10.1002/qute.202300294")</f>
        <v>http://dx.doi.org/10.1002/qute.202300294</v>
      </c>
      <c r="BG661" s="1" t="s">
        <v>74</v>
      </c>
      <c r="BH661" s="1" t="s">
        <v>571</v>
      </c>
      <c r="BI661" s="1" t="s">
        <v>74</v>
      </c>
      <c r="BJ661" s="1" t="s">
        <v>74</v>
      </c>
      <c r="BK661" s="1" t="s">
        <v>74</v>
      </c>
      <c r="BL661" s="1" t="s">
        <v>74</v>
      </c>
      <c r="BM661" s="1" t="s">
        <v>74</v>
      </c>
      <c r="BN661" s="1" t="s">
        <v>74</v>
      </c>
      <c r="BO661" s="1" t="s">
        <v>74</v>
      </c>
      <c r="BP661" s="1" t="s">
        <v>74</v>
      </c>
      <c r="BQ661" s="1" t="s">
        <v>74</v>
      </c>
      <c r="BR661" s="1" t="s">
        <v>74</v>
      </c>
      <c r="BS661" s="1" t="s">
        <v>6744</v>
      </c>
      <c r="BT661" s="1" t="str">
        <f>HYPERLINK("https%3A%2F%2Fwww.webofscience.com%2Fwos%2Fwoscc%2Ffull-record%2FWOS:001201622500001","View Full Record in Web of Science")</f>
        <v>View Full Record in Web of Science</v>
      </c>
    </row>
    <row r="662" ht="12.75" customHeight="1">
      <c r="A662" s="1" t="s">
        <v>72</v>
      </c>
      <c r="B662" s="1" t="s">
        <v>6745</v>
      </c>
      <c r="C662" s="1" t="s">
        <v>74</v>
      </c>
      <c r="D662" s="1" t="s">
        <v>74</v>
      </c>
      <c r="E662" s="1" t="s">
        <v>74</v>
      </c>
      <c r="F662" s="1" t="s">
        <v>6746</v>
      </c>
      <c r="G662" s="1" t="s">
        <v>74</v>
      </c>
      <c r="H662" s="1" t="s">
        <v>74</v>
      </c>
      <c r="I662" s="1" t="s">
        <v>6747</v>
      </c>
      <c r="J662" s="1" t="s">
        <v>3652</v>
      </c>
      <c r="K662" s="1" t="s">
        <v>74</v>
      </c>
      <c r="L662" s="1" t="s">
        <v>74</v>
      </c>
      <c r="M662" s="1" t="s">
        <v>74</v>
      </c>
      <c r="N662" s="1" t="s">
        <v>74</v>
      </c>
      <c r="O662" s="1" t="s">
        <v>74</v>
      </c>
      <c r="P662" s="1" t="s">
        <v>74</v>
      </c>
      <c r="Q662" s="1" t="s">
        <v>74</v>
      </c>
      <c r="R662" s="1" t="s">
        <v>74</v>
      </c>
      <c r="S662" s="1" t="s">
        <v>74</v>
      </c>
      <c r="T662" s="1" t="s">
        <v>74</v>
      </c>
      <c r="U662" s="1" t="s">
        <v>74</v>
      </c>
      <c r="V662" s="1" t="s">
        <v>6748</v>
      </c>
      <c r="W662" s="1" t="s">
        <v>74</v>
      </c>
      <c r="X662" s="1" t="s">
        <v>74</v>
      </c>
      <c r="Y662" s="1" t="s">
        <v>74</v>
      </c>
      <c r="Z662" s="1" t="s">
        <v>74</v>
      </c>
      <c r="AA662" s="1" t="s">
        <v>6749</v>
      </c>
      <c r="AB662" s="1" t="s">
        <v>6750</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3656</v>
      </c>
      <c r="AP662" s="1" t="s">
        <v>3657</v>
      </c>
      <c r="AQ662" s="1" t="s">
        <v>74</v>
      </c>
      <c r="AR662" s="1" t="s">
        <v>74</v>
      </c>
      <c r="AS662" s="1" t="s">
        <v>74</v>
      </c>
      <c r="AT662" s="1" t="s">
        <v>82</v>
      </c>
      <c r="AU662" s="1">
        <v>2023.0</v>
      </c>
      <c r="AV662" s="1">
        <v>193.0</v>
      </c>
      <c r="AW662" s="1" t="s">
        <v>74</v>
      </c>
      <c r="AX662" s="1" t="s">
        <v>74</v>
      </c>
      <c r="AY662" s="1" t="s">
        <v>74</v>
      </c>
      <c r="AZ662" s="1" t="s">
        <v>74</v>
      </c>
      <c r="BA662" s="1" t="s">
        <v>74</v>
      </c>
      <c r="BB662" s="1" t="s">
        <v>74</v>
      </c>
      <c r="BC662" s="1" t="s">
        <v>74</v>
      </c>
      <c r="BD662" s="1">
        <v>109256.0</v>
      </c>
      <c r="BE662" s="1" t="s">
        <v>6751</v>
      </c>
      <c r="BF662" s="2" t="str">
        <f>HYPERLINK("http://dx.doi.org/10.1016/j.microc.2023.109256","http://dx.doi.org/10.1016/j.microc.2023.109256")</f>
        <v>http://dx.doi.org/10.1016/j.microc.2023.109256</v>
      </c>
      <c r="BG662" s="1" t="s">
        <v>74</v>
      </c>
      <c r="BH662" s="1" t="s">
        <v>1177</v>
      </c>
      <c r="BI662" s="1" t="s">
        <v>74</v>
      </c>
      <c r="BJ662" s="1" t="s">
        <v>74</v>
      </c>
      <c r="BK662" s="1" t="s">
        <v>74</v>
      </c>
      <c r="BL662" s="1" t="s">
        <v>74</v>
      </c>
      <c r="BM662" s="1" t="s">
        <v>74</v>
      </c>
      <c r="BN662" s="1" t="s">
        <v>74</v>
      </c>
      <c r="BO662" s="1" t="s">
        <v>74</v>
      </c>
      <c r="BP662" s="1" t="s">
        <v>74</v>
      </c>
      <c r="BQ662" s="1" t="s">
        <v>74</v>
      </c>
      <c r="BR662" s="1" t="s">
        <v>74</v>
      </c>
      <c r="BS662" s="1" t="s">
        <v>6752</v>
      </c>
      <c r="BT662" s="1" t="str">
        <f>HYPERLINK("https%3A%2F%2Fwww.webofscience.com%2Fwos%2Fwoscc%2Ffull-record%2FWOS:001070676800001","View Full Record in Web of Science")</f>
        <v>View Full Record in Web of Science</v>
      </c>
    </row>
    <row r="663" ht="12.75" customHeight="1">
      <c r="A663" s="1" t="s">
        <v>72</v>
      </c>
      <c r="B663" s="1" t="s">
        <v>6753</v>
      </c>
      <c r="C663" s="1" t="s">
        <v>74</v>
      </c>
      <c r="D663" s="1" t="s">
        <v>74</v>
      </c>
      <c r="E663" s="1" t="s">
        <v>74</v>
      </c>
      <c r="F663" s="1" t="s">
        <v>6754</v>
      </c>
      <c r="G663" s="1" t="s">
        <v>74</v>
      </c>
      <c r="H663" s="1" t="s">
        <v>74</v>
      </c>
      <c r="I663" s="1" t="s">
        <v>6755</v>
      </c>
      <c r="J663" s="1" t="s">
        <v>6756</v>
      </c>
      <c r="K663" s="1" t="s">
        <v>74</v>
      </c>
      <c r="L663" s="1" t="s">
        <v>74</v>
      </c>
      <c r="M663" s="1" t="s">
        <v>74</v>
      </c>
      <c r="N663" s="1" t="s">
        <v>74</v>
      </c>
      <c r="O663" s="1" t="s">
        <v>74</v>
      </c>
      <c r="P663" s="1" t="s">
        <v>74</v>
      </c>
      <c r="Q663" s="1" t="s">
        <v>74</v>
      </c>
      <c r="R663" s="1" t="s">
        <v>74</v>
      </c>
      <c r="S663" s="1" t="s">
        <v>74</v>
      </c>
      <c r="T663" s="1" t="s">
        <v>74</v>
      </c>
      <c r="U663" s="1" t="s">
        <v>74</v>
      </c>
      <c r="V663" s="1" t="s">
        <v>6757</v>
      </c>
      <c r="W663" s="1" t="s">
        <v>74</v>
      </c>
      <c r="X663" s="1" t="s">
        <v>74</v>
      </c>
      <c r="Y663" s="1" t="s">
        <v>74</v>
      </c>
      <c r="Z663" s="1" t="s">
        <v>74</v>
      </c>
      <c r="AA663" s="1" t="s">
        <v>6758</v>
      </c>
      <c r="AB663" s="1" t="s">
        <v>6759</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6760</v>
      </c>
      <c r="AP663" s="1" t="s">
        <v>6761</v>
      </c>
      <c r="AQ663" s="1" t="s">
        <v>74</v>
      </c>
      <c r="AR663" s="1" t="s">
        <v>74</v>
      </c>
      <c r="AS663" s="1" t="s">
        <v>74</v>
      </c>
      <c r="AT663" s="1" t="s">
        <v>3327</v>
      </c>
      <c r="AU663" s="1">
        <v>2023.0</v>
      </c>
      <c r="AV663" s="1">
        <v>950.0</v>
      </c>
      <c r="AW663" s="1">
        <v>2.0</v>
      </c>
      <c r="AX663" s="1" t="s">
        <v>74</v>
      </c>
      <c r="AY663" s="1" t="s">
        <v>74</v>
      </c>
      <c r="AZ663" s="1" t="s">
        <v>74</v>
      </c>
      <c r="BA663" s="1" t="s">
        <v>74</v>
      </c>
      <c r="BB663" s="1" t="s">
        <v>74</v>
      </c>
      <c r="BC663" s="1" t="s">
        <v>74</v>
      </c>
      <c r="BD663" s="1">
        <v>131.0</v>
      </c>
      <c r="BE663" s="1" t="s">
        <v>6762</v>
      </c>
      <c r="BF663" s="2" t="str">
        <f>HYPERLINK("http://dx.doi.org/10.3847/1538-4357/accff9","http://dx.doi.org/10.3847/1538-4357/accff9")</f>
        <v>http://dx.doi.org/10.3847/1538-4357/accff9</v>
      </c>
      <c r="BG663" s="1" t="s">
        <v>74</v>
      </c>
      <c r="BH663" s="1" t="s">
        <v>74</v>
      </c>
      <c r="BI663" s="1" t="s">
        <v>74</v>
      </c>
      <c r="BJ663" s="1" t="s">
        <v>74</v>
      </c>
      <c r="BK663" s="1" t="s">
        <v>74</v>
      </c>
      <c r="BL663" s="1" t="s">
        <v>74</v>
      </c>
      <c r="BM663" s="1" t="s">
        <v>74</v>
      </c>
      <c r="BN663" s="1" t="s">
        <v>74</v>
      </c>
      <c r="BO663" s="1" t="s">
        <v>74</v>
      </c>
      <c r="BP663" s="1" t="s">
        <v>74</v>
      </c>
      <c r="BQ663" s="1" t="s">
        <v>74</v>
      </c>
      <c r="BR663" s="1" t="s">
        <v>74</v>
      </c>
      <c r="BS663" s="1" t="s">
        <v>6763</v>
      </c>
      <c r="BT663" s="1" t="str">
        <f>HYPERLINK("https%3A%2F%2Fwww.webofscience.com%2Fwos%2Fwoscc%2Ffull-record%2FWOS:001009065500001","View Full Record in Web of Science")</f>
        <v>View Full Record in Web of Science</v>
      </c>
    </row>
    <row r="664" ht="12.75" customHeight="1">
      <c r="A664" s="1" t="s">
        <v>72</v>
      </c>
      <c r="B664" s="1" t="s">
        <v>6764</v>
      </c>
      <c r="C664" s="1" t="s">
        <v>74</v>
      </c>
      <c r="D664" s="1" t="s">
        <v>74</v>
      </c>
      <c r="E664" s="1" t="s">
        <v>74</v>
      </c>
      <c r="F664" s="1" t="s">
        <v>6765</v>
      </c>
      <c r="G664" s="1" t="s">
        <v>74</v>
      </c>
      <c r="H664" s="1" t="s">
        <v>74</v>
      </c>
      <c r="I664" s="1" t="s">
        <v>6766</v>
      </c>
      <c r="J664" s="1" t="s">
        <v>6767</v>
      </c>
      <c r="K664" s="1" t="s">
        <v>74</v>
      </c>
      <c r="L664" s="1" t="s">
        <v>74</v>
      </c>
      <c r="M664" s="1" t="s">
        <v>74</v>
      </c>
      <c r="N664" s="1" t="s">
        <v>74</v>
      </c>
      <c r="O664" s="1" t="s">
        <v>74</v>
      </c>
      <c r="P664" s="1" t="s">
        <v>74</v>
      </c>
      <c r="Q664" s="1" t="s">
        <v>74</v>
      </c>
      <c r="R664" s="1" t="s">
        <v>74</v>
      </c>
      <c r="S664" s="1" t="s">
        <v>74</v>
      </c>
      <c r="T664" s="1" t="s">
        <v>74</v>
      </c>
      <c r="U664" s="1" t="s">
        <v>74</v>
      </c>
      <c r="V664" s="1" t="s">
        <v>6768</v>
      </c>
      <c r="W664" s="1" t="s">
        <v>74</v>
      </c>
      <c r="X664" s="1" t="s">
        <v>74</v>
      </c>
      <c r="Y664" s="1" t="s">
        <v>74</v>
      </c>
      <c r="Z664" s="1" t="s">
        <v>74</v>
      </c>
      <c r="AA664" s="1" t="s">
        <v>6769</v>
      </c>
      <c r="AB664" s="1" t="s">
        <v>6770</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6771</v>
      </c>
      <c r="AP664" s="1" t="s">
        <v>74</v>
      </c>
      <c r="AQ664" s="1" t="s">
        <v>74</v>
      </c>
      <c r="AR664" s="1" t="s">
        <v>74</v>
      </c>
      <c r="AS664" s="1" t="s">
        <v>74</v>
      </c>
      <c r="AT664" s="1" t="s">
        <v>6772</v>
      </c>
      <c r="AU664" s="1">
        <v>2023.0</v>
      </c>
      <c r="AV664" s="1">
        <v>12.0</v>
      </c>
      <c r="AW664" s="1" t="s">
        <v>74</v>
      </c>
      <c r="AX664" s="1" t="s">
        <v>74</v>
      </c>
      <c r="AY664" s="1" t="s">
        <v>74</v>
      </c>
      <c r="AZ664" s="1" t="s">
        <v>74</v>
      </c>
      <c r="BA664" s="1" t="s">
        <v>74</v>
      </c>
      <c r="BB664" s="1" t="s">
        <v>74</v>
      </c>
      <c r="BC664" s="1" t="s">
        <v>74</v>
      </c>
      <c r="BD664" s="1">
        <v>1055655.0</v>
      </c>
      <c r="BE664" s="1" t="s">
        <v>6773</v>
      </c>
      <c r="BF664" s="2" t="str">
        <f>HYPERLINK("http://dx.doi.org/10.3389/fonc.2022.1055655","http://dx.doi.org/10.3389/fonc.2022.1055655")</f>
        <v>http://dx.doi.org/10.3389/fonc.2022.1055655</v>
      </c>
      <c r="BG664" s="1" t="s">
        <v>74</v>
      </c>
      <c r="BH664" s="1" t="s">
        <v>74</v>
      </c>
      <c r="BI664" s="1" t="s">
        <v>74</v>
      </c>
      <c r="BJ664" s="1" t="s">
        <v>74</v>
      </c>
      <c r="BK664" s="1" t="s">
        <v>74</v>
      </c>
      <c r="BL664" s="1" t="s">
        <v>74</v>
      </c>
      <c r="BM664" s="1" t="s">
        <v>74</v>
      </c>
      <c r="BN664" s="1">
        <v>3.6686819E7</v>
      </c>
      <c r="BO664" s="1" t="s">
        <v>74</v>
      </c>
      <c r="BP664" s="1" t="s">
        <v>74</v>
      </c>
      <c r="BQ664" s="1" t="s">
        <v>74</v>
      </c>
      <c r="BR664" s="1" t="s">
        <v>74</v>
      </c>
      <c r="BS664" s="1" t="s">
        <v>6774</v>
      </c>
      <c r="BT664" s="1" t="str">
        <f>HYPERLINK("https%3A%2F%2Fwww.webofscience.com%2Fwos%2Fwoscc%2Ffull-record%2FWOS:000916461000001","View Full Record in Web of Science")</f>
        <v>View Full Record in Web of Science</v>
      </c>
    </row>
    <row r="665" ht="12.75" customHeight="1">
      <c r="A665" s="1" t="s">
        <v>72</v>
      </c>
      <c r="B665" s="1" t="s">
        <v>6775</v>
      </c>
      <c r="C665" s="1" t="s">
        <v>74</v>
      </c>
      <c r="D665" s="1" t="s">
        <v>74</v>
      </c>
      <c r="E665" s="1" t="s">
        <v>74</v>
      </c>
      <c r="F665" s="1" t="s">
        <v>6776</v>
      </c>
      <c r="G665" s="1" t="s">
        <v>74</v>
      </c>
      <c r="H665" s="1" t="s">
        <v>74</v>
      </c>
      <c r="I665" s="1" t="s">
        <v>6777</v>
      </c>
      <c r="J665" s="1" t="s">
        <v>1595</v>
      </c>
      <c r="K665" s="1" t="s">
        <v>74</v>
      </c>
      <c r="L665" s="1" t="s">
        <v>74</v>
      </c>
      <c r="M665" s="1" t="s">
        <v>74</v>
      </c>
      <c r="N665" s="1" t="s">
        <v>74</v>
      </c>
      <c r="O665" s="1" t="s">
        <v>74</v>
      </c>
      <c r="P665" s="1" t="s">
        <v>74</v>
      </c>
      <c r="Q665" s="1" t="s">
        <v>74</v>
      </c>
      <c r="R665" s="1" t="s">
        <v>74</v>
      </c>
      <c r="S665" s="1" t="s">
        <v>74</v>
      </c>
      <c r="T665" s="1" t="s">
        <v>74</v>
      </c>
      <c r="U665" s="1" t="s">
        <v>74</v>
      </c>
      <c r="V665" s="1" t="s">
        <v>6778</v>
      </c>
      <c r="W665" s="1" t="s">
        <v>74</v>
      </c>
      <c r="X665" s="1" t="s">
        <v>74</v>
      </c>
      <c r="Y665" s="1" t="s">
        <v>74</v>
      </c>
      <c r="Z665" s="1" t="s">
        <v>74</v>
      </c>
      <c r="AA665" s="1" t="s">
        <v>6779</v>
      </c>
      <c r="AB665" s="1" t="s">
        <v>6780</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1599</v>
      </c>
      <c r="AP665" s="1" t="s">
        <v>4776</v>
      </c>
      <c r="AQ665" s="1" t="s">
        <v>74</v>
      </c>
      <c r="AR665" s="1" t="s">
        <v>74</v>
      </c>
      <c r="AS665" s="1" t="s">
        <v>74</v>
      </c>
      <c r="AT665" s="1" t="s">
        <v>3269</v>
      </c>
      <c r="AU665" s="1">
        <v>2021.0</v>
      </c>
      <c r="AV665" s="1">
        <v>168.0</v>
      </c>
      <c r="AW665" s="1">
        <v>10.0</v>
      </c>
      <c r="AX665" s="1" t="s">
        <v>74</v>
      </c>
      <c r="AY665" s="1" t="s">
        <v>74</v>
      </c>
      <c r="AZ665" s="1" t="s">
        <v>74</v>
      </c>
      <c r="BA665" s="1" t="s">
        <v>74</v>
      </c>
      <c r="BB665" s="1" t="s">
        <v>74</v>
      </c>
      <c r="BC665" s="1" t="s">
        <v>74</v>
      </c>
      <c r="BD665" s="1">
        <v>100543.0</v>
      </c>
      <c r="BE665" s="1" t="s">
        <v>6781</v>
      </c>
      <c r="BF665" s="2" t="str">
        <f>HYPERLINK("http://dx.doi.org/10.1149/1945-7111/ac3113","http://dx.doi.org/10.1149/1945-7111/ac3113")</f>
        <v>http://dx.doi.org/10.1149/1945-7111/ac3113</v>
      </c>
      <c r="BG665" s="1" t="s">
        <v>74</v>
      </c>
      <c r="BH665" s="1" t="s">
        <v>74</v>
      </c>
      <c r="BI665" s="1" t="s">
        <v>74</v>
      </c>
      <c r="BJ665" s="1" t="s">
        <v>74</v>
      </c>
      <c r="BK665" s="1" t="s">
        <v>74</v>
      </c>
      <c r="BL665" s="1" t="s">
        <v>74</v>
      </c>
      <c r="BM665" s="1" t="s">
        <v>74</v>
      </c>
      <c r="BN665" s="1" t="s">
        <v>74</v>
      </c>
      <c r="BO665" s="1" t="s">
        <v>74</v>
      </c>
      <c r="BP665" s="1" t="s">
        <v>74</v>
      </c>
      <c r="BQ665" s="1" t="s">
        <v>74</v>
      </c>
      <c r="BR665" s="1" t="s">
        <v>74</v>
      </c>
      <c r="BS665" s="1" t="s">
        <v>6782</v>
      </c>
      <c r="BT665" s="1" t="str">
        <f>HYPERLINK("https%3A%2F%2Fwww.webofscience.com%2Fwos%2Fwoscc%2Ffull-record%2FWOS:000712598500001","View Full Record in Web of Science")</f>
        <v>View Full Record in Web of Science</v>
      </c>
    </row>
    <row r="666" ht="12.75" customHeight="1">
      <c r="A666" s="1" t="s">
        <v>72</v>
      </c>
      <c r="B666" s="1" t="s">
        <v>6783</v>
      </c>
      <c r="C666" s="1" t="s">
        <v>74</v>
      </c>
      <c r="D666" s="1" t="s">
        <v>74</v>
      </c>
      <c r="E666" s="1" t="s">
        <v>74</v>
      </c>
      <c r="F666" s="1" t="s">
        <v>6784</v>
      </c>
      <c r="G666" s="1" t="s">
        <v>74</v>
      </c>
      <c r="H666" s="1" t="s">
        <v>74</v>
      </c>
      <c r="I666" s="1" t="s">
        <v>6785</v>
      </c>
      <c r="J666" s="1" t="s">
        <v>113</v>
      </c>
      <c r="K666" s="1" t="s">
        <v>74</v>
      </c>
      <c r="L666" s="1" t="s">
        <v>74</v>
      </c>
      <c r="M666" s="1" t="s">
        <v>74</v>
      </c>
      <c r="N666" s="1" t="s">
        <v>74</v>
      </c>
      <c r="O666" s="1" t="s">
        <v>74</v>
      </c>
      <c r="P666" s="1" t="s">
        <v>74</v>
      </c>
      <c r="Q666" s="1" t="s">
        <v>74</v>
      </c>
      <c r="R666" s="1" t="s">
        <v>74</v>
      </c>
      <c r="S666" s="1" t="s">
        <v>74</v>
      </c>
      <c r="T666" s="1" t="s">
        <v>74</v>
      </c>
      <c r="U666" s="1" t="s">
        <v>74</v>
      </c>
      <c r="V666" s="1" t="s">
        <v>6786</v>
      </c>
      <c r="W666" s="1" t="s">
        <v>74</v>
      </c>
      <c r="X666" s="1" t="s">
        <v>74</v>
      </c>
      <c r="Y666" s="1" t="s">
        <v>74</v>
      </c>
      <c r="Z666" s="1" t="s">
        <v>74</v>
      </c>
      <c r="AA666" s="1" t="s">
        <v>6787</v>
      </c>
      <c r="AB666" s="1" t="s">
        <v>6788</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74</v>
      </c>
      <c r="AP666" s="1" t="s">
        <v>116</v>
      </c>
      <c r="AQ666" s="1" t="s">
        <v>74</v>
      </c>
      <c r="AR666" s="1" t="s">
        <v>74</v>
      </c>
      <c r="AS666" s="1" t="s">
        <v>74</v>
      </c>
      <c r="AT666" s="1" t="s">
        <v>2332</v>
      </c>
      <c r="AU666" s="1">
        <v>2020.0</v>
      </c>
      <c r="AV666" s="1">
        <v>11.0</v>
      </c>
      <c r="AW666" s="1" t="s">
        <v>74</v>
      </c>
      <c r="AX666" s="1" t="s">
        <v>74</v>
      </c>
      <c r="AY666" s="1" t="s">
        <v>74</v>
      </c>
      <c r="AZ666" s="1" t="s">
        <v>74</v>
      </c>
      <c r="BA666" s="1" t="s">
        <v>74</v>
      </c>
      <c r="BB666" s="1" t="s">
        <v>74</v>
      </c>
      <c r="BC666" s="1" t="s">
        <v>74</v>
      </c>
      <c r="BD666" s="1">
        <v>519.0</v>
      </c>
      <c r="BE666" s="1" t="s">
        <v>6789</v>
      </c>
      <c r="BF666" s="2" t="str">
        <f>HYPERLINK("http://dx.doi.org/10.3389/fgene.2020.00519","http://dx.doi.org/10.3389/fgene.2020.00519")</f>
        <v>http://dx.doi.org/10.3389/fgene.2020.00519</v>
      </c>
      <c r="BG666" s="1" t="s">
        <v>74</v>
      </c>
      <c r="BH666" s="1" t="s">
        <v>74</v>
      </c>
      <c r="BI666" s="1" t="s">
        <v>74</v>
      </c>
      <c r="BJ666" s="1" t="s">
        <v>74</v>
      </c>
      <c r="BK666" s="1" t="s">
        <v>74</v>
      </c>
      <c r="BL666" s="1" t="s">
        <v>74</v>
      </c>
      <c r="BM666" s="1" t="s">
        <v>74</v>
      </c>
      <c r="BN666" s="1">
        <v>3.2523604E7</v>
      </c>
      <c r="BO666" s="1" t="s">
        <v>74</v>
      </c>
      <c r="BP666" s="1" t="s">
        <v>74</v>
      </c>
      <c r="BQ666" s="1" t="s">
        <v>74</v>
      </c>
      <c r="BR666" s="1" t="s">
        <v>74</v>
      </c>
      <c r="BS666" s="1" t="s">
        <v>6790</v>
      </c>
      <c r="BT666" s="1" t="str">
        <f>HYPERLINK("https%3A%2F%2Fwww.webofscience.com%2Fwos%2Fwoscc%2Ffull-record%2FWOS:000540599800001","View Full Record in Web of Science")</f>
        <v>View Full Record in Web of Science</v>
      </c>
    </row>
    <row r="667" ht="12.75" customHeight="1">
      <c r="A667" s="1" t="s">
        <v>72</v>
      </c>
      <c r="B667" s="1" t="s">
        <v>6791</v>
      </c>
      <c r="C667" s="1" t="s">
        <v>74</v>
      </c>
      <c r="D667" s="1" t="s">
        <v>74</v>
      </c>
      <c r="E667" s="1" t="s">
        <v>74</v>
      </c>
      <c r="F667" s="1" t="s">
        <v>6792</v>
      </c>
      <c r="G667" s="1" t="s">
        <v>74</v>
      </c>
      <c r="H667" s="1" t="s">
        <v>74</v>
      </c>
      <c r="I667" s="1" t="s">
        <v>6793</v>
      </c>
      <c r="J667" s="1" t="s">
        <v>6794</v>
      </c>
      <c r="K667" s="1" t="s">
        <v>74</v>
      </c>
      <c r="L667" s="1" t="s">
        <v>74</v>
      </c>
      <c r="M667" s="1" t="s">
        <v>74</v>
      </c>
      <c r="N667" s="1" t="s">
        <v>74</v>
      </c>
      <c r="O667" s="1" t="s">
        <v>74</v>
      </c>
      <c r="P667" s="1" t="s">
        <v>74</v>
      </c>
      <c r="Q667" s="1" t="s">
        <v>74</v>
      </c>
      <c r="R667" s="1" t="s">
        <v>74</v>
      </c>
      <c r="S667" s="1" t="s">
        <v>74</v>
      </c>
      <c r="T667" s="1" t="s">
        <v>74</v>
      </c>
      <c r="U667" s="1" t="s">
        <v>74</v>
      </c>
      <c r="V667" s="1" t="s">
        <v>6795</v>
      </c>
      <c r="W667" s="1" t="s">
        <v>74</v>
      </c>
      <c r="X667" s="1" t="s">
        <v>74</v>
      </c>
      <c r="Y667" s="1" t="s">
        <v>74</v>
      </c>
      <c r="Z667" s="1" t="s">
        <v>74</v>
      </c>
      <c r="AA667" s="1" t="s">
        <v>6796</v>
      </c>
      <c r="AB667" s="1" t="s">
        <v>6797</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6798</v>
      </c>
      <c r="AP667" s="1" t="s">
        <v>6799</v>
      </c>
      <c r="AQ667" s="1" t="s">
        <v>74</v>
      </c>
      <c r="AR667" s="1" t="s">
        <v>74</v>
      </c>
      <c r="AS667" s="1" t="s">
        <v>74</v>
      </c>
      <c r="AT667" s="1" t="s">
        <v>745</v>
      </c>
      <c r="AU667" s="1">
        <v>2020.0</v>
      </c>
      <c r="AV667" s="1">
        <v>19.0</v>
      </c>
      <c r="AW667" s="1">
        <v>2.0</v>
      </c>
      <c r="AX667" s="1" t="s">
        <v>74</v>
      </c>
      <c r="AY667" s="1" t="s">
        <v>74</v>
      </c>
      <c r="AZ667" s="1" t="s">
        <v>74</v>
      </c>
      <c r="BA667" s="1" t="s">
        <v>74</v>
      </c>
      <c r="BB667" s="1">
        <v>81.0</v>
      </c>
      <c r="BC667" s="1">
        <v>98.0</v>
      </c>
      <c r="BD667" s="1" t="s">
        <v>74</v>
      </c>
      <c r="BE667" s="1" t="s">
        <v>6800</v>
      </c>
      <c r="BF667" s="2" t="str">
        <f>HYPERLINK("http://dx.doi.org/10.1007/s10258-019-00160-5","http://dx.doi.org/10.1007/s10258-019-00160-5")</f>
        <v>http://dx.doi.org/10.1007/s10258-019-00160-5</v>
      </c>
      <c r="BG667" s="1" t="s">
        <v>74</v>
      </c>
      <c r="BH667" s="1" t="s">
        <v>74</v>
      </c>
      <c r="BI667" s="1" t="s">
        <v>74</v>
      </c>
      <c r="BJ667" s="1" t="s">
        <v>74</v>
      </c>
      <c r="BK667" s="1" t="s">
        <v>74</v>
      </c>
      <c r="BL667" s="1" t="s">
        <v>74</v>
      </c>
      <c r="BM667" s="1" t="s">
        <v>74</v>
      </c>
      <c r="BN667" s="1" t="s">
        <v>74</v>
      </c>
      <c r="BO667" s="1" t="s">
        <v>74</v>
      </c>
      <c r="BP667" s="1" t="s">
        <v>74</v>
      </c>
      <c r="BQ667" s="1" t="s">
        <v>74</v>
      </c>
      <c r="BR667" s="1" t="s">
        <v>74</v>
      </c>
      <c r="BS667" s="1" t="s">
        <v>6801</v>
      </c>
      <c r="BT667" s="1" t="str">
        <f>HYPERLINK("https%3A%2F%2Fwww.webofscience.com%2Fwos%2Fwoscc%2Ffull-record%2FWOS:000525757800001","View Full Record in Web of Science")</f>
        <v>View Full Record in Web of Science</v>
      </c>
    </row>
    <row r="668" ht="12.75" customHeight="1">
      <c r="A668" s="1" t="s">
        <v>72</v>
      </c>
      <c r="B668" s="1" t="s">
        <v>6802</v>
      </c>
      <c r="C668" s="1" t="s">
        <v>74</v>
      </c>
      <c r="D668" s="1" t="s">
        <v>74</v>
      </c>
      <c r="E668" s="1" t="s">
        <v>74</v>
      </c>
      <c r="F668" s="1" t="s">
        <v>6803</v>
      </c>
      <c r="G668" s="1" t="s">
        <v>74</v>
      </c>
      <c r="H668" s="1" t="s">
        <v>74</v>
      </c>
      <c r="I668" s="1" t="s">
        <v>6804</v>
      </c>
      <c r="J668" s="1" t="s">
        <v>6805</v>
      </c>
      <c r="K668" s="1" t="s">
        <v>74</v>
      </c>
      <c r="L668" s="1" t="s">
        <v>74</v>
      </c>
      <c r="M668" s="1" t="s">
        <v>74</v>
      </c>
      <c r="N668" s="1" t="s">
        <v>74</v>
      </c>
      <c r="O668" s="1" t="s">
        <v>74</v>
      </c>
      <c r="P668" s="1" t="s">
        <v>74</v>
      </c>
      <c r="Q668" s="1" t="s">
        <v>74</v>
      </c>
      <c r="R668" s="1" t="s">
        <v>74</v>
      </c>
      <c r="S668" s="1" t="s">
        <v>74</v>
      </c>
      <c r="T668" s="1" t="s">
        <v>74</v>
      </c>
      <c r="U668" s="1" t="s">
        <v>74</v>
      </c>
      <c r="V668" s="1" t="s">
        <v>6806</v>
      </c>
      <c r="W668" s="1" t="s">
        <v>74</v>
      </c>
      <c r="X668" s="1" t="s">
        <v>74</v>
      </c>
      <c r="Y668" s="1" t="s">
        <v>74</v>
      </c>
      <c r="Z668" s="1" t="s">
        <v>74</v>
      </c>
      <c r="AA668" s="1" t="s">
        <v>6807</v>
      </c>
      <c r="AB668" s="1" t="s">
        <v>6808</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6809</v>
      </c>
      <c r="AP668" s="1" t="s">
        <v>74</v>
      </c>
      <c r="AQ668" s="1" t="s">
        <v>74</v>
      </c>
      <c r="AR668" s="1" t="s">
        <v>74</v>
      </c>
      <c r="AS668" s="1" t="s">
        <v>74</v>
      </c>
      <c r="AT668" s="1" t="s">
        <v>74</v>
      </c>
      <c r="AU668" s="1">
        <v>2020.0</v>
      </c>
      <c r="AV668" s="1">
        <v>8.0</v>
      </c>
      <c r="AW668" s="1" t="s">
        <v>74</v>
      </c>
      <c r="AX668" s="1" t="s">
        <v>74</v>
      </c>
      <c r="AY668" s="1" t="s">
        <v>74</v>
      </c>
      <c r="AZ668" s="1" t="s">
        <v>74</v>
      </c>
      <c r="BA668" s="1" t="s">
        <v>74</v>
      </c>
      <c r="BB668" s="1">
        <v>171598.0</v>
      </c>
      <c r="BC668" s="1">
        <v>171607.0</v>
      </c>
      <c r="BD668" s="1" t="s">
        <v>74</v>
      </c>
      <c r="BE668" s="1" t="s">
        <v>6810</v>
      </c>
      <c r="BF668" s="2" t="str">
        <f>HYPERLINK("http://dx.doi.org/10.1109/ACCESS.2020.3025195","http://dx.doi.org/10.1109/ACCESS.2020.3025195")</f>
        <v>http://dx.doi.org/10.1109/ACCESS.2020.3025195</v>
      </c>
      <c r="BG668" s="1" t="s">
        <v>74</v>
      </c>
      <c r="BH668" s="1" t="s">
        <v>74</v>
      </c>
      <c r="BI668" s="1" t="s">
        <v>74</v>
      </c>
      <c r="BJ668" s="1" t="s">
        <v>74</v>
      </c>
      <c r="BK668" s="1" t="s">
        <v>74</v>
      </c>
      <c r="BL668" s="1" t="s">
        <v>74</v>
      </c>
      <c r="BM668" s="1" t="s">
        <v>74</v>
      </c>
      <c r="BN668" s="1" t="s">
        <v>74</v>
      </c>
      <c r="BO668" s="1" t="s">
        <v>74</v>
      </c>
      <c r="BP668" s="1" t="s">
        <v>74</v>
      </c>
      <c r="BQ668" s="1" t="s">
        <v>74</v>
      </c>
      <c r="BR668" s="1" t="s">
        <v>74</v>
      </c>
      <c r="BS668" s="1" t="s">
        <v>6811</v>
      </c>
      <c r="BT668" s="1" t="str">
        <f>HYPERLINK("https%3A%2F%2Fwww.webofscience.com%2Fwos%2Fwoscc%2Ffull-record%2FWOS:000575926200001","View Full Record in Web of Science")</f>
        <v>View Full Record in Web of Science</v>
      </c>
    </row>
    <row r="669" ht="12.75" customHeight="1">
      <c r="A669" s="1" t="s">
        <v>72</v>
      </c>
      <c r="B669" s="1" t="s">
        <v>6812</v>
      </c>
      <c r="C669" s="1" t="s">
        <v>74</v>
      </c>
      <c r="D669" s="1" t="s">
        <v>74</v>
      </c>
      <c r="E669" s="1" t="s">
        <v>74</v>
      </c>
      <c r="F669" s="1" t="s">
        <v>6813</v>
      </c>
      <c r="G669" s="1" t="s">
        <v>74</v>
      </c>
      <c r="H669" s="1" t="s">
        <v>74</v>
      </c>
      <c r="I669" s="1" t="s">
        <v>6814</v>
      </c>
      <c r="J669" s="1" t="s">
        <v>6815</v>
      </c>
      <c r="K669" s="1" t="s">
        <v>74</v>
      </c>
      <c r="L669" s="1" t="s">
        <v>74</v>
      </c>
      <c r="M669" s="1" t="s">
        <v>74</v>
      </c>
      <c r="N669" s="1" t="s">
        <v>74</v>
      </c>
      <c r="O669" s="1" t="s">
        <v>74</v>
      </c>
      <c r="P669" s="1" t="s">
        <v>74</v>
      </c>
      <c r="Q669" s="1" t="s">
        <v>74</v>
      </c>
      <c r="R669" s="1" t="s">
        <v>74</v>
      </c>
      <c r="S669" s="1" t="s">
        <v>74</v>
      </c>
      <c r="T669" s="1" t="s">
        <v>74</v>
      </c>
      <c r="U669" s="1" t="s">
        <v>74</v>
      </c>
      <c r="V669" s="1" t="s">
        <v>6816</v>
      </c>
      <c r="W669" s="1" t="s">
        <v>74</v>
      </c>
      <c r="X669" s="1" t="s">
        <v>74</v>
      </c>
      <c r="Y669" s="1" t="s">
        <v>74</v>
      </c>
      <c r="Z669" s="1" t="s">
        <v>74</v>
      </c>
      <c r="AA669" s="1" t="s">
        <v>6817</v>
      </c>
      <c r="AB669" s="1" t="s">
        <v>6818</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74</v>
      </c>
      <c r="AP669" s="1" t="s">
        <v>6819</v>
      </c>
      <c r="AQ669" s="1" t="s">
        <v>74</v>
      </c>
      <c r="AR669" s="1" t="s">
        <v>74</v>
      </c>
      <c r="AS669" s="1" t="s">
        <v>74</v>
      </c>
      <c r="AT669" s="1" t="s">
        <v>374</v>
      </c>
      <c r="AU669" s="1">
        <v>2019.0</v>
      </c>
      <c r="AV669" s="1">
        <v>8.0</v>
      </c>
      <c r="AW669" s="1">
        <v>11.0</v>
      </c>
      <c r="AX669" s="1" t="s">
        <v>74</v>
      </c>
      <c r="AY669" s="1" t="s">
        <v>74</v>
      </c>
      <c r="AZ669" s="1" t="s">
        <v>74</v>
      </c>
      <c r="BA669" s="1" t="s">
        <v>74</v>
      </c>
      <c r="BB669" s="1" t="s">
        <v>74</v>
      </c>
      <c r="BC669" s="1" t="s">
        <v>74</v>
      </c>
      <c r="BD669" s="1">
        <v>520.0</v>
      </c>
      <c r="BE669" s="1" t="s">
        <v>6820</v>
      </c>
      <c r="BF669" s="2" t="str">
        <f>HYPERLINK("http://dx.doi.org/10.3390/antiox8110520","http://dx.doi.org/10.3390/antiox8110520")</f>
        <v>http://dx.doi.org/10.3390/antiox8110520</v>
      </c>
      <c r="BG669" s="1" t="s">
        <v>74</v>
      </c>
      <c r="BH669" s="1" t="s">
        <v>74</v>
      </c>
      <c r="BI669" s="1" t="s">
        <v>74</v>
      </c>
      <c r="BJ669" s="1" t="s">
        <v>74</v>
      </c>
      <c r="BK669" s="1" t="s">
        <v>74</v>
      </c>
      <c r="BL669" s="1" t="s">
        <v>74</v>
      </c>
      <c r="BM669" s="1" t="s">
        <v>74</v>
      </c>
      <c r="BN669" s="1">
        <v>3.1671558E7</v>
      </c>
      <c r="BO669" s="1" t="s">
        <v>74</v>
      </c>
      <c r="BP669" s="1" t="s">
        <v>74</v>
      </c>
      <c r="BQ669" s="1" t="s">
        <v>74</v>
      </c>
      <c r="BR669" s="1" t="s">
        <v>74</v>
      </c>
      <c r="BS669" s="1" t="s">
        <v>6821</v>
      </c>
      <c r="BT669" s="1" t="str">
        <f>HYPERLINK("https%3A%2F%2Fwww.webofscience.com%2Fwos%2Fwoscc%2Ffull-record%2FWOS:000502268400016","View Full Record in Web of Science")</f>
        <v>View Full Record in Web of Science</v>
      </c>
    </row>
    <row r="670" ht="12.75" customHeight="1">
      <c r="A670" s="1" t="s">
        <v>72</v>
      </c>
      <c r="B670" s="1" t="s">
        <v>6822</v>
      </c>
      <c r="C670" s="1" t="s">
        <v>74</v>
      </c>
      <c r="D670" s="1" t="s">
        <v>74</v>
      </c>
      <c r="E670" s="1" t="s">
        <v>74</v>
      </c>
      <c r="F670" s="1" t="s">
        <v>6823</v>
      </c>
      <c r="G670" s="1" t="s">
        <v>74</v>
      </c>
      <c r="H670" s="1" t="s">
        <v>74</v>
      </c>
      <c r="I670" s="1" t="s">
        <v>6824</v>
      </c>
      <c r="J670" s="1" t="s">
        <v>6825</v>
      </c>
      <c r="K670" s="1" t="s">
        <v>74</v>
      </c>
      <c r="L670" s="1" t="s">
        <v>74</v>
      </c>
      <c r="M670" s="1" t="s">
        <v>74</v>
      </c>
      <c r="N670" s="1" t="s">
        <v>74</v>
      </c>
      <c r="O670" s="1" t="s">
        <v>74</v>
      </c>
      <c r="P670" s="1" t="s">
        <v>74</v>
      </c>
      <c r="Q670" s="1" t="s">
        <v>74</v>
      </c>
      <c r="R670" s="1" t="s">
        <v>74</v>
      </c>
      <c r="S670" s="1" t="s">
        <v>74</v>
      </c>
      <c r="T670" s="1" t="s">
        <v>74</v>
      </c>
      <c r="U670" s="1" t="s">
        <v>74</v>
      </c>
      <c r="V670" s="1" t="s">
        <v>6826</v>
      </c>
      <c r="W670" s="1" t="s">
        <v>74</v>
      </c>
      <c r="X670" s="1" t="s">
        <v>74</v>
      </c>
      <c r="Y670" s="1" t="s">
        <v>74</v>
      </c>
      <c r="Z670" s="1" t="s">
        <v>74</v>
      </c>
      <c r="AA670" s="1" t="s">
        <v>6827</v>
      </c>
      <c r="AB670" s="1" t="s">
        <v>6828</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6829</v>
      </c>
      <c r="AP670" s="1" t="s">
        <v>6830</v>
      </c>
      <c r="AQ670" s="1" t="s">
        <v>74</v>
      </c>
      <c r="AR670" s="1" t="s">
        <v>74</v>
      </c>
      <c r="AS670" s="1" t="s">
        <v>74</v>
      </c>
      <c r="AT670" s="1" t="s">
        <v>282</v>
      </c>
      <c r="AU670" s="1">
        <v>2018.0</v>
      </c>
      <c r="AV670" s="1">
        <v>64.0</v>
      </c>
      <c r="AW670" s="1">
        <v>8.0</v>
      </c>
      <c r="AX670" s="1" t="s">
        <v>74</v>
      </c>
      <c r="AY670" s="1" t="s">
        <v>74</v>
      </c>
      <c r="AZ670" s="1" t="s">
        <v>74</v>
      </c>
      <c r="BA670" s="1" t="s">
        <v>74</v>
      </c>
      <c r="BB670" s="1">
        <v>2972.0</v>
      </c>
      <c r="BC670" s="1">
        <v>2981.0</v>
      </c>
      <c r="BD670" s="1" t="s">
        <v>74</v>
      </c>
      <c r="BE670" s="1" t="s">
        <v>6831</v>
      </c>
      <c r="BF670" s="2" t="str">
        <f>HYPERLINK("http://dx.doi.org/10.1002/aic.16063","http://dx.doi.org/10.1002/aic.16063")</f>
        <v>http://dx.doi.org/10.1002/aic.16063</v>
      </c>
      <c r="BG670" s="1" t="s">
        <v>74</v>
      </c>
      <c r="BH670" s="1" t="s">
        <v>74</v>
      </c>
      <c r="BI670" s="1" t="s">
        <v>74</v>
      </c>
      <c r="BJ670" s="1" t="s">
        <v>74</v>
      </c>
      <c r="BK670" s="1" t="s">
        <v>74</v>
      </c>
      <c r="BL670" s="1" t="s">
        <v>74</v>
      </c>
      <c r="BM670" s="1" t="s">
        <v>74</v>
      </c>
      <c r="BN670" s="1" t="s">
        <v>74</v>
      </c>
      <c r="BO670" s="1" t="s">
        <v>74</v>
      </c>
      <c r="BP670" s="1" t="s">
        <v>74</v>
      </c>
      <c r="BQ670" s="1" t="s">
        <v>74</v>
      </c>
      <c r="BR670" s="1" t="s">
        <v>74</v>
      </c>
      <c r="BS670" s="1" t="s">
        <v>6832</v>
      </c>
      <c r="BT670" s="1" t="str">
        <f>HYPERLINK("https%3A%2F%2Fwww.webofscience.com%2Fwos%2Fwoscc%2Ffull-record%2FWOS:000441215000006","View Full Record in Web of Science")</f>
        <v>View Full Record in Web of Science</v>
      </c>
    </row>
    <row r="671" ht="12.75" customHeight="1">
      <c r="A671" s="1" t="s">
        <v>72</v>
      </c>
      <c r="B671" s="1" t="s">
        <v>6833</v>
      </c>
      <c r="C671" s="1" t="s">
        <v>74</v>
      </c>
      <c r="D671" s="1" t="s">
        <v>74</v>
      </c>
      <c r="E671" s="1" t="s">
        <v>74</v>
      </c>
      <c r="F671" s="1" t="s">
        <v>6834</v>
      </c>
      <c r="G671" s="1" t="s">
        <v>74</v>
      </c>
      <c r="H671" s="1" t="s">
        <v>74</v>
      </c>
      <c r="I671" s="1" t="s">
        <v>6835</v>
      </c>
      <c r="J671" s="1" t="s">
        <v>6836</v>
      </c>
      <c r="K671" s="1" t="s">
        <v>74</v>
      </c>
      <c r="L671" s="1" t="s">
        <v>74</v>
      </c>
      <c r="M671" s="1" t="s">
        <v>74</v>
      </c>
      <c r="N671" s="1" t="s">
        <v>74</v>
      </c>
      <c r="O671" s="1" t="s">
        <v>6837</v>
      </c>
      <c r="P671" s="1" t="s">
        <v>6838</v>
      </c>
      <c r="Q671" s="1" t="s">
        <v>6839</v>
      </c>
      <c r="R671" s="1" t="s">
        <v>6840</v>
      </c>
      <c r="S671" s="1" t="s">
        <v>74</v>
      </c>
      <c r="T671" s="1" t="s">
        <v>74</v>
      </c>
      <c r="U671" s="1" t="s">
        <v>74</v>
      </c>
      <c r="V671" s="1" t="s">
        <v>74</v>
      </c>
      <c r="W671" s="1" t="s">
        <v>74</v>
      </c>
      <c r="X671" s="1" t="s">
        <v>74</v>
      </c>
      <c r="Y671" s="1" t="s">
        <v>74</v>
      </c>
      <c r="Z671" s="1" t="s">
        <v>74</v>
      </c>
      <c r="AA671" s="1" t="s">
        <v>6841</v>
      </c>
      <c r="AB671" s="1" t="s">
        <v>6842</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6843</v>
      </c>
      <c r="AP671" s="1" t="s">
        <v>6844</v>
      </c>
      <c r="AQ671" s="1" t="s">
        <v>74</v>
      </c>
      <c r="AR671" s="1" t="s">
        <v>74</v>
      </c>
      <c r="AS671" s="1" t="s">
        <v>74</v>
      </c>
      <c r="AT671" s="1" t="s">
        <v>745</v>
      </c>
      <c r="AU671" s="1">
        <v>2018.0</v>
      </c>
      <c r="AV671" s="1">
        <v>50.0</v>
      </c>
      <c r="AW671" s="1">
        <v>5.0</v>
      </c>
      <c r="AX671" s="1" t="s">
        <v>74</v>
      </c>
      <c r="AY671" s="1">
        <v>1.0</v>
      </c>
      <c r="AZ671" s="1" t="s">
        <v>74</v>
      </c>
      <c r="BA671" s="1">
        <v>933.0</v>
      </c>
      <c r="BB671" s="1">
        <v>216.0</v>
      </c>
      <c r="BC671" s="1">
        <v>216.0</v>
      </c>
      <c r="BD671" s="1" t="s">
        <v>74</v>
      </c>
      <c r="BE671" s="1" t="s">
        <v>74</v>
      </c>
      <c r="BF671" s="1" t="s">
        <v>74</v>
      </c>
      <c r="BG671" s="1" t="s">
        <v>74</v>
      </c>
      <c r="BH671" s="1" t="s">
        <v>74</v>
      </c>
      <c r="BI671" s="1" t="s">
        <v>74</v>
      </c>
      <c r="BJ671" s="1" t="s">
        <v>74</v>
      </c>
      <c r="BK671" s="1" t="s">
        <v>74</v>
      </c>
      <c r="BL671" s="1" t="s">
        <v>74</v>
      </c>
      <c r="BM671" s="1" t="s">
        <v>74</v>
      </c>
      <c r="BN671" s="1" t="s">
        <v>74</v>
      </c>
      <c r="BO671" s="1" t="s">
        <v>74</v>
      </c>
      <c r="BP671" s="1" t="s">
        <v>74</v>
      </c>
      <c r="BQ671" s="1" t="s">
        <v>74</v>
      </c>
      <c r="BR671" s="1" t="s">
        <v>74</v>
      </c>
      <c r="BS671" s="1" t="s">
        <v>6845</v>
      </c>
      <c r="BT671" s="1" t="str">
        <f>HYPERLINK("https%3A%2F%2Fwww.webofscience.com%2Fwos%2Fwoscc%2Ffull-record%2FWOS:000456870500670","View Full Record in Web of Science")</f>
        <v>View Full Record in Web of Science</v>
      </c>
    </row>
    <row r="672" ht="12.75" customHeight="1">
      <c r="A672" s="1" t="s">
        <v>72</v>
      </c>
      <c r="B672" s="1" t="s">
        <v>6846</v>
      </c>
      <c r="C672" s="1" t="s">
        <v>74</v>
      </c>
      <c r="D672" s="1" t="s">
        <v>74</v>
      </c>
      <c r="E672" s="1" t="s">
        <v>74</v>
      </c>
      <c r="F672" s="1" t="s">
        <v>6847</v>
      </c>
      <c r="G672" s="1" t="s">
        <v>74</v>
      </c>
      <c r="H672" s="1" t="s">
        <v>74</v>
      </c>
      <c r="I672" s="1" t="s">
        <v>6848</v>
      </c>
      <c r="J672" s="1" t="s">
        <v>6849</v>
      </c>
      <c r="K672" s="1" t="s">
        <v>74</v>
      </c>
      <c r="L672" s="1" t="s">
        <v>74</v>
      </c>
      <c r="M672" s="1" t="s">
        <v>74</v>
      </c>
      <c r="N672" s="1" t="s">
        <v>74</v>
      </c>
      <c r="O672" s="1" t="s">
        <v>74</v>
      </c>
      <c r="P672" s="1" t="s">
        <v>74</v>
      </c>
      <c r="Q672" s="1" t="s">
        <v>74</v>
      </c>
      <c r="R672" s="1" t="s">
        <v>74</v>
      </c>
      <c r="S672" s="1" t="s">
        <v>74</v>
      </c>
      <c r="T672" s="1" t="s">
        <v>74</v>
      </c>
      <c r="U672" s="1" t="s">
        <v>74</v>
      </c>
      <c r="V672" s="1" t="s">
        <v>6850</v>
      </c>
      <c r="W672" s="1" t="s">
        <v>74</v>
      </c>
      <c r="X672" s="1" t="s">
        <v>74</v>
      </c>
      <c r="Y672" s="1" t="s">
        <v>74</v>
      </c>
      <c r="Z672" s="1" t="s">
        <v>74</v>
      </c>
      <c r="AA672" s="1" t="s">
        <v>6851</v>
      </c>
      <c r="AB672" s="1" t="s">
        <v>6852</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74</v>
      </c>
      <c r="AP672" s="1" t="s">
        <v>6853</v>
      </c>
      <c r="AQ672" s="1" t="s">
        <v>74</v>
      </c>
      <c r="AR672" s="1" t="s">
        <v>74</v>
      </c>
      <c r="AS672" s="1" t="s">
        <v>74</v>
      </c>
      <c r="AT672" s="1" t="s">
        <v>408</v>
      </c>
      <c r="AU672" s="1">
        <v>2018.0</v>
      </c>
      <c r="AV672" s="1">
        <v>10.0</v>
      </c>
      <c r="AW672" s="1">
        <v>3.0</v>
      </c>
      <c r="AX672" s="1" t="s">
        <v>74</v>
      </c>
      <c r="AY672" s="1" t="s">
        <v>74</v>
      </c>
      <c r="AZ672" s="1" t="s">
        <v>74</v>
      </c>
      <c r="BA672" s="1" t="s">
        <v>74</v>
      </c>
      <c r="BB672" s="1" t="s">
        <v>74</v>
      </c>
      <c r="BC672" s="1" t="s">
        <v>74</v>
      </c>
      <c r="BD672" s="1">
        <v>358.0</v>
      </c>
      <c r="BE672" s="1" t="s">
        <v>6854</v>
      </c>
      <c r="BF672" s="2" t="str">
        <f>HYPERLINK("http://dx.doi.org/10.3390/nu10030358","http://dx.doi.org/10.3390/nu10030358")</f>
        <v>http://dx.doi.org/10.3390/nu10030358</v>
      </c>
      <c r="BG672" s="1" t="s">
        <v>74</v>
      </c>
      <c r="BH672" s="1" t="s">
        <v>74</v>
      </c>
      <c r="BI672" s="1" t="s">
        <v>74</v>
      </c>
      <c r="BJ672" s="1" t="s">
        <v>74</v>
      </c>
      <c r="BK672" s="1" t="s">
        <v>74</v>
      </c>
      <c r="BL672" s="1" t="s">
        <v>74</v>
      </c>
      <c r="BM672" s="1" t="s">
        <v>74</v>
      </c>
      <c r="BN672" s="1">
        <v>2.9547513E7</v>
      </c>
      <c r="BO672" s="1" t="s">
        <v>74</v>
      </c>
      <c r="BP672" s="1" t="s">
        <v>74</v>
      </c>
      <c r="BQ672" s="1" t="s">
        <v>74</v>
      </c>
      <c r="BR672" s="1" t="s">
        <v>74</v>
      </c>
      <c r="BS672" s="1" t="s">
        <v>6855</v>
      </c>
      <c r="BT672" s="1" t="str">
        <f>HYPERLINK("https%3A%2F%2Fwww.webofscience.com%2Fwos%2Fwoscc%2Ffull-record%2FWOS:000428405300099","View Full Record in Web of Science")</f>
        <v>View Full Record in Web of Science</v>
      </c>
    </row>
    <row r="673" ht="12.75" customHeight="1">
      <c r="A673" s="1" t="s">
        <v>72</v>
      </c>
      <c r="B673" s="1" t="s">
        <v>6856</v>
      </c>
      <c r="C673" s="1" t="s">
        <v>74</v>
      </c>
      <c r="D673" s="1" t="s">
        <v>74</v>
      </c>
      <c r="E673" s="1" t="s">
        <v>74</v>
      </c>
      <c r="F673" s="1" t="s">
        <v>6857</v>
      </c>
      <c r="G673" s="1" t="s">
        <v>74</v>
      </c>
      <c r="H673" s="1" t="s">
        <v>74</v>
      </c>
      <c r="I673" s="1" t="s">
        <v>6858</v>
      </c>
      <c r="J673" s="1" t="s">
        <v>6859</v>
      </c>
      <c r="K673" s="1" t="s">
        <v>74</v>
      </c>
      <c r="L673" s="1" t="s">
        <v>74</v>
      </c>
      <c r="M673" s="1" t="s">
        <v>74</v>
      </c>
      <c r="N673" s="1" t="s">
        <v>74</v>
      </c>
      <c r="O673" s="1" t="s">
        <v>74</v>
      </c>
      <c r="P673" s="1" t="s">
        <v>74</v>
      </c>
      <c r="Q673" s="1" t="s">
        <v>74</v>
      </c>
      <c r="R673" s="1" t="s">
        <v>74</v>
      </c>
      <c r="S673" s="1" t="s">
        <v>74</v>
      </c>
      <c r="T673" s="1" t="s">
        <v>74</v>
      </c>
      <c r="U673" s="1" t="s">
        <v>74</v>
      </c>
      <c r="V673" s="1" t="s">
        <v>6860</v>
      </c>
      <c r="W673" s="1" t="s">
        <v>74</v>
      </c>
      <c r="X673" s="1" t="s">
        <v>74</v>
      </c>
      <c r="Y673" s="1" t="s">
        <v>74</v>
      </c>
      <c r="Z673" s="1" t="s">
        <v>74</v>
      </c>
      <c r="AA673" s="1" t="s">
        <v>6861</v>
      </c>
      <c r="AB673" s="1" t="s">
        <v>6862</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6863</v>
      </c>
      <c r="AP673" s="1" t="s">
        <v>6864</v>
      </c>
      <c r="AQ673" s="1" t="s">
        <v>74</v>
      </c>
      <c r="AR673" s="1" t="s">
        <v>74</v>
      </c>
      <c r="AS673" s="1" t="s">
        <v>74</v>
      </c>
      <c r="AT673" s="1" t="s">
        <v>94</v>
      </c>
      <c r="AU673" s="1">
        <v>2017.0</v>
      </c>
      <c r="AV673" s="1">
        <v>17.0</v>
      </c>
      <c r="AW673" s="1">
        <v>2.0</v>
      </c>
      <c r="AX673" s="1" t="s">
        <v>74</v>
      </c>
      <c r="AY673" s="1" t="s">
        <v>74</v>
      </c>
      <c r="AZ673" s="1" t="s">
        <v>74</v>
      </c>
      <c r="BA673" s="1" t="s">
        <v>74</v>
      </c>
      <c r="BB673" s="1">
        <v>341.0</v>
      </c>
      <c r="BC673" s="1">
        <v>365.0</v>
      </c>
      <c r="BD673" s="1" t="s">
        <v>74</v>
      </c>
      <c r="BE673" s="1" t="s">
        <v>74</v>
      </c>
      <c r="BF673" s="1" t="s">
        <v>74</v>
      </c>
      <c r="BG673" s="1" t="s">
        <v>74</v>
      </c>
      <c r="BH673" s="1" t="s">
        <v>74</v>
      </c>
      <c r="BI673" s="1" t="s">
        <v>74</v>
      </c>
      <c r="BJ673" s="1" t="s">
        <v>74</v>
      </c>
      <c r="BK673" s="1" t="s">
        <v>74</v>
      </c>
      <c r="BL673" s="1" t="s">
        <v>74</v>
      </c>
      <c r="BM673" s="1" t="s">
        <v>74</v>
      </c>
      <c r="BN673" s="1" t="s">
        <v>74</v>
      </c>
      <c r="BO673" s="1" t="s">
        <v>74</v>
      </c>
      <c r="BP673" s="1" t="s">
        <v>74</v>
      </c>
      <c r="BQ673" s="1" t="s">
        <v>74</v>
      </c>
      <c r="BR673" s="1" t="s">
        <v>74</v>
      </c>
      <c r="BS673" s="1" t="s">
        <v>6865</v>
      </c>
      <c r="BT673" s="1" t="str">
        <f>HYPERLINK("https%3A%2F%2Fwww.webofscience.com%2Fwos%2Fwoscc%2Ffull-record%2FWOS:000408926400007","View Full Record in Web of Science")</f>
        <v>View Full Record in Web of Science</v>
      </c>
    </row>
    <row r="674" ht="12.75" customHeight="1">
      <c r="A674" s="1" t="s">
        <v>72</v>
      </c>
      <c r="B674" s="1" t="s">
        <v>6866</v>
      </c>
      <c r="C674" s="1" t="s">
        <v>74</v>
      </c>
      <c r="D674" s="1" t="s">
        <v>74</v>
      </c>
      <c r="E674" s="1" t="s">
        <v>74</v>
      </c>
      <c r="F674" s="1" t="s">
        <v>6867</v>
      </c>
      <c r="G674" s="1" t="s">
        <v>74</v>
      </c>
      <c r="H674" s="1" t="s">
        <v>74</v>
      </c>
      <c r="I674" s="1" t="s">
        <v>6868</v>
      </c>
      <c r="J674" s="1" t="s">
        <v>6869</v>
      </c>
      <c r="K674" s="1" t="s">
        <v>74</v>
      </c>
      <c r="L674" s="1" t="s">
        <v>74</v>
      </c>
      <c r="M674" s="1" t="s">
        <v>74</v>
      </c>
      <c r="N674" s="1" t="s">
        <v>74</v>
      </c>
      <c r="O674" s="1" t="s">
        <v>74</v>
      </c>
      <c r="P674" s="1" t="s">
        <v>74</v>
      </c>
      <c r="Q674" s="1" t="s">
        <v>74</v>
      </c>
      <c r="R674" s="1" t="s">
        <v>74</v>
      </c>
      <c r="S674" s="1" t="s">
        <v>74</v>
      </c>
      <c r="T674" s="1" t="s">
        <v>74</v>
      </c>
      <c r="U674" s="1" t="s">
        <v>74</v>
      </c>
      <c r="V674" s="1" t="s">
        <v>6870</v>
      </c>
      <c r="W674" s="1" t="s">
        <v>74</v>
      </c>
      <c r="X674" s="1" t="s">
        <v>74</v>
      </c>
      <c r="Y674" s="1" t="s">
        <v>74</v>
      </c>
      <c r="Z674" s="1" t="s">
        <v>74</v>
      </c>
      <c r="AA674" s="1" t="s">
        <v>6871</v>
      </c>
      <c r="AB674" s="1" t="s">
        <v>6872</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6873</v>
      </c>
      <c r="AP674" s="1" t="s">
        <v>6874</v>
      </c>
      <c r="AQ674" s="1" t="s">
        <v>74</v>
      </c>
      <c r="AR674" s="1" t="s">
        <v>74</v>
      </c>
      <c r="AS674" s="1" t="s">
        <v>74</v>
      </c>
      <c r="AT674" s="1" t="s">
        <v>74</v>
      </c>
      <c r="AU674" s="1">
        <v>2016.0</v>
      </c>
      <c r="AV674" s="1">
        <v>34.0</v>
      </c>
      <c r="AW674" s="1">
        <v>12.0</v>
      </c>
      <c r="AX674" s="1" t="s">
        <v>74</v>
      </c>
      <c r="AY674" s="1" t="s">
        <v>74</v>
      </c>
      <c r="AZ674" s="1" t="s">
        <v>74</v>
      </c>
      <c r="BA674" s="1" t="s">
        <v>74</v>
      </c>
      <c r="BB674" s="1">
        <v>2643.0</v>
      </c>
      <c r="BC674" s="1">
        <v>2657.0</v>
      </c>
      <c r="BD674" s="1" t="s">
        <v>74</v>
      </c>
      <c r="BE674" s="1" t="s">
        <v>6875</v>
      </c>
      <c r="BF674" s="2" t="str">
        <f>HYPERLINK("http://dx.doi.org/10.1080/07391102.2015.1124808","http://dx.doi.org/10.1080/07391102.2015.1124808")</f>
        <v>http://dx.doi.org/10.1080/07391102.2015.1124808</v>
      </c>
      <c r="BG674" s="1" t="s">
        <v>74</v>
      </c>
      <c r="BH674" s="1" t="s">
        <v>74</v>
      </c>
      <c r="BI674" s="1" t="s">
        <v>74</v>
      </c>
      <c r="BJ674" s="1" t="s">
        <v>74</v>
      </c>
      <c r="BK674" s="1" t="s">
        <v>74</v>
      </c>
      <c r="BL674" s="1" t="s">
        <v>74</v>
      </c>
      <c r="BM674" s="1" t="s">
        <v>74</v>
      </c>
      <c r="BN674" s="1">
        <v>2.6610257E7</v>
      </c>
      <c r="BO674" s="1" t="s">
        <v>74</v>
      </c>
      <c r="BP674" s="1" t="s">
        <v>74</v>
      </c>
      <c r="BQ674" s="1" t="s">
        <v>74</v>
      </c>
      <c r="BR674" s="1" t="s">
        <v>74</v>
      </c>
      <c r="BS674" s="1" t="s">
        <v>6876</v>
      </c>
      <c r="BT674" s="1" t="str">
        <f>HYPERLINK("https%3A%2F%2Fwww.webofscience.com%2Fwos%2Fwoscc%2Ffull-record%2FWOS:000386207100007","View Full Record in Web of Science")</f>
        <v>View Full Record in Web of Science</v>
      </c>
    </row>
    <row r="675" ht="12.75" customHeight="1">
      <c r="A675" s="1" t="s">
        <v>72</v>
      </c>
      <c r="B675" s="1" t="s">
        <v>6877</v>
      </c>
      <c r="C675" s="1" t="s">
        <v>74</v>
      </c>
      <c r="D675" s="1" t="s">
        <v>74</v>
      </c>
      <c r="E675" s="1" t="s">
        <v>74</v>
      </c>
      <c r="F675" s="1" t="s">
        <v>6878</v>
      </c>
      <c r="G675" s="1" t="s">
        <v>74</v>
      </c>
      <c r="H675" s="1" t="s">
        <v>74</v>
      </c>
      <c r="I675" s="1" t="s">
        <v>6879</v>
      </c>
      <c r="J675" s="1" t="s">
        <v>5578</v>
      </c>
      <c r="K675" s="1" t="s">
        <v>74</v>
      </c>
      <c r="L675" s="1" t="s">
        <v>74</v>
      </c>
      <c r="M675" s="1" t="s">
        <v>74</v>
      </c>
      <c r="N675" s="1" t="s">
        <v>74</v>
      </c>
      <c r="O675" s="1" t="s">
        <v>74</v>
      </c>
      <c r="P675" s="1" t="s">
        <v>74</v>
      </c>
      <c r="Q675" s="1" t="s">
        <v>74</v>
      </c>
      <c r="R675" s="1" t="s">
        <v>74</v>
      </c>
      <c r="S675" s="1" t="s">
        <v>74</v>
      </c>
      <c r="T675" s="1" t="s">
        <v>74</v>
      </c>
      <c r="U675" s="1" t="s">
        <v>74</v>
      </c>
      <c r="V675" s="1" t="s">
        <v>6880</v>
      </c>
      <c r="W675" s="1" t="s">
        <v>74</v>
      </c>
      <c r="X675" s="1" t="s">
        <v>74</v>
      </c>
      <c r="Y675" s="1" t="s">
        <v>74</v>
      </c>
      <c r="Z675" s="1" t="s">
        <v>74</v>
      </c>
      <c r="AA675" s="1" t="s">
        <v>6881</v>
      </c>
      <c r="AB675" s="1" t="s">
        <v>6882</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5582</v>
      </c>
      <c r="AP675" s="1" t="s">
        <v>5583</v>
      </c>
      <c r="AQ675" s="1" t="s">
        <v>74</v>
      </c>
      <c r="AR675" s="1" t="s">
        <v>74</v>
      </c>
      <c r="AS675" s="1" t="s">
        <v>74</v>
      </c>
      <c r="AT675" s="1" t="s">
        <v>6883</v>
      </c>
      <c r="AU675" s="1">
        <v>2015.0</v>
      </c>
      <c r="AV675" s="1">
        <v>117.0</v>
      </c>
      <c r="AW675" s="1">
        <v>22.0</v>
      </c>
      <c r="AX675" s="1" t="s">
        <v>74</v>
      </c>
      <c r="AY675" s="1" t="s">
        <v>74</v>
      </c>
      <c r="AZ675" s="1" t="s">
        <v>74</v>
      </c>
      <c r="BA675" s="1" t="s">
        <v>74</v>
      </c>
      <c r="BB675" s="1" t="s">
        <v>74</v>
      </c>
      <c r="BC675" s="1" t="s">
        <v>74</v>
      </c>
      <c r="BD675" s="1">
        <v>223901.0</v>
      </c>
      <c r="BE675" s="1" t="s">
        <v>6884</v>
      </c>
      <c r="BF675" s="2" t="str">
        <f>HYPERLINK("http://dx.doi.org/10.1063/1.4922284","http://dx.doi.org/10.1063/1.4922284")</f>
        <v>http://dx.doi.org/10.1063/1.4922284</v>
      </c>
      <c r="BG675" s="1" t="s">
        <v>74</v>
      </c>
      <c r="BH675" s="1" t="s">
        <v>74</v>
      </c>
      <c r="BI675" s="1" t="s">
        <v>74</v>
      </c>
      <c r="BJ675" s="1" t="s">
        <v>74</v>
      </c>
      <c r="BK675" s="1" t="s">
        <v>74</v>
      </c>
      <c r="BL675" s="1" t="s">
        <v>74</v>
      </c>
      <c r="BM675" s="1" t="s">
        <v>74</v>
      </c>
      <c r="BN675" s="1" t="s">
        <v>74</v>
      </c>
      <c r="BO675" s="1" t="s">
        <v>74</v>
      </c>
      <c r="BP675" s="1" t="s">
        <v>74</v>
      </c>
      <c r="BQ675" s="1" t="s">
        <v>74</v>
      </c>
      <c r="BR675" s="1" t="s">
        <v>74</v>
      </c>
      <c r="BS675" s="1" t="s">
        <v>6885</v>
      </c>
      <c r="BT675" s="1" t="str">
        <f>HYPERLINK("https%3A%2F%2Fwww.webofscience.com%2Fwos%2Fwoscc%2Ffull-record%2FWOS:000356176100011","View Full Record in Web of Science")</f>
        <v>View Full Record in Web of Science</v>
      </c>
    </row>
    <row r="676" ht="12.75" customHeight="1">
      <c r="A676" s="1" t="s">
        <v>72</v>
      </c>
      <c r="B676" s="1" t="s">
        <v>6886</v>
      </c>
      <c r="C676" s="1" t="s">
        <v>74</v>
      </c>
      <c r="D676" s="1" t="s">
        <v>74</v>
      </c>
      <c r="E676" s="1" t="s">
        <v>74</v>
      </c>
      <c r="F676" s="1" t="s">
        <v>6887</v>
      </c>
      <c r="G676" s="1" t="s">
        <v>74</v>
      </c>
      <c r="H676" s="1" t="s">
        <v>74</v>
      </c>
      <c r="I676" s="1" t="s">
        <v>6888</v>
      </c>
      <c r="J676" s="1" t="s">
        <v>6889</v>
      </c>
      <c r="K676" s="1" t="s">
        <v>74</v>
      </c>
      <c r="L676" s="1" t="s">
        <v>74</v>
      </c>
      <c r="M676" s="1" t="s">
        <v>74</v>
      </c>
      <c r="N676" s="1" t="s">
        <v>74</v>
      </c>
      <c r="O676" s="1" t="s">
        <v>74</v>
      </c>
      <c r="P676" s="1" t="s">
        <v>74</v>
      </c>
      <c r="Q676" s="1" t="s">
        <v>74</v>
      </c>
      <c r="R676" s="1" t="s">
        <v>74</v>
      </c>
      <c r="S676" s="1" t="s">
        <v>74</v>
      </c>
      <c r="T676" s="1" t="s">
        <v>74</v>
      </c>
      <c r="U676" s="1" t="s">
        <v>74</v>
      </c>
      <c r="V676" s="1" t="s">
        <v>6890</v>
      </c>
      <c r="W676" s="1" t="s">
        <v>74</v>
      </c>
      <c r="X676" s="1" t="s">
        <v>74</v>
      </c>
      <c r="Y676" s="1" t="s">
        <v>74</v>
      </c>
      <c r="Z676" s="1" t="s">
        <v>74</v>
      </c>
      <c r="AA676" s="1" t="s">
        <v>6891</v>
      </c>
      <c r="AB676" s="1" t="s">
        <v>6892</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6893</v>
      </c>
      <c r="AP676" s="1" t="s">
        <v>6894</v>
      </c>
      <c r="AQ676" s="1" t="s">
        <v>74</v>
      </c>
      <c r="AR676" s="1" t="s">
        <v>74</v>
      </c>
      <c r="AS676" s="1" t="s">
        <v>74</v>
      </c>
      <c r="AT676" s="1" t="s">
        <v>74</v>
      </c>
      <c r="AU676" s="1">
        <v>2015.0</v>
      </c>
      <c r="AV676" s="1">
        <v>13.0</v>
      </c>
      <c r="AW676" s="1">
        <v>2.0</v>
      </c>
      <c r="AX676" s="1" t="s">
        <v>74</v>
      </c>
      <c r="AY676" s="1" t="s">
        <v>74</v>
      </c>
      <c r="AZ676" s="1" t="s">
        <v>74</v>
      </c>
      <c r="BA676" s="1" t="s">
        <v>74</v>
      </c>
      <c r="BB676" s="1">
        <v>227.0</v>
      </c>
      <c r="BC676" s="1">
        <v>234.0</v>
      </c>
      <c r="BD676" s="1" t="s">
        <v>74</v>
      </c>
      <c r="BE676" s="1" t="s">
        <v>6895</v>
      </c>
      <c r="BF676" s="2" t="str">
        <f>HYPERLINK("http://dx.doi.org/10.1080/19476337.2014.944570","http://dx.doi.org/10.1080/19476337.2014.944570")</f>
        <v>http://dx.doi.org/10.1080/19476337.2014.944570</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6896</v>
      </c>
      <c r="BT676" s="1" t="str">
        <f>HYPERLINK("https%3A%2F%2Fwww.webofscience.com%2Fwos%2Fwoscc%2Ffull-record%2FWOS:000349004500010","View Full Record in Web of Science")</f>
        <v>View Full Record in Web of Science</v>
      </c>
    </row>
    <row r="677" ht="12.75" customHeight="1">
      <c r="A677" s="1" t="s">
        <v>207</v>
      </c>
      <c r="B677" s="1" t="s">
        <v>6897</v>
      </c>
      <c r="C677" s="1" t="s">
        <v>74</v>
      </c>
      <c r="D677" s="1" t="s">
        <v>6898</v>
      </c>
      <c r="E677" s="1" t="s">
        <v>74</v>
      </c>
      <c r="F677" s="1" t="s">
        <v>6899</v>
      </c>
      <c r="G677" s="1" t="s">
        <v>74</v>
      </c>
      <c r="H677" s="1" t="s">
        <v>74</v>
      </c>
      <c r="I677" s="1" t="s">
        <v>6900</v>
      </c>
      <c r="J677" s="1" t="s">
        <v>6901</v>
      </c>
      <c r="K677" s="1" t="s">
        <v>6902</v>
      </c>
      <c r="L677" s="1" t="s">
        <v>74</v>
      </c>
      <c r="M677" s="1" t="s">
        <v>74</v>
      </c>
      <c r="N677" s="1" t="s">
        <v>74</v>
      </c>
      <c r="O677" s="1" t="s">
        <v>6903</v>
      </c>
      <c r="P677" s="1" t="s">
        <v>6904</v>
      </c>
      <c r="Q677" s="1" t="s">
        <v>6905</v>
      </c>
      <c r="R677" s="1" t="s">
        <v>6906</v>
      </c>
      <c r="S677" s="1" t="s">
        <v>74</v>
      </c>
      <c r="T677" s="1" t="s">
        <v>74</v>
      </c>
      <c r="U677" s="1" t="s">
        <v>74</v>
      </c>
      <c r="V677" s="1" t="s">
        <v>74</v>
      </c>
      <c r="W677" s="1" t="s">
        <v>74</v>
      </c>
      <c r="X677" s="1" t="s">
        <v>74</v>
      </c>
      <c r="Y677" s="1" t="s">
        <v>74</v>
      </c>
      <c r="Z677" s="1" t="s">
        <v>74</v>
      </c>
      <c r="AA677" s="1" t="s">
        <v>6907</v>
      </c>
      <c r="AB677" s="1" t="s">
        <v>6908</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74</v>
      </c>
      <c r="AP677" s="1" t="s">
        <v>74</v>
      </c>
      <c r="AQ677" s="1" t="s">
        <v>6909</v>
      </c>
      <c r="AR677" s="1" t="s">
        <v>74</v>
      </c>
      <c r="AS677" s="1" t="s">
        <v>74</v>
      </c>
      <c r="AT677" s="1" t="s">
        <v>74</v>
      </c>
      <c r="AU677" s="1">
        <v>2015.0</v>
      </c>
      <c r="AV677" s="1" t="s">
        <v>74</v>
      </c>
      <c r="AW677" s="1" t="s">
        <v>74</v>
      </c>
      <c r="AX677" s="1" t="s">
        <v>74</v>
      </c>
      <c r="AY677" s="1" t="s">
        <v>74</v>
      </c>
      <c r="AZ677" s="1" t="s">
        <v>74</v>
      </c>
      <c r="BA677" s="1" t="s">
        <v>74</v>
      </c>
      <c r="BB677" s="1">
        <v>611.0</v>
      </c>
      <c r="BC677" s="1">
        <v>619.0</v>
      </c>
      <c r="BD677" s="1" t="s">
        <v>74</v>
      </c>
      <c r="BE677" s="1" t="s">
        <v>6910</v>
      </c>
      <c r="BF677" s="2" t="str">
        <f>HYPERLINK("http://dx.doi.org/10.1007/978-1-4939-2578-0_58","http://dx.doi.org/10.1007/978-1-4939-2578-0_58")</f>
        <v>http://dx.doi.org/10.1007/978-1-4939-2578-0_58</v>
      </c>
      <c r="BG677" s="1" t="s">
        <v>74</v>
      </c>
      <c r="BH677" s="1" t="s">
        <v>74</v>
      </c>
      <c r="BI677" s="1" t="s">
        <v>74</v>
      </c>
      <c r="BJ677" s="1" t="s">
        <v>74</v>
      </c>
      <c r="BK677" s="1" t="s">
        <v>74</v>
      </c>
      <c r="BL677" s="1" t="s">
        <v>74</v>
      </c>
      <c r="BM677" s="1" t="s">
        <v>74</v>
      </c>
      <c r="BN677" s="1" t="s">
        <v>74</v>
      </c>
      <c r="BO677" s="1" t="s">
        <v>74</v>
      </c>
      <c r="BP677" s="1" t="s">
        <v>74</v>
      </c>
      <c r="BQ677" s="1" t="s">
        <v>74</v>
      </c>
      <c r="BR677" s="1" t="s">
        <v>74</v>
      </c>
      <c r="BS677" s="1" t="s">
        <v>6911</v>
      </c>
      <c r="BT677" s="1" t="str">
        <f>HYPERLINK("https%3A%2F%2Fwww.webofscience.com%2Fwos%2Fwoscc%2Ffull-record%2FWOS:000380529900058","View Full Record in Web of Science")</f>
        <v>View Full Record in Web of Science</v>
      </c>
    </row>
    <row r="678" ht="12.75" customHeight="1">
      <c r="A678" s="1" t="s">
        <v>72</v>
      </c>
      <c r="B678" s="1" t="s">
        <v>6912</v>
      </c>
      <c r="C678" s="1" t="s">
        <v>74</v>
      </c>
      <c r="D678" s="1" t="s">
        <v>74</v>
      </c>
      <c r="E678" s="1" t="s">
        <v>74</v>
      </c>
      <c r="F678" s="1" t="s">
        <v>6913</v>
      </c>
      <c r="G678" s="1" t="s">
        <v>74</v>
      </c>
      <c r="H678" s="1" t="s">
        <v>74</v>
      </c>
      <c r="I678" s="1" t="s">
        <v>6914</v>
      </c>
      <c r="J678" s="1" t="s">
        <v>6915</v>
      </c>
      <c r="K678" s="1" t="s">
        <v>74</v>
      </c>
      <c r="L678" s="1" t="s">
        <v>74</v>
      </c>
      <c r="M678" s="1" t="s">
        <v>74</v>
      </c>
      <c r="N678" s="1" t="s">
        <v>74</v>
      </c>
      <c r="O678" s="1" t="s">
        <v>74</v>
      </c>
      <c r="P678" s="1" t="s">
        <v>74</v>
      </c>
      <c r="Q678" s="1" t="s">
        <v>74</v>
      </c>
      <c r="R678" s="1" t="s">
        <v>74</v>
      </c>
      <c r="S678" s="1" t="s">
        <v>74</v>
      </c>
      <c r="T678" s="1" t="s">
        <v>74</v>
      </c>
      <c r="U678" s="1" t="s">
        <v>74</v>
      </c>
      <c r="V678" s="1" t="s">
        <v>6916</v>
      </c>
      <c r="W678" s="1" t="s">
        <v>74</v>
      </c>
      <c r="X678" s="1" t="s">
        <v>74</v>
      </c>
      <c r="Y678" s="1" t="s">
        <v>74</v>
      </c>
      <c r="Z678" s="1" t="s">
        <v>74</v>
      </c>
      <c r="AA678" s="1" t="s">
        <v>6917</v>
      </c>
      <c r="AB678" s="1" t="s">
        <v>6918</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6919</v>
      </c>
      <c r="AP678" s="1" t="s">
        <v>6920</v>
      </c>
      <c r="AQ678" s="1" t="s">
        <v>74</v>
      </c>
      <c r="AR678" s="1" t="s">
        <v>74</v>
      </c>
      <c r="AS678" s="1" t="s">
        <v>74</v>
      </c>
      <c r="AT678" s="1" t="s">
        <v>1106</v>
      </c>
      <c r="AU678" s="1">
        <v>2015.0</v>
      </c>
      <c r="AV678" s="1">
        <v>87.0</v>
      </c>
      <c r="AW678" s="1" t="s">
        <v>74</v>
      </c>
      <c r="AX678" s="1" t="s">
        <v>74</v>
      </c>
      <c r="AY678" s="1" t="s">
        <v>74</v>
      </c>
      <c r="AZ678" s="1" t="s">
        <v>74</v>
      </c>
      <c r="BA678" s="1" t="s">
        <v>74</v>
      </c>
      <c r="BB678" s="1">
        <v>121.0</v>
      </c>
      <c r="BC678" s="1">
        <v>135.0</v>
      </c>
      <c r="BD678" s="1" t="s">
        <v>74</v>
      </c>
      <c r="BE678" s="1" t="s">
        <v>6921</v>
      </c>
      <c r="BF678" s="2" t="str">
        <f>HYPERLINK("http://dx.doi.org/10.1016/j.ijthermalsci.2014.08.008","http://dx.doi.org/10.1016/j.ijthermalsci.2014.08.008")</f>
        <v>http://dx.doi.org/10.1016/j.ijthermalsci.2014.08.008</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6922</v>
      </c>
      <c r="BT678" s="1" t="str">
        <f>HYPERLINK("https%3A%2F%2Fwww.webofscience.com%2Fwos%2Fwoscc%2Ffull-record%2FWOS:000344427600010","View Full Record in Web of Science")</f>
        <v>View Full Record in Web of Science</v>
      </c>
    </row>
    <row r="679" ht="12.75" customHeight="1">
      <c r="A679" s="1" t="s">
        <v>72</v>
      </c>
      <c r="B679" s="1" t="s">
        <v>6923</v>
      </c>
      <c r="C679" s="1" t="s">
        <v>74</v>
      </c>
      <c r="D679" s="1" t="s">
        <v>74</v>
      </c>
      <c r="E679" s="1" t="s">
        <v>74</v>
      </c>
      <c r="F679" s="1" t="s">
        <v>6924</v>
      </c>
      <c r="G679" s="1" t="s">
        <v>74</v>
      </c>
      <c r="H679" s="1" t="s">
        <v>74</v>
      </c>
      <c r="I679" s="1" t="s">
        <v>6925</v>
      </c>
      <c r="J679" s="1" t="s">
        <v>1497</v>
      </c>
      <c r="K679" s="1" t="s">
        <v>74</v>
      </c>
      <c r="L679" s="1" t="s">
        <v>74</v>
      </c>
      <c r="M679" s="1" t="s">
        <v>74</v>
      </c>
      <c r="N679" s="1" t="s">
        <v>74</v>
      </c>
      <c r="O679" s="1" t="s">
        <v>74</v>
      </c>
      <c r="P679" s="1" t="s">
        <v>74</v>
      </c>
      <c r="Q679" s="1" t="s">
        <v>74</v>
      </c>
      <c r="R679" s="1" t="s">
        <v>74</v>
      </c>
      <c r="S679" s="1" t="s">
        <v>74</v>
      </c>
      <c r="T679" s="1" t="s">
        <v>74</v>
      </c>
      <c r="U679" s="1" t="s">
        <v>74</v>
      </c>
      <c r="V679" s="1" t="s">
        <v>6926</v>
      </c>
      <c r="W679" s="1" t="s">
        <v>74</v>
      </c>
      <c r="X679" s="1" t="s">
        <v>74</v>
      </c>
      <c r="Y679" s="1" t="s">
        <v>74</v>
      </c>
      <c r="Z679" s="1" t="s">
        <v>74</v>
      </c>
      <c r="AA679" s="1" t="s">
        <v>6927</v>
      </c>
      <c r="AB679" s="1" t="s">
        <v>6928</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1501</v>
      </c>
      <c r="AP679" s="1" t="s">
        <v>74</v>
      </c>
      <c r="AQ679" s="1" t="s">
        <v>74</v>
      </c>
      <c r="AR679" s="1" t="s">
        <v>74</v>
      </c>
      <c r="AS679" s="1" t="s">
        <v>74</v>
      </c>
      <c r="AT679" s="1" t="s">
        <v>6929</v>
      </c>
      <c r="AU679" s="1">
        <v>2014.0</v>
      </c>
      <c r="AV679" s="1">
        <v>9.0</v>
      </c>
      <c r="AW679" s="1">
        <v>8.0</v>
      </c>
      <c r="AX679" s="1" t="s">
        <v>74</v>
      </c>
      <c r="AY679" s="1" t="s">
        <v>74</v>
      </c>
      <c r="AZ679" s="1" t="s">
        <v>74</v>
      </c>
      <c r="BA679" s="1" t="s">
        <v>74</v>
      </c>
      <c r="BB679" s="1" t="s">
        <v>74</v>
      </c>
      <c r="BC679" s="1" t="s">
        <v>74</v>
      </c>
      <c r="BD679" s="1" t="s">
        <v>6930</v>
      </c>
      <c r="BE679" s="1" t="s">
        <v>6931</v>
      </c>
      <c r="BF679" s="2" t="str">
        <f>HYPERLINK("http://dx.doi.org/10.1371/journal.pone.0105870","http://dx.doi.org/10.1371/journal.pone.0105870")</f>
        <v>http://dx.doi.org/10.1371/journal.pone.0105870</v>
      </c>
      <c r="BG679" s="1" t="s">
        <v>74</v>
      </c>
      <c r="BH679" s="1" t="s">
        <v>74</v>
      </c>
      <c r="BI679" s="1" t="s">
        <v>74</v>
      </c>
      <c r="BJ679" s="1" t="s">
        <v>74</v>
      </c>
      <c r="BK679" s="1" t="s">
        <v>74</v>
      </c>
      <c r="BL679" s="1" t="s">
        <v>74</v>
      </c>
      <c r="BM679" s="1" t="s">
        <v>74</v>
      </c>
      <c r="BN679" s="1">
        <v>2.5171185E7</v>
      </c>
      <c r="BO679" s="1" t="s">
        <v>74</v>
      </c>
      <c r="BP679" s="1" t="s">
        <v>74</v>
      </c>
      <c r="BQ679" s="1" t="s">
        <v>74</v>
      </c>
      <c r="BR679" s="1" t="s">
        <v>74</v>
      </c>
      <c r="BS679" s="1" t="s">
        <v>6932</v>
      </c>
      <c r="BT679" s="1" t="str">
        <f>HYPERLINK("https%3A%2F%2Fwww.webofscience.com%2Fwos%2Fwoscc%2Ffull-record%2FWOS:000341127500077","View Full Record in Web of Science")</f>
        <v>View Full Record in Web of Science</v>
      </c>
    </row>
    <row r="680" ht="12.75" customHeight="1">
      <c r="A680" s="1" t="s">
        <v>72</v>
      </c>
      <c r="B680" s="1" t="s">
        <v>6933</v>
      </c>
      <c r="C680" s="1" t="s">
        <v>74</v>
      </c>
      <c r="D680" s="1" t="s">
        <v>74</v>
      </c>
      <c r="E680" s="1" t="s">
        <v>74</v>
      </c>
      <c r="F680" s="1" t="s">
        <v>6934</v>
      </c>
      <c r="G680" s="1" t="s">
        <v>74</v>
      </c>
      <c r="H680" s="1" t="s">
        <v>74</v>
      </c>
      <c r="I680" s="1" t="s">
        <v>6935</v>
      </c>
      <c r="J680" s="1" t="s">
        <v>5527</v>
      </c>
      <c r="K680" s="1" t="s">
        <v>74</v>
      </c>
      <c r="L680" s="1" t="s">
        <v>74</v>
      </c>
      <c r="M680" s="1" t="s">
        <v>74</v>
      </c>
      <c r="N680" s="1" t="s">
        <v>74</v>
      </c>
      <c r="O680" s="1" t="s">
        <v>74</v>
      </c>
      <c r="P680" s="1" t="s">
        <v>74</v>
      </c>
      <c r="Q680" s="1" t="s">
        <v>74</v>
      </c>
      <c r="R680" s="1" t="s">
        <v>74</v>
      </c>
      <c r="S680" s="1" t="s">
        <v>74</v>
      </c>
      <c r="T680" s="1" t="s">
        <v>74</v>
      </c>
      <c r="U680" s="1" t="s">
        <v>74</v>
      </c>
      <c r="V680" s="1" t="s">
        <v>6936</v>
      </c>
      <c r="W680" s="1" t="s">
        <v>74</v>
      </c>
      <c r="X680" s="1" t="s">
        <v>74</v>
      </c>
      <c r="Y680" s="1" t="s">
        <v>74</v>
      </c>
      <c r="Z680" s="1" t="s">
        <v>74</v>
      </c>
      <c r="AA680" s="1" t="s">
        <v>6937</v>
      </c>
      <c r="AB680" s="1" t="s">
        <v>6938</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5531</v>
      </c>
      <c r="AP680" s="1" t="s">
        <v>74</v>
      </c>
      <c r="AQ680" s="1" t="s">
        <v>74</v>
      </c>
      <c r="AR680" s="1" t="s">
        <v>74</v>
      </c>
      <c r="AS680" s="1" t="s">
        <v>74</v>
      </c>
      <c r="AT680" s="1" t="s">
        <v>374</v>
      </c>
      <c r="AU680" s="1">
        <v>2012.0</v>
      </c>
      <c r="AV680" s="1">
        <v>69.0</v>
      </c>
      <c r="AW680" s="1">
        <v>8.0</v>
      </c>
      <c r="AX680" s="1" t="s">
        <v>74</v>
      </c>
      <c r="AY680" s="1" t="s">
        <v>74</v>
      </c>
      <c r="AZ680" s="1" t="s">
        <v>74</v>
      </c>
      <c r="BA680" s="1" t="s">
        <v>74</v>
      </c>
      <c r="BB680" s="1">
        <v>925.0</v>
      </c>
      <c r="BC680" s="1">
        <v>935.0</v>
      </c>
      <c r="BD680" s="1" t="s">
        <v>74</v>
      </c>
      <c r="BE680" s="1" t="s">
        <v>6939</v>
      </c>
      <c r="BF680" s="2" t="str">
        <f>HYPERLINK("http://dx.doi.org/10.1007/s00289-012-0771-5","http://dx.doi.org/10.1007/s00289-012-0771-5")</f>
        <v>http://dx.doi.org/10.1007/s00289-012-0771-5</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6940</v>
      </c>
      <c r="BT680" s="1" t="str">
        <f>HYPERLINK("https%3A%2F%2Fwww.webofscience.com%2Fwos%2Fwoscc%2Ffull-record%2FWOS:000309661900004","View Full Record in Web of Science")</f>
        <v>View Full Record in Web of Science</v>
      </c>
    </row>
    <row r="681" ht="12.75" customHeight="1">
      <c r="A681" s="1" t="s">
        <v>72</v>
      </c>
      <c r="B681" s="1" t="s">
        <v>6941</v>
      </c>
      <c r="C681" s="1" t="s">
        <v>74</v>
      </c>
      <c r="D681" s="1" t="s">
        <v>74</v>
      </c>
      <c r="E681" s="1" t="s">
        <v>74</v>
      </c>
      <c r="F681" s="1" t="s">
        <v>6942</v>
      </c>
      <c r="G681" s="1" t="s">
        <v>74</v>
      </c>
      <c r="H681" s="1" t="s">
        <v>74</v>
      </c>
      <c r="I681" s="1" t="s">
        <v>6943</v>
      </c>
      <c r="J681" s="1" t="s">
        <v>6670</v>
      </c>
      <c r="K681" s="1" t="s">
        <v>74</v>
      </c>
      <c r="L681" s="1" t="s">
        <v>74</v>
      </c>
      <c r="M681" s="1" t="s">
        <v>74</v>
      </c>
      <c r="N681" s="1" t="s">
        <v>74</v>
      </c>
      <c r="O681" s="1" t="s">
        <v>74</v>
      </c>
      <c r="P681" s="1" t="s">
        <v>74</v>
      </c>
      <c r="Q681" s="1" t="s">
        <v>74</v>
      </c>
      <c r="R681" s="1" t="s">
        <v>74</v>
      </c>
      <c r="S681" s="1" t="s">
        <v>74</v>
      </c>
      <c r="T681" s="1" t="s">
        <v>74</v>
      </c>
      <c r="U681" s="1" t="s">
        <v>74</v>
      </c>
      <c r="V681" s="1" t="s">
        <v>6944</v>
      </c>
      <c r="W681" s="1" t="s">
        <v>74</v>
      </c>
      <c r="X681" s="1" t="s">
        <v>74</v>
      </c>
      <c r="Y681" s="1" t="s">
        <v>74</v>
      </c>
      <c r="Z681" s="1" t="s">
        <v>74</v>
      </c>
      <c r="AA681" s="1" t="s">
        <v>6945</v>
      </c>
      <c r="AB681" s="1" t="s">
        <v>6946</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6674</v>
      </c>
      <c r="AP681" s="1" t="s">
        <v>6675</v>
      </c>
      <c r="AQ681" s="1" t="s">
        <v>74</v>
      </c>
      <c r="AR681" s="1" t="s">
        <v>74</v>
      </c>
      <c r="AS681" s="1" t="s">
        <v>74</v>
      </c>
      <c r="AT681" s="1" t="s">
        <v>4433</v>
      </c>
      <c r="AU681" s="1">
        <v>2012.0</v>
      </c>
      <c r="AV681" s="1">
        <v>50.0</v>
      </c>
      <c r="AW681" s="1" t="s">
        <v>5331</v>
      </c>
      <c r="AX681" s="1" t="s">
        <v>74</v>
      </c>
      <c r="AY681" s="1" t="s">
        <v>74</v>
      </c>
      <c r="AZ681" s="1" t="s">
        <v>74</v>
      </c>
      <c r="BA681" s="1" t="s">
        <v>74</v>
      </c>
      <c r="BB681" s="1">
        <v>744.0</v>
      </c>
      <c r="BC681" s="1">
        <v>749.0</v>
      </c>
      <c r="BD681" s="1" t="s">
        <v>74</v>
      </c>
      <c r="BE681" s="1" t="s">
        <v>6947</v>
      </c>
      <c r="BF681" s="2" t="str">
        <f>HYPERLINK("http://dx.doi.org/10.1016/j.fct.2011.11.024","http://dx.doi.org/10.1016/j.fct.2011.11.024")</f>
        <v>http://dx.doi.org/10.1016/j.fct.2011.11.024</v>
      </c>
      <c r="BG681" s="1" t="s">
        <v>74</v>
      </c>
      <c r="BH681" s="1" t="s">
        <v>74</v>
      </c>
      <c r="BI681" s="1" t="s">
        <v>74</v>
      </c>
      <c r="BJ681" s="1" t="s">
        <v>74</v>
      </c>
      <c r="BK681" s="1" t="s">
        <v>74</v>
      </c>
      <c r="BL681" s="1" t="s">
        <v>74</v>
      </c>
      <c r="BM681" s="1" t="s">
        <v>74</v>
      </c>
      <c r="BN681" s="1">
        <v>2.2138359E7</v>
      </c>
      <c r="BO681" s="1" t="s">
        <v>74</v>
      </c>
      <c r="BP681" s="1" t="s">
        <v>74</v>
      </c>
      <c r="BQ681" s="1" t="s">
        <v>74</v>
      </c>
      <c r="BR681" s="1" t="s">
        <v>74</v>
      </c>
      <c r="BS681" s="1" t="s">
        <v>6948</v>
      </c>
      <c r="BT681" s="1" t="str">
        <f>HYPERLINK("https%3A%2F%2Fwww.webofscience.com%2Fwos%2Fwoscc%2Ffull-record%2FWOS:000303284600045","View Full Record in Web of Science")</f>
        <v>View Full Record in Web of Science</v>
      </c>
    </row>
    <row r="682" ht="12.75" customHeight="1">
      <c r="A682" s="1" t="s">
        <v>72</v>
      </c>
      <c r="B682" s="1" t="s">
        <v>6949</v>
      </c>
      <c r="C682" s="1" t="s">
        <v>74</v>
      </c>
      <c r="D682" s="1" t="s">
        <v>74</v>
      </c>
      <c r="E682" s="1" t="s">
        <v>74</v>
      </c>
      <c r="F682" s="1" t="s">
        <v>6950</v>
      </c>
      <c r="G682" s="1" t="s">
        <v>74</v>
      </c>
      <c r="H682" s="1" t="s">
        <v>74</v>
      </c>
      <c r="I682" s="1" t="s">
        <v>6951</v>
      </c>
      <c r="J682" s="1" t="s">
        <v>6952</v>
      </c>
      <c r="K682" s="1" t="s">
        <v>74</v>
      </c>
      <c r="L682" s="1" t="s">
        <v>74</v>
      </c>
      <c r="M682" s="1" t="s">
        <v>74</v>
      </c>
      <c r="N682" s="1" t="s">
        <v>74</v>
      </c>
      <c r="O682" s="1" t="s">
        <v>74</v>
      </c>
      <c r="P682" s="1" t="s">
        <v>74</v>
      </c>
      <c r="Q682" s="1" t="s">
        <v>74</v>
      </c>
      <c r="R682" s="1" t="s">
        <v>74</v>
      </c>
      <c r="S682" s="1" t="s">
        <v>74</v>
      </c>
      <c r="T682" s="1" t="s">
        <v>74</v>
      </c>
      <c r="U682" s="1" t="s">
        <v>74</v>
      </c>
      <c r="V682" s="1" t="s">
        <v>6953</v>
      </c>
      <c r="W682" s="1" t="s">
        <v>74</v>
      </c>
      <c r="X682" s="1" t="s">
        <v>74</v>
      </c>
      <c r="Y682" s="1" t="s">
        <v>74</v>
      </c>
      <c r="Z682" s="1" t="s">
        <v>74</v>
      </c>
      <c r="AA682" s="1" t="s">
        <v>6954</v>
      </c>
      <c r="AB682" s="1" t="s">
        <v>6955</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6956</v>
      </c>
      <c r="AP682" s="1" t="s">
        <v>6957</v>
      </c>
      <c r="AQ682" s="1" t="s">
        <v>74</v>
      </c>
      <c r="AR682" s="1" t="s">
        <v>74</v>
      </c>
      <c r="AS682" s="1" t="s">
        <v>74</v>
      </c>
      <c r="AT682" s="1" t="s">
        <v>1279</v>
      </c>
      <c r="AU682" s="1">
        <v>2010.0</v>
      </c>
      <c r="AV682" s="1">
        <v>101.0</v>
      </c>
      <c r="AW682" s="1">
        <v>7.0</v>
      </c>
      <c r="AX682" s="1" t="s">
        <v>74</v>
      </c>
      <c r="AY682" s="1" t="s">
        <v>74</v>
      </c>
      <c r="AZ682" s="1" t="s">
        <v>74</v>
      </c>
      <c r="BA682" s="1" t="s">
        <v>74</v>
      </c>
      <c r="BB682" s="1">
        <v>2375.0</v>
      </c>
      <c r="BC682" s="1">
        <v>2378.0</v>
      </c>
      <c r="BD682" s="1" t="s">
        <v>74</v>
      </c>
      <c r="BE682" s="1" t="s">
        <v>6958</v>
      </c>
      <c r="BF682" s="2" t="str">
        <f>HYPERLINK("http://dx.doi.org/10.1016/j.biortech.2009.11.086","http://dx.doi.org/10.1016/j.biortech.2009.11.086")</f>
        <v>http://dx.doi.org/10.1016/j.biortech.2009.11.086</v>
      </c>
      <c r="BG682" s="1" t="s">
        <v>74</v>
      </c>
      <c r="BH682" s="1" t="s">
        <v>74</v>
      </c>
      <c r="BI682" s="1" t="s">
        <v>74</v>
      </c>
      <c r="BJ682" s="1" t="s">
        <v>74</v>
      </c>
      <c r="BK682" s="1" t="s">
        <v>74</v>
      </c>
      <c r="BL682" s="1" t="s">
        <v>74</v>
      </c>
      <c r="BM682" s="1" t="s">
        <v>74</v>
      </c>
      <c r="BN682" s="1">
        <v>2.0034786E7</v>
      </c>
      <c r="BO682" s="1" t="s">
        <v>74</v>
      </c>
      <c r="BP682" s="1" t="s">
        <v>74</v>
      </c>
      <c r="BQ682" s="1" t="s">
        <v>74</v>
      </c>
      <c r="BR682" s="1" t="s">
        <v>74</v>
      </c>
      <c r="BS682" s="1" t="s">
        <v>6959</v>
      </c>
      <c r="BT682" s="1" t="str">
        <f>HYPERLINK("https%3A%2F%2Fwww.webofscience.com%2Fwos%2Fwoscc%2Ffull-record%2FWOS:000274609900043","View Full Record in Web of Science")</f>
        <v>View Full Record in Web of Science</v>
      </c>
    </row>
    <row r="683" ht="12.75" customHeight="1">
      <c r="A683" s="1" t="s">
        <v>72</v>
      </c>
      <c r="B683" s="1" t="s">
        <v>6960</v>
      </c>
      <c r="C683" s="1" t="s">
        <v>74</v>
      </c>
      <c r="D683" s="1" t="s">
        <v>74</v>
      </c>
      <c r="E683" s="1" t="s">
        <v>74</v>
      </c>
      <c r="F683" s="1" t="s">
        <v>6961</v>
      </c>
      <c r="G683" s="1" t="s">
        <v>74</v>
      </c>
      <c r="H683" s="1" t="s">
        <v>74</v>
      </c>
      <c r="I683" s="1" t="s">
        <v>6962</v>
      </c>
      <c r="J683" s="1" t="s">
        <v>886</v>
      </c>
      <c r="K683" s="1" t="s">
        <v>74</v>
      </c>
      <c r="L683" s="1" t="s">
        <v>74</v>
      </c>
      <c r="M683" s="1" t="s">
        <v>74</v>
      </c>
      <c r="N683" s="1" t="s">
        <v>74</v>
      </c>
      <c r="O683" s="1" t="s">
        <v>74</v>
      </c>
      <c r="P683" s="1" t="s">
        <v>74</v>
      </c>
      <c r="Q683" s="1" t="s">
        <v>74</v>
      </c>
      <c r="R683" s="1" t="s">
        <v>74</v>
      </c>
      <c r="S683" s="1" t="s">
        <v>74</v>
      </c>
      <c r="T683" s="1" t="s">
        <v>74</v>
      </c>
      <c r="U683" s="1" t="s">
        <v>74</v>
      </c>
      <c r="V683" s="1" t="s">
        <v>6963</v>
      </c>
      <c r="W683" s="1" t="s">
        <v>74</v>
      </c>
      <c r="X683" s="1" t="s">
        <v>74</v>
      </c>
      <c r="Y683" s="1" t="s">
        <v>74</v>
      </c>
      <c r="Z683" s="1" t="s">
        <v>74</v>
      </c>
      <c r="AA683" s="1" t="s">
        <v>6964</v>
      </c>
      <c r="AB683" s="1" t="s">
        <v>6965</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890</v>
      </c>
      <c r="AP683" s="1" t="s">
        <v>74</v>
      </c>
      <c r="AQ683" s="1" t="s">
        <v>74</v>
      </c>
      <c r="AR683" s="1" t="s">
        <v>74</v>
      </c>
      <c r="AS683" s="1" t="s">
        <v>74</v>
      </c>
      <c r="AT683" s="1" t="s">
        <v>3849</v>
      </c>
      <c r="AU683" s="1">
        <v>2010.0</v>
      </c>
      <c r="AV683" s="1">
        <v>9.0</v>
      </c>
      <c r="AW683" s="1">
        <v>1.0</v>
      </c>
      <c r="AX683" s="1" t="s">
        <v>74</v>
      </c>
      <c r="AY683" s="1" t="s">
        <v>74</v>
      </c>
      <c r="AZ683" s="1" t="s">
        <v>74</v>
      </c>
      <c r="BA683" s="1" t="s">
        <v>74</v>
      </c>
      <c r="BB683" s="1">
        <v>149.0</v>
      </c>
      <c r="BC683" s="1">
        <v>160.0</v>
      </c>
      <c r="BD683" s="1" t="s">
        <v>74</v>
      </c>
      <c r="BE683" s="1" t="s">
        <v>6966</v>
      </c>
      <c r="BF683" s="2" t="str">
        <f>HYPERLINK("http://dx.doi.org/10.11144/Javeriana.upsy9-1.spai","http://dx.doi.org/10.11144/Javeriana.upsy9-1.spai")</f>
        <v>http://dx.doi.org/10.11144/Javeriana.upsy9-1.spai</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6967</v>
      </c>
      <c r="BT683" s="1" t="str">
        <f>HYPERLINK("https%3A%2F%2Fwww.webofscience.com%2Fwos%2Fwoscc%2Ffull-record%2FWOS:000275162200013","View Full Record in Web of Science")</f>
        <v>View Full Record in Web of Science</v>
      </c>
    </row>
    <row r="684" ht="12.75" customHeight="1">
      <c r="A684" s="1" t="s">
        <v>72</v>
      </c>
      <c r="B684" s="1" t="s">
        <v>6968</v>
      </c>
      <c r="C684" s="1" t="s">
        <v>74</v>
      </c>
      <c r="D684" s="1" t="s">
        <v>74</v>
      </c>
      <c r="E684" s="1" t="s">
        <v>74</v>
      </c>
      <c r="F684" s="1" t="s">
        <v>6969</v>
      </c>
      <c r="G684" s="1" t="s">
        <v>74</v>
      </c>
      <c r="H684" s="1" t="s">
        <v>74</v>
      </c>
      <c r="I684" s="1" t="s">
        <v>6970</v>
      </c>
      <c r="J684" s="1" t="s">
        <v>876</v>
      </c>
      <c r="K684" s="1" t="s">
        <v>74</v>
      </c>
      <c r="L684" s="1" t="s">
        <v>74</v>
      </c>
      <c r="M684" s="1" t="s">
        <v>74</v>
      </c>
      <c r="N684" s="1" t="s">
        <v>74</v>
      </c>
      <c r="O684" s="1" t="s">
        <v>74</v>
      </c>
      <c r="P684" s="1" t="s">
        <v>74</v>
      </c>
      <c r="Q684" s="1" t="s">
        <v>74</v>
      </c>
      <c r="R684" s="1" t="s">
        <v>74</v>
      </c>
      <c r="S684" s="1" t="s">
        <v>74</v>
      </c>
      <c r="T684" s="1" t="s">
        <v>74</v>
      </c>
      <c r="U684" s="1" t="s">
        <v>74</v>
      </c>
      <c r="V684" s="1" t="s">
        <v>6971</v>
      </c>
      <c r="W684" s="1" t="s">
        <v>74</v>
      </c>
      <c r="X684" s="1" t="s">
        <v>74</v>
      </c>
      <c r="Y684" s="1" t="s">
        <v>74</v>
      </c>
      <c r="Z684" s="1" t="s">
        <v>74</v>
      </c>
      <c r="AA684" s="1" t="s">
        <v>6972</v>
      </c>
      <c r="AB684" s="1" t="s">
        <v>6973</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880</v>
      </c>
      <c r="AP684" s="1" t="s">
        <v>74</v>
      </c>
      <c r="AQ684" s="1" t="s">
        <v>74</v>
      </c>
      <c r="AR684" s="1" t="s">
        <v>74</v>
      </c>
      <c r="AS684" s="1" t="s">
        <v>74</v>
      </c>
      <c r="AT684" s="1" t="s">
        <v>374</v>
      </c>
      <c r="AU684" s="1">
        <v>2007.0</v>
      </c>
      <c r="AV684" s="1">
        <v>50.0</v>
      </c>
      <c r="AW684" s="1">
        <v>6.0</v>
      </c>
      <c r="AX684" s="1" t="s">
        <v>74</v>
      </c>
      <c r="AY684" s="1" t="s">
        <v>74</v>
      </c>
      <c r="AZ684" s="1" t="s">
        <v>74</v>
      </c>
      <c r="BA684" s="1" t="s">
        <v>74</v>
      </c>
      <c r="BB684" s="1">
        <v>731.0</v>
      </c>
      <c r="BC684" s="1">
        <v>739.0</v>
      </c>
      <c r="BD684" s="1" t="s">
        <v>74</v>
      </c>
      <c r="BE684" s="1" t="s">
        <v>6974</v>
      </c>
      <c r="BF684" s="2" t="str">
        <f>HYPERLINK("http://dx.doi.org/10.1016/j.toxicon.2007.06.007","http://dx.doi.org/10.1016/j.toxicon.2007.06.007")</f>
        <v>http://dx.doi.org/10.1016/j.toxicon.2007.06.007</v>
      </c>
      <c r="BG684" s="1" t="s">
        <v>74</v>
      </c>
      <c r="BH684" s="1" t="s">
        <v>74</v>
      </c>
      <c r="BI684" s="1" t="s">
        <v>74</v>
      </c>
      <c r="BJ684" s="1" t="s">
        <v>74</v>
      </c>
      <c r="BK684" s="1" t="s">
        <v>74</v>
      </c>
      <c r="BL684" s="1" t="s">
        <v>74</v>
      </c>
      <c r="BM684" s="1" t="s">
        <v>74</v>
      </c>
      <c r="BN684" s="1">
        <v>1.7681582E7</v>
      </c>
      <c r="BO684" s="1" t="s">
        <v>74</v>
      </c>
      <c r="BP684" s="1" t="s">
        <v>74</v>
      </c>
      <c r="BQ684" s="1" t="s">
        <v>74</v>
      </c>
      <c r="BR684" s="1" t="s">
        <v>74</v>
      </c>
      <c r="BS684" s="1" t="s">
        <v>6975</v>
      </c>
      <c r="BT684" s="1" t="str">
        <f>HYPERLINK("https%3A%2F%2Fwww.webofscience.com%2Fwos%2Fwoscc%2Ffull-record%2FWOS:000250495100001","View Full Record in Web of Science")</f>
        <v>View Full Record in Web of Science</v>
      </c>
    </row>
    <row r="685" ht="12.75" customHeight="1">
      <c r="A685" s="1" t="s">
        <v>72</v>
      </c>
      <c r="B685" s="1" t="s">
        <v>6976</v>
      </c>
      <c r="C685" s="1" t="s">
        <v>74</v>
      </c>
      <c r="D685" s="1" t="s">
        <v>74</v>
      </c>
      <c r="E685" s="1" t="s">
        <v>74</v>
      </c>
      <c r="F685" s="1" t="s">
        <v>6976</v>
      </c>
      <c r="G685" s="1" t="s">
        <v>74</v>
      </c>
      <c r="H685" s="1" t="s">
        <v>74</v>
      </c>
      <c r="I685" s="1" t="s">
        <v>6977</v>
      </c>
      <c r="J685" s="1" t="s">
        <v>6978</v>
      </c>
      <c r="K685" s="1" t="s">
        <v>74</v>
      </c>
      <c r="L685" s="1" t="s">
        <v>74</v>
      </c>
      <c r="M685" s="1" t="s">
        <v>74</v>
      </c>
      <c r="N685" s="1" t="s">
        <v>74</v>
      </c>
      <c r="O685" s="1" t="s">
        <v>74</v>
      </c>
      <c r="P685" s="1" t="s">
        <v>74</v>
      </c>
      <c r="Q685" s="1" t="s">
        <v>74</v>
      </c>
      <c r="R685" s="1" t="s">
        <v>74</v>
      </c>
      <c r="S685" s="1" t="s">
        <v>74</v>
      </c>
      <c r="T685" s="1" t="s">
        <v>74</v>
      </c>
      <c r="U685" s="1" t="s">
        <v>74</v>
      </c>
      <c r="V685" s="1" t="s">
        <v>6979</v>
      </c>
      <c r="W685" s="1" t="s">
        <v>74</v>
      </c>
      <c r="X685" s="1" t="s">
        <v>74</v>
      </c>
      <c r="Y685" s="1" t="s">
        <v>74</v>
      </c>
      <c r="Z685" s="1" t="s">
        <v>74</v>
      </c>
      <c r="AA685" s="1" t="s">
        <v>74</v>
      </c>
      <c r="AB685" s="1" t="s">
        <v>74</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6980</v>
      </c>
      <c r="AP685" s="1" t="s">
        <v>74</v>
      </c>
      <c r="AQ685" s="1" t="s">
        <v>74</v>
      </c>
      <c r="AR685" s="1" t="s">
        <v>74</v>
      </c>
      <c r="AS685" s="1" t="s">
        <v>74</v>
      </c>
      <c r="AT685" s="1" t="s">
        <v>374</v>
      </c>
      <c r="AU685" s="1">
        <v>2003.0</v>
      </c>
      <c r="AV685" s="1">
        <v>22.0</v>
      </c>
      <c r="AW685" s="1">
        <v>11.0</v>
      </c>
      <c r="AX685" s="1" t="s">
        <v>74</v>
      </c>
      <c r="AY685" s="1" t="s">
        <v>74</v>
      </c>
      <c r="AZ685" s="1" t="s">
        <v>74</v>
      </c>
      <c r="BA685" s="1" t="s">
        <v>74</v>
      </c>
      <c r="BB685" s="1">
        <v>1271.0</v>
      </c>
      <c r="BC685" s="1">
        <v>1275.0</v>
      </c>
      <c r="BD685" s="1" t="s">
        <v>74</v>
      </c>
      <c r="BE685" s="1" t="s">
        <v>6981</v>
      </c>
      <c r="BF685" s="2" t="str">
        <f>HYPERLINK("http://dx.doi.org/10.7863/jum.2003.22.11.1271","http://dx.doi.org/10.7863/jum.2003.22.11.1271")</f>
        <v>http://dx.doi.org/10.7863/jum.2003.22.11.1271</v>
      </c>
      <c r="BG685" s="1" t="s">
        <v>74</v>
      </c>
      <c r="BH685" s="1" t="s">
        <v>74</v>
      </c>
      <c r="BI685" s="1" t="s">
        <v>74</v>
      </c>
      <c r="BJ685" s="1" t="s">
        <v>74</v>
      </c>
      <c r="BK685" s="1" t="s">
        <v>74</v>
      </c>
      <c r="BL685" s="1" t="s">
        <v>74</v>
      </c>
      <c r="BM685" s="1" t="s">
        <v>74</v>
      </c>
      <c r="BN685" s="1">
        <v>1.4620898E7</v>
      </c>
      <c r="BO685" s="1" t="s">
        <v>74</v>
      </c>
      <c r="BP685" s="1" t="s">
        <v>74</v>
      </c>
      <c r="BQ685" s="1" t="s">
        <v>74</v>
      </c>
      <c r="BR685" s="1" t="s">
        <v>74</v>
      </c>
      <c r="BS685" s="1" t="s">
        <v>6982</v>
      </c>
      <c r="BT685" s="1" t="str">
        <f>HYPERLINK("https%3A%2F%2Fwww.webofscience.com%2Fwos%2Fwoscc%2Ffull-record%2FWOS:000186284000016","View Full Record in Web of Science")</f>
        <v>View Full Record in Web of Science</v>
      </c>
    </row>
    <row r="686" ht="12.75" customHeight="1">
      <c r="A686" s="1" t="s">
        <v>72</v>
      </c>
      <c r="B686" s="1" t="s">
        <v>6983</v>
      </c>
      <c r="C686" s="1" t="s">
        <v>74</v>
      </c>
      <c r="D686" s="1" t="s">
        <v>74</v>
      </c>
      <c r="E686" s="1" t="s">
        <v>74</v>
      </c>
      <c r="F686" s="1" t="s">
        <v>6983</v>
      </c>
      <c r="G686" s="1" t="s">
        <v>74</v>
      </c>
      <c r="H686" s="1" t="s">
        <v>74</v>
      </c>
      <c r="I686" s="1" t="s">
        <v>6984</v>
      </c>
      <c r="J686" s="1" t="s">
        <v>6631</v>
      </c>
      <c r="K686" s="1" t="s">
        <v>74</v>
      </c>
      <c r="L686" s="1" t="s">
        <v>74</v>
      </c>
      <c r="M686" s="1" t="s">
        <v>74</v>
      </c>
      <c r="N686" s="1" t="s">
        <v>74</v>
      </c>
      <c r="O686" s="1" t="s">
        <v>74</v>
      </c>
      <c r="P686" s="1" t="s">
        <v>74</v>
      </c>
      <c r="Q686" s="1" t="s">
        <v>74</v>
      </c>
      <c r="R686" s="1" t="s">
        <v>74</v>
      </c>
      <c r="S686" s="1" t="s">
        <v>74</v>
      </c>
      <c r="T686" s="1" t="s">
        <v>74</v>
      </c>
      <c r="U686" s="1" t="s">
        <v>74</v>
      </c>
      <c r="V686" s="1" t="s">
        <v>6985</v>
      </c>
      <c r="W686" s="1" t="s">
        <v>74</v>
      </c>
      <c r="X686" s="1" t="s">
        <v>74</v>
      </c>
      <c r="Y686" s="1" t="s">
        <v>74</v>
      </c>
      <c r="Z686" s="1" t="s">
        <v>74</v>
      </c>
      <c r="AA686" s="1" t="s">
        <v>74</v>
      </c>
      <c r="AB686" s="1" t="s">
        <v>74</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6634</v>
      </c>
      <c r="AP686" s="1" t="s">
        <v>74</v>
      </c>
      <c r="AQ686" s="1" t="s">
        <v>74</v>
      </c>
      <c r="AR686" s="1" t="s">
        <v>74</v>
      </c>
      <c r="AS686" s="1" t="s">
        <v>74</v>
      </c>
      <c r="AT686" s="1" t="s">
        <v>2208</v>
      </c>
      <c r="AU686" s="1">
        <v>2002.0</v>
      </c>
      <c r="AV686" s="1">
        <v>38.0</v>
      </c>
      <c r="AW686" s="1">
        <v>1.0</v>
      </c>
      <c r="AX686" s="1" t="s">
        <v>74</v>
      </c>
      <c r="AY686" s="1" t="s">
        <v>74</v>
      </c>
      <c r="AZ686" s="1" t="s">
        <v>74</v>
      </c>
      <c r="BA686" s="1" t="s">
        <v>74</v>
      </c>
      <c r="BB686" s="1">
        <v>23.0</v>
      </c>
      <c r="BC686" s="1">
        <v>29.0</v>
      </c>
      <c r="BD686" s="1" t="s">
        <v>74</v>
      </c>
      <c r="BE686" s="1" t="s">
        <v>6986</v>
      </c>
      <c r="BF686" s="2" t="str">
        <f>HYPERLINK("http://dx.doi.org/10.3989/revmetalm.2002.v38.i1.379","http://dx.doi.org/10.3989/revmetalm.2002.v38.i1.379")</f>
        <v>http://dx.doi.org/10.3989/revmetalm.2002.v38.i1.379</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6987</v>
      </c>
      <c r="BT686" s="1" t="str">
        <f>HYPERLINK("https%3A%2F%2Fwww.webofscience.com%2Fwos%2Fwoscc%2Ffull-record%2FWOS:000174693200003","View Full Record in Web of Science")</f>
        <v>View Full Record in Web of Science</v>
      </c>
    </row>
    <row r="687" ht="12.75" customHeight="1">
      <c r="A687" s="1" t="s">
        <v>72</v>
      </c>
      <c r="B687" s="1" t="s">
        <v>6988</v>
      </c>
      <c r="C687" s="1" t="s">
        <v>74</v>
      </c>
      <c r="D687" s="1" t="s">
        <v>74</v>
      </c>
      <c r="E687" s="1" t="s">
        <v>74</v>
      </c>
      <c r="F687" s="1" t="s">
        <v>6989</v>
      </c>
      <c r="G687" s="1" t="s">
        <v>74</v>
      </c>
      <c r="H687" s="1" t="s">
        <v>74</v>
      </c>
      <c r="I687" s="1" t="s">
        <v>6990</v>
      </c>
      <c r="J687" s="1" t="s">
        <v>6991</v>
      </c>
      <c r="K687" s="1" t="s">
        <v>74</v>
      </c>
      <c r="L687" s="1" t="s">
        <v>74</v>
      </c>
      <c r="M687" s="1" t="s">
        <v>74</v>
      </c>
      <c r="N687" s="1" t="s">
        <v>74</v>
      </c>
      <c r="O687" s="1" t="s">
        <v>74</v>
      </c>
      <c r="P687" s="1" t="s">
        <v>74</v>
      </c>
      <c r="Q687" s="1" t="s">
        <v>74</v>
      </c>
      <c r="R687" s="1" t="s">
        <v>74</v>
      </c>
      <c r="S687" s="1" t="s">
        <v>74</v>
      </c>
      <c r="T687" s="1" t="s">
        <v>74</v>
      </c>
      <c r="U687" s="1" t="s">
        <v>74</v>
      </c>
      <c r="V687" s="1" t="s">
        <v>6992</v>
      </c>
      <c r="W687" s="1" t="s">
        <v>74</v>
      </c>
      <c r="X687" s="1" t="s">
        <v>74</v>
      </c>
      <c r="Y687" s="1" t="s">
        <v>74</v>
      </c>
      <c r="Z687" s="1" t="s">
        <v>74</v>
      </c>
      <c r="AA687" s="1" t="s">
        <v>6993</v>
      </c>
      <c r="AB687" s="1" t="s">
        <v>6994</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6995</v>
      </c>
      <c r="AP687" s="1" t="s">
        <v>6996</v>
      </c>
      <c r="AQ687" s="1" t="s">
        <v>74</v>
      </c>
      <c r="AR687" s="1" t="s">
        <v>74</v>
      </c>
      <c r="AS687" s="1" t="s">
        <v>74</v>
      </c>
      <c r="AT687" s="1" t="s">
        <v>374</v>
      </c>
      <c r="AU687" s="1">
        <v>2023.0</v>
      </c>
      <c r="AV687" s="1">
        <v>21.0</v>
      </c>
      <c r="AW687" s="1">
        <v>14.0</v>
      </c>
      <c r="AX687" s="1" t="s">
        <v>74</v>
      </c>
      <c r="AY687" s="1" t="s">
        <v>74</v>
      </c>
      <c r="AZ687" s="1" t="s">
        <v>569</v>
      </c>
      <c r="BA687" s="1" t="s">
        <v>74</v>
      </c>
      <c r="BB687" s="1">
        <v>6247.0</v>
      </c>
      <c r="BC687" s="1">
        <v>6271.0</v>
      </c>
      <c r="BD687" s="1" t="s">
        <v>74</v>
      </c>
      <c r="BE687" s="1" t="s">
        <v>6997</v>
      </c>
      <c r="BF687" s="2" t="str">
        <f>HYPERLINK("http://dx.doi.org/10.1007/s10518-023-01747-2","http://dx.doi.org/10.1007/s10518-023-01747-2")</f>
        <v>http://dx.doi.org/10.1007/s10518-023-01747-2</v>
      </c>
      <c r="BG687" s="1" t="s">
        <v>74</v>
      </c>
      <c r="BH687" s="1" t="s">
        <v>1742</v>
      </c>
      <c r="BI687" s="1" t="s">
        <v>74</v>
      </c>
      <c r="BJ687" s="1" t="s">
        <v>74</v>
      </c>
      <c r="BK687" s="1" t="s">
        <v>74</v>
      </c>
      <c r="BL687" s="1" t="s">
        <v>74</v>
      </c>
      <c r="BM687" s="1" t="s">
        <v>74</v>
      </c>
      <c r="BN687" s="1" t="s">
        <v>74</v>
      </c>
      <c r="BO687" s="1" t="s">
        <v>74</v>
      </c>
      <c r="BP687" s="1" t="s">
        <v>74</v>
      </c>
      <c r="BQ687" s="1" t="s">
        <v>74</v>
      </c>
      <c r="BR687" s="1" t="s">
        <v>74</v>
      </c>
      <c r="BS687" s="1" t="s">
        <v>6998</v>
      </c>
      <c r="BT687" s="1" t="str">
        <f>HYPERLINK("https%3A%2F%2Fwww.webofscience.com%2Fwos%2Fwoscc%2Ffull-record%2FWOS:001066757900001","View Full Record in Web of Science")</f>
        <v>View Full Record in Web of Science</v>
      </c>
    </row>
    <row r="688" ht="12.75" customHeight="1">
      <c r="A688" s="1" t="s">
        <v>72</v>
      </c>
      <c r="B688" s="1" t="s">
        <v>6999</v>
      </c>
      <c r="C688" s="1" t="s">
        <v>74</v>
      </c>
      <c r="D688" s="1" t="s">
        <v>74</v>
      </c>
      <c r="E688" s="1" t="s">
        <v>74</v>
      </c>
      <c r="F688" s="1" t="s">
        <v>7000</v>
      </c>
      <c r="G688" s="1" t="s">
        <v>74</v>
      </c>
      <c r="H688" s="1" t="s">
        <v>74</v>
      </c>
      <c r="I688" s="1" t="s">
        <v>7001</v>
      </c>
      <c r="J688" s="1" t="s">
        <v>7002</v>
      </c>
      <c r="K688" s="1" t="s">
        <v>74</v>
      </c>
      <c r="L688" s="1" t="s">
        <v>74</v>
      </c>
      <c r="M688" s="1" t="s">
        <v>74</v>
      </c>
      <c r="N688" s="1" t="s">
        <v>74</v>
      </c>
      <c r="O688" s="1" t="s">
        <v>74</v>
      </c>
      <c r="P688" s="1" t="s">
        <v>74</v>
      </c>
      <c r="Q688" s="1" t="s">
        <v>74</v>
      </c>
      <c r="R688" s="1" t="s">
        <v>74</v>
      </c>
      <c r="S688" s="1" t="s">
        <v>74</v>
      </c>
      <c r="T688" s="1" t="s">
        <v>74</v>
      </c>
      <c r="U688" s="1" t="s">
        <v>74</v>
      </c>
      <c r="V688" s="1" t="s">
        <v>7003</v>
      </c>
      <c r="W688" s="1" t="s">
        <v>74</v>
      </c>
      <c r="X688" s="1" t="s">
        <v>74</v>
      </c>
      <c r="Y688" s="1" t="s">
        <v>74</v>
      </c>
      <c r="Z688" s="1" t="s">
        <v>74</v>
      </c>
      <c r="AA688" s="1" t="s">
        <v>7004</v>
      </c>
      <c r="AB688" s="1" t="s">
        <v>7005</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7006</v>
      </c>
      <c r="AP688" s="1" t="s">
        <v>74</v>
      </c>
      <c r="AQ688" s="1" t="s">
        <v>74</v>
      </c>
      <c r="AR688" s="1" t="s">
        <v>74</v>
      </c>
      <c r="AS688" s="1" t="s">
        <v>74</v>
      </c>
      <c r="AT688" s="1" t="s">
        <v>745</v>
      </c>
      <c r="AU688" s="1">
        <v>2023.0</v>
      </c>
      <c r="AV688" s="1">
        <v>22.0</v>
      </c>
      <c r="AW688" s="1" t="s">
        <v>74</v>
      </c>
      <c r="AX688" s="1" t="s">
        <v>74</v>
      </c>
      <c r="AY688" s="1" t="s">
        <v>74</v>
      </c>
      <c r="AZ688" s="1" t="s">
        <v>74</v>
      </c>
      <c r="BA688" s="1" t="s">
        <v>74</v>
      </c>
      <c r="BB688" s="1" t="s">
        <v>74</v>
      </c>
      <c r="BC688" s="1" t="s">
        <v>74</v>
      </c>
      <c r="BD688" s="1">
        <v>101393.0</v>
      </c>
      <c r="BE688" s="1" t="s">
        <v>7007</v>
      </c>
      <c r="BF688" s="2" t="str">
        <f>HYPERLINK("http://dx.doi.org/10.1016/j.softx.2023.101393","http://dx.doi.org/10.1016/j.softx.2023.101393")</f>
        <v>http://dx.doi.org/10.1016/j.softx.2023.101393</v>
      </c>
      <c r="BG688" s="1" t="s">
        <v>74</v>
      </c>
      <c r="BH688" s="1" t="s">
        <v>2291</v>
      </c>
      <c r="BI688" s="1" t="s">
        <v>74</v>
      </c>
      <c r="BJ688" s="1" t="s">
        <v>74</v>
      </c>
      <c r="BK688" s="1" t="s">
        <v>74</v>
      </c>
      <c r="BL688" s="1" t="s">
        <v>74</v>
      </c>
      <c r="BM688" s="1" t="s">
        <v>74</v>
      </c>
      <c r="BN688" s="1" t="s">
        <v>74</v>
      </c>
      <c r="BO688" s="1" t="s">
        <v>74</v>
      </c>
      <c r="BP688" s="1" t="s">
        <v>74</v>
      </c>
      <c r="BQ688" s="1" t="s">
        <v>74</v>
      </c>
      <c r="BR688" s="1" t="s">
        <v>74</v>
      </c>
      <c r="BS688" s="1" t="s">
        <v>7008</v>
      </c>
      <c r="BT688" s="1" t="str">
        <f>HYPERLINK("https%3A%2F%2Fwww.webofscience.com%2Fwos%2Fwoscc%2Ffull-record%2FWOS:001001876400001","View Full Record in Web of Science")</f>
        <v>View Full Record in Web of Science</v>
      </c>
    </row>
    <row r="689" ht="12.75" customHeight="1">
      <c r="A689" s="1" t="s">
        <v>72</v>
      </c>
      <c r="B689" s="1" t="s">
        <v>7009</v>
      </c>
      <c r="C689" s="1" t="s">
        <v>74</v>
      </c>
      <c r="D689" s="1" t="s">
        <v>74</v>
      </c>
      <c r="E689" s="1" t="s">
        <v>74</v>
      </c>
      <c r="F689" s="1" t="s">
        <v>7010</v>
      </c>
      <c r="G689" s="1" t="s">
        <v>74</v>
      </c>
      <c r="H689" s="1" t="s">
        <v>74</v>
      </c>
      <c r="I689" s="1" t="s">
        <v>7011</v>
      </c>
      <c r="J689" s="1" t="s">
        <v>7012</v>
      </c>
      <c r="K689" s="1" t="s">
        <v>74</v>
      </c>
      <c r="L689" s="1" t="s">
        <v>74</v>
      </c>
      <c r="M689" s="1" t="s">
        <v>74</v>
      </c>
      <c r="N689" s="1" t="s">
        <v>74</v>
      </c>
      <c r="O689" s="1" t="s">
        <v>74</v>
      </c>
      <c r="P689" s="1" t="s">
        <v>74</v>
      </c>
      <c r="Q689" s="1" t="s">
        <v>74</v>
      </c>
      <c r="R689" s="1" t="s">
        <v>74</v>
      </c>
      <c r="S689" s="1" t="s">
        <v>74</v>
      </c>
      <c r="T689" s="1" t="s">
        <v>74</v>
      </c>
      <c r="U689" s="1" t="s">
        <v>74</v>
      </c>
      <c r="V689" s="1" t="s">
        <v>7013</v>
      </c>
      <c r="W689" s="1" t="s">
        <v>74</v>
      </c>
      <c r="X689" s="1" t="s">
        <v>74</v>
      </c>
      <c r="Y689" s="1" t="s">
        <v>74</v>
      </c>
      <c r="Z689" s="1" t="s">
        <v>74</v>
      </c>
      <c r="AA689" s="1" t="s">
        <v>7014</v>
      </c>
      <c r="AB689" s="1" t="s">
        <v>7015</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74</v>
      </c>
      <c r="AP689" s="1" t="s">
        <v>7016</v>
      </c>
      <c r="AQ689" s="1" t="s">
        <v>74</v>
      </c>
      <c r="AR689" s="1" t="s">
        <v>74</v>
      </c>
      <c r="AS689" s="1" t="s">
        <v>74</v>
      </c>
      <c r="AT689" s="1" t="s">
        <v>374</v>
      </c>
      <c r="AU689" s="1">
        <v>2022.0</v>
      </c>
      <c r="AV689" s="1">
        <v>19.0</v>
      </c>
      <c r="AW689" s="1">
        <v>21.0</v>
      </c>
      <c r="AX689" s="1" t="s">
        <v>74</v>
      </c>
      <c r="AY689" s="1" t="s">
        <v>74</v>
      </c>
      <c r="AZ689" s="1" t="s">
        <v>74</v>
      </c>
      <c r="BA689" s="1" t="s">
        <v>74</v>
      </c>
      <c r="BB689" s="1" t="s">
        <v>74</v>
      </c>
      <c r="BC689" s="1" t="s">
        <v>74</v>
      </c>
      <c r="BD689" s="1">
        <v>14213.0</v>
      </c>
      <c r="BE689" s="1" t="s">
        <v>7017</v>
      </c>
      <c r="BF689" s="2" t="str">
        <f>HYPERLINK("http://dx.doi.org/10.3390/ijerph192114213","http://dx.doi.org/10.3390/ijerph192114213")</f>
        <v>http://dx.doi.org/10.3390/ijerph192114213</v>
      </c>
      <c r="BG689" s="1" t="s">
        <v>74</v>
      </c>
      <c r="BH689" s="1" t="s">
        <v>74</v>
      </c>
      <c r="BI689" s="1" t="s">
        <v>74</v>
      </c>
      <c r="BJ689" s="1" t="s">
        <v>74</v>
      </c>
      <c r="BK689" s="1" t="s">
        <v>74</v>
      </c>
      <c r="BL689" s="1" t="s">
        <v>74</v>
      </c>
      <c r="BM689" s="1" t="s">
        <v>74</v>
      </c>
      <c r="BN689" s="1">
        <v>3.6361093E7</v>
      </c>
      <c r="BO689" s="1" t="s">
        <v>74</v>
      </c>
      <c r="BP689" s="1" t="s">
        <v>74</v>
      </c>
      <c r="BQ689" s="1" t="s">
        <v>74</v>
      </c>
      <c r="BR689" s="1" t="s">
        <v>74</v>
      </c>
      <c r="BS689" s="1" t="s">
        <v>7018</v>
      </c>
      <c r="BT689" s="1" t="str">
        <f>HYPERLINK("https%3A%2F%2Fwww.webofscience.com%2Fwos%2Fwoscc%2Ffull-record%2FWOS:000881257600001","View Full Record in Web of Science")</f>
        <v>View Full Record in Web of Science</v>
      </c>
    </row>
    <row r="690" ht="12.75" customHeight="1">
      <c r="A690" s="1" t="s">
        <v>72</v>
      </c>
      <c r="B690" s="1" t="s">
        <v>7019</v>
      </c>
      <c r="C690" s="1" t="s">
        <v>74</v>
      </c>
      <c r="D690" s="1" t="s">
        <v>74</v>
      </c>
      <c r="E690" s="1" t="s">
        <v>74</v>
      </c>
      <c r="F690" s="1" t="s">
        <v>7020</v>
      </c>
      <c r="G690" s="1" t="s">
        <v>74</v>
      </c>
      <c r="H690" s="1" t="s">
        <v>74</v>
      </c>
      <c r="I690" s="1" t="s">
        <v>7021</v>
      </c>
      <c r="J690" s="1" t="s">
        <v>7022</v>
      </c>
      <c r="K690" s="1" t="s">
        <v>74</v>
      </c>
      <c r="L690" s="1" t="s">
        <v>74</v>
      </c>
      <c r="M690" s="1" t="s">
        <v>74</v>
      </c>
      <c r="N690" s="1" t="s">
        <v>74</v>
      </c>
      <c r="O690" s="1" t="s">
        <v>74</v>
      </c>
      <c r="P690" s="1" t="s">
        <v>74</v>
      </c>
      <c r="Q690" s="1" t="s">
        <v>74</v>
      </c>
      <c r="R690" s="1" t="s">
        <v>74</v>
      </c>
      <c r="S690" s="1" t="s">
        <v>74</v>
      </c>
      <c r="T690" s="1" t="s">
        <v>74</v>
      </c>
      <c r="U690" s="1" t="s">
        <v>74</v>
      </c>
      <c r="V690" s="1" t="s">
        <v>7023</v>
      </c>
      <c r="W690" s="1" t="s">
        <v>74</v>
      </c>
      <c r="X690" s="1" t="s">
        <v>74</v>
      </c>
      <c r="Y690" s="1" t="s">
        <v>74</v>
      </c>
      <c r="Z690" s="1" t="s">
        <v>74</v>
      </c>
      <c r="AA690" s="1" t="s">
        <v>7024</v>
      </c>
      <c r="AB690" s="1" t="s">
        <v>7025</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7026</v>
      </c>
      <c r="AP690" s="1" t="s">
        <v>7027</v>
      </c>
      <c r="AQ690" s="1" t="s">
        <v>74</v>
      </c>
      <c r="AR690" s="1" t="s">
        <v>74</v>
      </c>
      <c r="AS690" s="1" t="s">
        <v>74</v>
      </c>
      <c r="AT690" s="1" t="s">
        <v>408</v>
      </c>
      <c r="AU690" s="1">
        <v>2022.0</v>
      </c>
      <c r="AV690" s="1">
        <v>54.0</v>
      </c>
      <c r="AW690" s="1" t="s">
        <v>74</v>
      </c>
      <c r="AX690" s="1" t="s">
        <v>74</v>
      </c>
      <c r="AY690" s="1" t="s">
        <v>74</v>
      </c>
      <c r="AZ690" s="1" t="s">
        <v>74</v>
      </c>
      <c r="BA690" s="1" t="s">
        <v>74</v>
      </c>
      <c r="BB690" s="1">
        <v>57.0</v>
      </c>
      <c r="BC690" s="1">
        <v>81.0</v>
      </c>
      <c r="BD690" s="1" t="s">
        <v>74</v>
      </c>
      <c r="BE690" s="1" t="s">
        <v>7028</v>
      </c>
      <c r="BF690" s="2" t="str">
        <f>HYPERLINK("http://dx.doi.org/10.1146/annurev-fluid-030321-103941","http://dx.doi.org/10.1146/annurev-fluid-030321-103941")</f>
        <v>http://dx.doi.org/10.1146/annurev-fluid-030321-103941</v>
      </c>
      <c r="BG690" s="1" t="s">
        <v>74</v>
      </c>
      <c r="BH690" s="1" t="s">
        <v>74</v>
      </c>
      <c r="BI690" s="1" t="s">
        <v>74</v>
      </c>
      <c r="BJ690" s="1" t="s">
        <v>74</v>
      </c>
      <c r="BK690" s="1" t="s">
        <v>74</v>
      </c>
      <c r="BL690" s="1" t="s">
        <v>74</v>
      </c>
      <c r="BM690" s="1" t="s">
        <v>74</v>
      </c>
      <c r="BN690" s="1" t="s">
        <v>74</v>
      </c>
      <c r="BO690" s="1" t="s">
        <v>74</v>
      </c>
      <c r="BP690" s="1" t="s">
        <v>74</v>
      </c>
      <c r="BQ690" s="1" t="s">
        <v>74</v>
      </c>
      <c r="BR690" s="1" t="s">
        <v>74</v>
      </c>
      <c r="BS690" s="1" t="s">
        <v>7029</v>
      </c>
      <c r="BT690" s="1" t="str">
        <f>HYPERLINK("https%3A%2F%2Fwww.webofscience.com%2Fwos%2Fwoscc%2Ffull-record%2FWOS:000794152800003","View Full Record in Web of Science")</f>
        <v>View Full Record in Web of Science</v>
      </c>
    </row>
    <row r="691" ht="12.75" customHeight="1">
      <c r="A691" s="1" t="s">
        <v>72</v>
      </c>
      <c r="B691" s="1" t="s">
        <v>7030</v>
      </c>
      <c r="C691" s="1" t="s">
        <v>74</v>
      </c>
      <c r="D691" s="1" t="s">
        <v>74</v>
      </c>
      <c r="E691" s="1" t="s">
        <v>74</v>
      </c>
      <c r="F691" s="1" t="s">
        <v>7031</v>
      </c>
      <c r="G691" s="1" t="s">
        <v>74</v>
      </c>
      <c r="H691" s="1" t="s">
        <v>74</v>
      </c>
      <c r="I691" s="1" t="s">
        <v>7032</v>
      </c>
      <c r="J691" s="1" t="s">
        <v>4751</v>
      </c>
      <c r="K691" s="1" t="s">
        <v>74</v>
      </c>
      <c r="L691" s="1" t="s">
        <v>74</v>
      </c>
      <c r="M691" s="1" t="s">
        <v>74</v>
      </c>
      <c r="N691" s="1" t="s">
        <v>74</v>
      </c>
      <c r="O691" s="1" t="s">
        <v>74</v>
      </c>
      <c r="P691" s="1" t="s">
        <v>74</v>
      </c>
      <c r="Q691" s="1" t="s">
        <v>74</v>
      </c>
      <c r="R691" s="1" t="s">
        <v>74</v>
      </c>
      <c r="S691" s="1" t="s">
        <v>74</v>
      </c>
      <c r="T691" s="1" t="s">
        <v>74</v>
      </c>
      <c r="U691" s="1" t="s">
        <v>74</v>
      </c>
      <c r="V691" s="1" t="s">
        <v>7033</v>
      </c>
      <c r="W691" s="1" t="s">
        <v>74</v>
      </c>
      <c r="X691" s="1" t="s">
        <v>74</v>
      </c>
      <c r="Y691" s="1" t="s">
        <v>74</v>
      </c>
      <c r="Z691" s="1" t="s">
        <v>74</v>
      </c>
      <c r="AA691" s="1" t="s">
        <v>7034</v>
      </c>
      <c r="AB691" s="1" t="s">
        <v>7035</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4755</v>
      </c>
      <c r="AP691" s="1" t="s">
        <v>4756</v>
      </c>
      <c r="AQ691" s="1" t="s">
        <v>74</v>
      </c>
      <c r="AR691" s="1" t="s">
        <v>74</v>
      </c>
      <c r="AS691" s="1" t="s">
        <v>74</v>
      </c>
      <c r="AT691" s="1" t="s">
        <v>271</v>
      </c>
      <c r="AU691" s="1">
        <v>2021.0</v>
      </c>
      <c r="AV691" s="1">
        <v>96.0</v>
      </c>
      <c r="AW691" s="1">
        <v>9.0</v>
      </c>
      <c r="AX691" s="1" t="s">
        <v>74</v>
      </c>
      <c r="AY691" s="1" t="s">
        <v>74</v>
      </c>
      <c r="AZ691" s="1" t="s">
        <v>74</v>
      </c>
      <c r="BA691" s="1" t="s">
        <v>74</v>
      </c>
      <c r="BB691" s="1">
        <v>2472.0</v>
      </c>
      <c r="BC691" s="1">
        <v>2487.0</v>
      </c>
      <c r="BD691" s="1" t="s">
        <v>74</v>
      </c>
      <c r="BE691" s="1" t="s">
        <v>7036</v>
      </c>
      <c r="BF691" s="2" t="str">
        <f>HYPERLINK("http://dx.doi.org/10.1002/jctb.6770","http://dx.doi.org/10.1002/jctb.6770")</f>
        <v>http://dx.doi.org/10.1002/jctb.6770</v>
      </c>
      <c r="BG691" s="1" t="s">
        <v>74</v>
      </c>
      <c r="BH691" s="1" t="s">
        <v>1229</v>
      </c>
      <c r="BI691" s="1" t="s">
        <v>74</v>
      </c>
      <c r="BJ691" s="1" t="s">
        <v>74</v>
      </c>
      <c r="BK691" s="1" t="s">
        <v>74</v>
      </c>
      <c r="BL691" s="1" t="s">
        <v>74</v>
      </c>
      <c r="BM691" s="1" t="s">
        <v>74</v>
      </c>
      <c r="BN691" s="1" t="s">
        <v>74</v>
      </c>
      <c r="BO691" s="1" t="s">
        <v>74</v>
      </c>
      <c r="BP691" s="1" t="s">
        <v>74</v>
      </c>
      <c r="BQ691" s="1" t="s">
        <v>74</v>
      </c>
      <c r="BR691" s="1" t="s">
        <v>74</v>
      </c>
      <c r="BS691" s="1" t="s">
        <v>7037</v>
      </c>
      <c r="BT691" s="1" t="str">
        <f>HYPERLINK("https%3A%2F%2Fwww.webofscience.com%2Fwos%2Fwoscc%2Ffull-record%2FWOS:000658053600001","View Full Record in Web of Science")</f>
        <v>View Full Record in Web of Science</v>
      </c>
    </row>
    <row r="692" ht="12.75" customHeight="1">
      <c r="A692" s="1" t="s">
        <v>72</v>
      </c>
      <c r="B692" s="1" t="s">
        <v>7038</v>
      </c>
      <c r="C692" s="1" t="s">
        <v>74</v>
      </c>
      <c r="D692" s="1" t="s">
        <v>74</v>
      </c>
      <c r="E692" s="1" t="s">
        <v>74</v>
      </c>
      <c r="F692" s="1" t="s">
        <v>7039</v>
      </c>
      <c r="G692" s="1" t="s">
        <v>74</v>
      </c>
      <c r="H692" s="1" t="s">
        <v>74</v>
      </c>
      <c r="I692" s="1" t="s">
        <v>7040</v>
      </c>
      <c r="J692" s="1" t="s">
        <v>6915</v>
      </c>
      <c r="K692" s="1" t="s">
        <v>74</v>
      </c>
      <c r="L692" s="1" t="s">
        <v>74</v>
      </c>
      <c r="M692" s="1" t="s">
        <v>74</v>
      </c>
      <c r="N692" s="1" t="s">
        <v>74</v>
      </c>
      <c r="O692" s="1" t="s">
        <v>74</v>
      </c>
      <c r="P692" s="1" t="s">
        <v>74</v>
      </c>
      <c r="Q692" s="1" t="s">
        <v>74</v>
      </c>
      <c r="R692" s="1" t="s">
        <v>74</v>
      </c>
      <c r="S692" s="1" t="s">
        <v>74</v>
      </c>
      <c r="T692" s="1" t="s">
        <v>74</v>
      </c>
      <c r="U692" s="1" t="s">
        <v>74</v>
      </c>
      <c r="V692" s="1" t="s">
        <v>7041</v>
      </c>
      <c r="W692" s="1" t="s">
        <v>74</v>
      </c>
      <c r="X692" s="1" t="s">
        <v>74</v>
      </c>
      <c r="Y692" s="1" t="s">
        <v>74</v>
      </c>
      <c r="Z692" s="1" t="s">
        <v>74</v>
      </c>
      <c r="AA692" s="1" t="s">
        <v>74</v>
      </c>
      <c r="AB692" s="1" t="s">
        <v>7042</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6919</v>
      </c>
      <c r="AP692" s="1" t="s">
        <v>6920</v>
      </c>
      <c r="AQ692" s="1" t="s">
        <v>74</v>
      </c>
      <c r="AR692" s="1" t="s">
        <v>74</v>
      </c>
      <c r="AS692" s="1" t="s">
        <v>74</v>
      </c>
      <c r="AT692" s="1" t="s">
        <v>271</v>
      </c>
      <c r="AU692" s="1">
        <v>2021.0</v>
      </c>
      <c r="AV692" s="1">
        <v>167.0</v>
      </c>
      <c r="AW692" s="1" t="s">
        <v>74</v>
      </c>
      <c r="AX692" s="1" t="s">
        <v>74</v>
      </c>
      <c r="AY692" s="1" t="s">
        <v>74</v>
      </c>
      <c r="AZ692" s="1" t="s">
        <v>74</v>
      </c>
      <c r="BA692" s="1" t="s">
        <v>74</v>
      </c>
      <c r="BB692" s="1" t="s">
        <v>74</v>
      </c>
      <c r="BC692" s="1" t="s">
        <v>74</v>
      </c>
      <c r="BD692" s="1">
        <v>107011.0</v>
      </c>
      <c r="BE692" s="1" t="s">
        <v>7043</v>
      </c>
      <c r="BF692" s="2" t="str">
        <f>HYPERLINK("http://dx.doi.org/10.1016/j.ijthermalsci.2021.107011","http://dx.doi.org/10.1016/j.ijthermalsci.2021.107011")</f>
        <v>http://dx.doi.org/10.1016/j.ijthermalsci.2021.107011</v>
      </c>
      <c r="BG692" s="1" t="s">
        <v>74</v>
      </c>
      <c r="BH692" s="1" t="s">
        <v>2427</v>
      </c>
      <c r="BI692" s="1" t="s">
        <v>74</v>
      </c>
      <c r="BJ692" s="1" t="s">
        <v>74</v>
      </c>
      <c r="BK692" s="1" t="s">
        <v>74</v>
      </c>
      <c r="BL692" s="1" t="s">
        <v>74</v>
      </c>
      <c r="BM692" s="1" t="s">
        <v>74</v>
      </c>
      <c r="BN692" s="1" t="s">
        <v>74</v>
      </c>
      <c r="BO692" s="1" t="s">
        <v>74</v>
      </c>
      <c r="BP692" s="1" t="s">
        <v>74</v>
      </c>
      <c r="BQ692" s="1" t="s">
        <v>74</v>
      </c>
      <c r="BR692" s="1" t="s">
        <v>74</v>
      </c>
      <c r="BS692" s="1" t="s">
        <v>7044</v>
      </c>
      <c r="BT692" s="1" t="str">
        <f>HYPERLINK("https%3A%2F%2Fwww.webofscience.com%2Fwos%2Fwoscc%2Ffull-record%2FWOS:000656893800004","View Full Record in Web of Science")</f>
        <v>View Full Record in Web of Science</v>
      </c>
    </row>
    <row r="693" ht="12.75" customHeight="1">
      <c r="A693" s="1" t="s">
        <v>72</v>
      </c>
      <c r="B693" s="1" t="s">
        <v>7045</v>
      </c>
      <c r="C693" s="1" t="s">
        <v>74</v>
      </c>
      <c r="D693" s="1" t="s">
        <v>74</v>
      </c>
      <c r="E693" s="1" t="s">
        <v>74</v>
      </c>
      <c r="F693" s="1" t="s">
        <v>7046</v>
      </c>
      <c r="G693" s="1" t="s">
        <v>74</v>
      </c>
      <c r="H693" s="1" t="s">
        <v>74</v>
      </c>
      <c r="I693" s="1" t="s">
        <v>7047</v>
      </c>
      <c r="J693" s="1" t="s">
        <v>7048</v>
      </c>
      <c r="K693" s="1" t="s">
        <v>74</v>
      </c>
      <c r="L693" s="1" t="s">
        <v>74</v>
      </c>
      <c r="M693" s="1" t="s">
        <v>74</v>
      </c>
      <c r="N693" s="1" t="s">
        <v>74</v>
      </c>
      <c r="O693" s="1" t="s">
        <v>74</v>
      </c>
      <c r="P693" s="1" t="s">
        <v>74</v>
      </c>
      <c r="Q693" s="1" t="s">
        <v>74</v>
      </c>
      <c r="R693" s="1" t="s">
        <v>74</v>
      </c>
      <c r="S693" s="1" t="s">
        <v>74</v>
      </c>
      <c r="T693" s="1" t="s">
        <v>74</v>
      </c>
      <c r="U693" s="1" t="s">
        <v>74</v>
      </c>
      <c r="V693" s="1" t="s">
        <v>7049</v>
      </c>
      <c r="W693" s="1" t="s">
        <v>74</v>
      </c>
      <c r="X693" s="1" t="s">
        <v>74</v>
      </c>
      <c r="Y693" s="1" t="s">
        <v>74</v>
      </c>
      <c r="Z693" s="1" t="s">
        <v>74</v>
      </c>
      <c r="AA693" s="1" t="s">
        <v>7050</v>
      </c>
      <c r="AB693" s="1" t="s">
        <v>7051</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7052</v>
      </c>
      <c r="AP693" s="1" t="s">
        <v>7053</v>
      </c>
      <c r="AQ693" s="1" t="s">
        <v>74</v>
      </c>
      <c r="AR693" s="1" t="s">
        <v>74</v>
      </c>
      <c r="AS693" s="1" t="s">
        <v>74</v>
      </c>
      <c r="AT693" s="1" t="s">
        <v>294</v>
      </c>
      <c r="AU693" s="1">
        <v>2021.0</v>
      </c>
      <c r="AV693" s="1">
        <v>105.0</v>
      </c>
      <c r="AW693" s="1">
        <v>4.0</v>
      </c>
      <c r="AX693" s="1" t="s">
        <v>74</v>
      </c>
      <c r="AY693" s="1" t="s">
        <v>74</v>
      </c>
      <c r="AZ693" s="1" t="s">
        <v>74</v>
      </c>
      <c r="BA693" s="1" t="s">
        <v>74</v>
      </c>
      <c r="BB693" s="1">
        <v>1731.0</v>
      </c>
      <c r="BC693" s="1">
        <v>1744.0</v>
      </c>
      <c r="BD693" s="1" t="s">
        <v>74</v>
      </c>
      <c r="BE693" s="1" t="s">
        <v>7054</v>
      </c>
      <c r="BF693" s="2" t="str">
        <f>HYPERLINK("http://dx.doi.org/10.1007/s00253-021-11123-2","http://dx.doi.org/10.1007/s00253-021-11123-2")</f>
        <v>http://dx.doi.org/10.1007/s00253-021-11123-2</v>
      </c>
      <c r="BG693" s="1" t="s">
        <v>74</v>
      </c>
      <c r="BH693" s="1" t="s">
        <v>144</v>
      </c>
      <c r="BI693" s="1" t="s">
        <v>74</v>
      </c>
      <c r="BJ693" s="1" t="s">
        <v>74</v>
      </c>
      <c r="BK693" s="1" t="s">
        <v>74</v>
      </c>
      <c r="BL693" s="1" t="s">
        <v>74</v>
      </c>
      <c r="BM693" s="1" t="s">
        <v>74</v>
      </c>
      <c r="BN693" s="1">
        <v>3.3511442E7</v>
      </c>
      <c r="BO693" s="1" t="s">
        <v>74</v>
      </c>
      <c r="BP693" s="1" t="s">
        <v>74</v>
      </c>
      <c r="BQ693" s="1" t="s">
        <v>74</v>
      </c>
      <c r="BR693" s="1" t="s">
        <v>74</v>
      </c>
      <c r="BS693" s="1" t="s">
        <v>7055</v>
      </c>
      <c r="BT693" s="1" t="str">
        <f>HYPERLINK("https%3A%2F%2Fwww.webofscience.com%2Fwos%2Fwoscc%2Ffull-record%2FWOS:000612600900002","View Full Record in Web of Science")</f>
        <v>View Full Record in Web of Science</v>
      </c>
    </row>
    <row r="694" ht="12.75" customHeight="1">
      <c r="A694" s="1" t="s">
        <v>72</v>
      </c>
      <c r="B694" s="1" t="s">
        <v>7056</v>
      </c>
      <c r="C694" s="1" t="s">
        <v>74</v>
      </c>
      <c r="D694" s="1" t="s">
        <v>74</v>
      </c>
      <c r="E694" s="1" t="s">
        <v>74</v>
      </c>
      <c r="F694" s="1" t="s">
        <v>7057</v>
      </c>
      <c r="G694" s="1" t="s">
        <v>74</v>
      </c>
      <c r="H694" s="1" t="s">
        <v>74</v>
      </c>
      <c r="I694" s="1" t="s">
        <v>7058</v>
      </c>
      <c r="J694" s="1" t="s">
        <v>5590</v>
      </c>
      <c r="K694" s="1" t="s">
        <v>74</v>
      </c>
      <c r="L694" s="1" t="s">
        <v>74</v>
      </c>
      <c r="M694" s="1" t="s">
        <v>74</v>
      </c>
      <c r="N694" s="1" t="s">
        <v>74</v>
      </c>
      <c r="O694" s="1" t="s">
        <v>74</v>
      </c>
      <c r="P694" s="1" t="s">
        <v>74</v>
      </c>
      <c r="Q694" s="1" t="s">
        <v>74</v>
      </c>
      <c r="R694" s="1" t="s">
        <v>74</v>
      </c>
      <c r="S694" s="1" t="s">
        <v>74</v>
      </c>
      <c r="T694" s="1" t="s">
        <v>74</v>
      </c>
      <c r="U694" s="1" t="s">
        <v>74</v>
      </c>
      <c r="V694" s="1" t="s">
        <v>7059</v>
      </c>
      <c r="W694" s="1" t="s">
        <v>74</v>
      </c>
      <c r="X694" s="1" t="s">
        <v>74</v>
      </c>
      <c r="Y694" s="1" t="s">
        <v>74</v>
      </c>
      <c r="Z694" s="1" t="s">
        <v>74</v>
      </c>
      <c r="AA694" s="1" t="s">
        <v>7060</v>
      </c>
      <c r="AB694" s="1" t="s">
        <v>7061</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5594</v>
      </c>
      <c r="AP694" s="1" t="s">
        <v>5595</v>
      </c>
      <c r="AQ694" s="1" t="s">
        <v>74</v>
      </c>
      <c r="AR694" s="1" t="s">
        <v>74</v>
      </c>
      <c r="AS694" s="1" t="s">
        <v>74</v>
      </c>
      <c r="AT694" s="1" t="s">
        <v>7062</v>
      </c>
      <c r="AU694" s="1">
        <v>2020.0</v>
      </c>
      <c r="AV694" s="1">
        <v>44.0</v>
      </c>
      <c r="AW694" s="1">
        <v>34.0</v>
      </c>
      <c r="AX694" s="1" t="s">
        <v>74</v>
      </c>
      <c r="AY694" s="1" t="s">
        <v>74</v>
      </c>
      <c r="AZ694" s="1" t="s">
        <v>74</v>
      </c>
      <c r="BA694" s="1" t="s">
        <v>74</v>
      </c>
      <c r="BB694" s="1">
        <v>14642.0</v>
      </c>
      <c r="BC694" s="1">
        <v>14649.0</v>
      </c>
      <c r="BD694" s="1" t="s">
        <v>74</v>
      </c>
      <c r="BE694" s="1" t="s">
        <v>7063</v>
      </c>
      <c r="BF694" s="2" t="str">
        <f>HYPERLINK("http://dx.doi.org/10.1039/d0nj02748k","http://dx.doi.org/10.1039/d0nj02748k")</f>
        <v>http://dx.doi.org/10.1039/d0nj02748k</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7064</v>
      </c>
      <c r="BT694" s="1" t="str">
        <f>HYPERLINK("https%3A%2F%2Fwww.webofscience.com%2Fwos%2Fwoscc%2Ffull-record%2FWOS:000564479900033","View Full Record in Web of Science")</f>
        <v>View Full Record in Web of Science</v>
      </c>
    </row>
    <row r="695" ht="12.75" customHeight="1">
      <c r="A695" s="1" t="s">
        <v>72</v>
      </c>
      <c r="B695" s="1" t="s">
        <v>7065</v>
      </c>
      <c r="C695" s="1" t="s">
        <v>74</v>
      </c>
      <c r="D695" s="1" t="s">
        <v>74</v>
      </c>
      <c r="E695" s="1" t="s">
        <v>74</v>
      </c>
      <c r="F695" s="1" t="s">
        <v>7066</v>
      </c>
      <c r="G695" s="1" t="s">
        <v>74</v>
      </c>
      <c r="H695" s="1" t="s">
        <v>74</v>
      </c>
      <c r="I695" s="1" t="s">
        <v>7067</v>
      </c>
      <c r="J695" s="1" t="s">
        <v>7068</v>
      </c>
      <c r="K695" s="1" t="s">
        <v>74</v>
      </c>
      <c r="L695" s="1" t="s">
        <v>74</v>
      </c>
      <c r="M695" s="1" t="s">
        <v>74</v>
      </c>
      <c r="N695" s="1" t="s">
        <v>74</v>
      </c>
      <c r="O695" s="1" t="s">
        <v>74</v>
      </c>
      <c r="P695" s="1" t="s">
        <v>74</v>
      </c>
      <c r="Q695" s="1" t="s">
        <v>74</v>
      </c>
      <c r="R695" s="1" t="s">
        <v>74</v>
      </c>
      <c r="S695" s="1" t="s">
        <v>74</v>
      </c>
      <c r="T695" s="1" t="s">
        <v>74</v>
      </c>
      <c r="U695" s="1" t="s">
        <v>74</v>
      </c>
      <c r="V695" s="1" t="s">
        <v>7069</v>
      </c>
      <c r="W695" s="1" t="s">
        <v>74</v>
      </c>
      <c r="X695" s="1" t="s">
        <v>74</v>
      </c>
      <c r="Y695" s="1" t="s">
        <v>74</v>
      </c>
      <c r="Z695" s="1" t="s">
        <v>74</v>
      </c>
      <c r="AA695" s="1" t="s">
        <v>74</v>
      </c>
      <c r="AB695" s="1" t="s">
        <v>74</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7070</v>
      </c>
      <c r="AP695" s="1" t="s">
        <v>7071</v>
      </c>
      <c r="AQ695" s="1" t="s">
        <v>74</v>
      </c>
      <c r="AR695" s="1" t="s">
        <v>74</v>
      </c>
      <c r="AS695" s="1" t="s">
        <v>74</v>
      </c>
      <c r="AT695" s="1" t="s">
        <v>1279</v>
      </c>
      <c r="AU695" s="1">
        <v>2020.0</v>
      </c>
      <c r="AV695" s="1" t="s">
        <v>74</v>
      </c>
      <c r="AW695" s="1">
        <v>80.0</v>
      </c>
      <c r="AX695" s="1" t="s">
        <v>74</v>
      </c>
      <c r="AY695" s="1" t="s">
        <v>74</v>
      </c>
      <c r="AZ695" s="1" t="s">
        <v>74</v>
      </c>
      <c r="BA695" s="1" t="s">
        <v>74</v>
      </c>
      <c r="BB695" s="1">
        <v>209.0</v>
      </c>
      <c r="BC695" s="1">
        <v>242.0</v>
      </c>
      <c r="BD695" s="1" t="s">
        <v>74</v>
      </c>
      <c r="BE695" s="1" t="s">
        <v>7072</v>
      </c>
      <c r="BF695" s="2" t="str">
        <f>HYPERLINK("http://dx.doi.org/10.26882/histagrar.080e07s","http://dx.doi.org/10.26882/histagrar.080e07s")</f>
        <v>http://dx.doi.org/10.26882/histagrar.080e07s</v>
      </c>
      <c r="BG695" s="1" t="s">
        <v>74</v>
      </c>
      <c r="BH695" s="1" t="s">
        <v>74</v>
      </c>
      <c r="BI695" s="1" t="s">
        <v>74</v>
      </c>
      <c r="BJ695" s="1" t="s">
        <v>74</v>
      </c>
      <c r="BK695" s="1" t="s">
        <v>74</v>
      </c>
      <c r="BL695" s="1" t="s">
        <v>74</v>
      </c>
      <c r="BM695" s="1" t="s">
        <v>74</v>
      </c>
      <c r="BN695" s="1" t="s">
        <v>74</v>
      </c>
      <c r="BO695" s="1" t="s">
        <v>74</v>
      </c>
      <c r="BP695" s="1" t="s">
        <v>74</v>
      </c>
      <c r="BQ695" s="1" t="s">
        <v>74</v>
      </c>
      <c r="BR695" s="1" t="s">
        <v>74</v>
      </c>
      <c r="BS695" s="1" t="s">
        <v>7073</v>
      </c>
      <c r="BT695" s="1" t="str">
        <f>HYPERLINK("https%3A%2F%2Fwww.webofscience.com%2Fwos%2Fwoscc%2Ffull-record%2FWOS:000524990000007","View Full Record in Web of Science")</f>
        <v>View Full Record in Web of Science</v>
      </c>
    </row>
    <row r="696" ht="12.75" customHeight="1">
      <c r="A696" s="1" t="s">
        <v>72</v>
      </c>
      <c r="B696" s="1" t="s">
        <v>7074</v>
      </c>
      <c r="C696" s="1" t="s">
        <v>74</v>
      </c>
      <c r="D696" s="1" t="s">
        <v>74</v>
      </c>
      <c r="E696" s="1" t="s">
        <v>74</v>
      </c>
      <c r="F696" s="1" t="s">
        <v>7075</v>
      </c>
      <c r="G696" s="1" t="s">
        <v>74</v>
      </c>
      <c r="H696" s="1" t="s">
        <v>74</v>
      </c>
      <c r="I696" s="1" t="s">
        <v>7076</v>
      </c>
      <c r="J696" s="1" t="s">
        <v>7077</v>
      </c>
      <c r="K696" s="1" t="s">
        <v>74</v>
      </c>
      <c r="L696" s="1" t="s">
        <v>74</v>
      </c>
      <c r="M696" s="1" t="s">
        <v>74</v>
      </c>
      <c r="N696" s="1" t="s">
        <v>74</v>
      </c>
      <c r="O696" s="1" t="s">
        <v>74</v>
      </c>
      <c r="P696" s="1" t="s">
        <v>74</v>
      </c>
      <c r="Q696" s="1" t="s">
        <v>74</v>
      </c>
      <c r="R696" s="1" t="s">
        <v>74</v>
      </c>
      <c r="S696" s="1" t="s">
        <v>74</v>
      </c>
      <c r="T696" s="1" t="s">
        <v>74</v>
      </c>
      <c r="U696" s="1" t="s">
        <v>74</v>
      </c>
      <c r="V696" s="1" t="s">
        <v>7078</v>
      </c>
      <c r="W696" s="1" t="s">
        <v>74</v>
      </c>
      <c r="X696" s="1" t="s">
        <v>74</v>
      </c>
      <c r="Y696" s="1" t="s">
        <v>74</v>
      </c>
      <c r="Z696" s="1" t="s">
        <v>74</v>
      </c>
      <c r="AA696" s="1" t="s">
        <v>7079</v>
      </c>
      <c r="AB696" s="1" t="s">
        <v>7080</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7081</v>
      </c>
      <c r="AP696" s="1" t="s">
        <v>7082</v>
      </c>
      <c r="AQ696" s="1" t="s">
        <v>74</v>
      </c>
      <c r="AR696" s="1" t="s">
        <v>74</v>
      </c>
      <c r="AS696" s="1" t="s">
        <v>74</v>
      </c>
      <c r="AT696" s="1" t="s">
        <v>408</v>
      </c>
      <c r="AU696" s="1">
        <v>2020.0</v>
      </c>
      <c r="AV696" s="1">
        <v>139.0</v>
      </c>
      <c r="AW696" s="1">
        <v>3.0</v>
      </c>
      <c r="AX696" s="1" t="s">
        <v>74</v>
      </c>
      <c r="AY696" s="1" t="s">
        <v>74</v>
      </c>
      <c r="AZ696" s="1" t="s">
        <v>74</v>
      </c>
      <c r="BA696" s="1" t="s">
        <v>74</v>
      </c>
      <c r="BB696" s="1" t="s">
        <v>74</v>
      </c>
      <c r="BC696" s="1" t="s">
        <v>74</v>
      </c>
      <c r="BD696" s="1">
        <v>41.0</v>
      </c>
      <c r="BE696" s="1" t="s">
        <v>7083</v>
      </c>
      <c r="BF696" s="2" t="str">
        <f>HYPERLINK("http://dx.doi.org/10.1007/s00214-020-2548-5","http://dx.doi.org/10.1007/s00214-020-2548-5")</f>
        <v>http://dx.doi.org/10.1007/s00214-020-2548-5</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7084</v>
      </c>
      <c r="BT696" s="1" t="str">
        <f>HYPERLINK("https%3A%2F%2Fwww.webofscience.com%2Fwos%2Fwoscc%2Ffull-record%2FWOS:000517982300001","View Full Record in Web of Science")</f>
        <v>View Full Record in Web of Science</v>
      </c>
    </row>
    <row r="697" ht="12.75" customHeight="1">
      <c r="A697" s="1" t="s">
        <v>72</v>
      </c>
      <c r="B697" s="1" t="s">
        <v>7085</v>
      </c>
      <c r="C697" s="1" t="s">
        <v>74</v>
      </c>
      <c r="D697" s="1" t="s">
        <v>74</v>
      </c>
      <c r="E697" s="1" t="s">
        <v>74</v>
      </c>
      <c r="F697" s="1" t="s">
        <v>7086</v>
      </c>
      <c r="G697" s="1" t="s">
        <v>74</v>
      </c>
      <c r="H697" s="1" t="s">
        <v>74</v>
      </c>
      <c r="I697" s="1" t="s">
        <v>7087</v>
      </c>
      <c r="J697" s="1" t="s">
        <v>7088</v>
      </c>
      <c r="K697" s="1" t="s">
        <v>74</v>
      </c>
      <c r="L697" s="1" t="s">
        <v>74</v>
      </c>
      <c r="M697" s="1" t="s">
        <v>74</v>
      </c>
      <c r="N697" s="1" t="s">
        <v>74</v>
      </c>
      <c r="O697" s="1" t="s">
        <v>74</v>
      </c>
      <c r="P697" s="1" t="s">
        <v>74</v>
      </c>
      <c r="Q697" s="1" t="s">
        <v>74</v>
      </c>
      <c r="R697" s="1" t="s">
        <v>74</v>
      </c>
      <c r="S697" s="1" t="s">
        <v>74</v>
      </c>
      <c r="T697" s="1" t="s">
        <v>74</v>
      </c>
      <c r="U697" s="1" t="s">
        <v>74</v>
      </c>
      <c r="V697" s="1" t="s">
        <v>7089</v>
      </c>
      <c r="W697" s="1" t="s">
        <v>74</v>
      </c>
      <c r="X697" s="1" t="s">
        <v>74</v>
      </c>
      <c r="Y697" s="1" t="s">
        <v>74</v>
      </c>
      <c r="Z697" s="1" t="s">
        <v>74</v>
      </c>
      <c r="AA697" s="1" t="s">
        <v>7090</v>
      </c>
      <c r="AB697" s="1" t="s">
        <v>7091</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7092</v>
      </c>
      <c r="AP697" s="1" t="s">
        <v>7093</v>
      </c>
      <c r="AQ697" s="1" t="s">
        <v>74</v>
      </c>
      <c r="AR697" s="1" t="s">
        <v>74</v>
      </c>
      <c r="AS697" s="1" t="s">
        <v>74</v>
      </c>
      <c r="AT697" s="1" t="s">
        <v>3217</v>
      </c>
      <c r="AU697" s="1">
        <v>2019.0</v>
      </c>
      <c r="AV697" s="1">
        <v>313.0</v>
      </c>
      <c r="AW697" s="1" t="s">
        <v>74</v>
      </c>
      <c r="AX697" s="1" t="s">
        <v>74</v>
      </c>
      <c r="AY697" s="1" t="s">
        <v>74</v>
      </c>
      <c r="AZ697" s="1" t="s">
        <v>74</v>
      </c>
      <c r="BA697" s="1" t="s">
        <v>74</v>
      </c>
      <c r="BB697" s="1">
        <v>14.0</v>
      </c>
      <c r="BC697" s="1">
        <v>23.0</v>
      </c>
      <c r="BD697" s="1" t="s">
        <v>74</v>
      </c>
      <c r="BE697" s="1" t="s">
        <v>7094</v>
      </c>
      <c r="BF697" s="2" t="str">
        <f>HYPERLINK("http://dx.doi.org/10.1016/j.jconrel.2019.10.005","http://dx.doi.org/10.1016/j.jconrel.2019.10.005")</f>
        <v>http://dx.doi.org/10.1016/j.jconrel.2019.10.005</v>
      </c>
      <c r="BG697" s="1" t="s">
        <v>74</v>
      </c>
      <c r="BH697" s="1" t="s">
        <v>74</v>
      </c>
      <c r="BI697" s="1" t="s">
        <v>74</v>
      </c>
      <c r="BJ697" s="1" t="s">
        <v>74</v>
      </c>
      <c r="BK697" s="1" t="s">
        <v>74</v>
      </c>
      <c r="BL697" s="1" t="s">
        <v>74</v>
      </c>
      <c r="BM697" s="1" t="s">
        <v>74</v>
      </c>
      <c r="BN697" s="1">
        <v>3.1622693E7</v>
      </c>
      <c r="BO697" s="1" t="s">
        <v>74</v>
      </c>
      <c r="BP697" s="1" t="s">
        <v>74</v>
      </c>
      <c r="BQ697" s="1" t="s">
        <v>74</v>
      </c>
      <c r="BR697" s="1" t="s">
        <v>74</v>
      </c>
      <c r="BS697" s="1" t="s">
        <v>7095</v>
      </c>
      <c r="BT697" s="1" t="str">
        <f>HYPERLINK("https%3A%2F%2Fwww.webofscience.com%2Fwos%2Fwoscc%2Ffull-record%2FWOS:000499614700002","View Full Record in Web of Science")</f>
        <v>View Full Record in Web of Science</v>
      </c>
    </row>
    <row r="698" ht="12.75" customHeight="1">
      <c r="A698" s="1" t="s">
        <v>72</v>
      </c>
      <c r="B698" s="1" t="s">
        <v>7096</v>
      </c>
      <c r="C698" s="1" t="s">
        <v>74</v>
      </c>
      <c r="D698" s="1" t="s">
        <v>74</v>
      </c>
      <c r="E698" s="1" t="s">
        <v>74</v>
      </c>
      <c r="F698" s="1" t="s">
        <v>7097</v>
      </c>
      <c r="G698" s="1" t="s">
        <v>74</v>
      </c>
      <c r="H698" s="1" t="s">
        <v>74</v>
      </c>
      <c r="I698" s="1" t="s">
        <v>7098</v>
      </c>
      <c r="J698" s="1" t="s">
        <v>1684</v>
      </c>
      <c r="K698" s="1" t="s">
        <v>74</v>
      </c>
      <c r="L698" s="1" t="s">
        <v>74</v>
      </c>
      <c r="M698" s="1" t="s">
        <v>74</v>
      </c>
      <c r="N698" s="1" t="s">
        <v>74</v>
      </c>
      <c r="O698" s="1" t="s">
        <v>74</v>
      </c>
      <c r="P698" s="1" t="s">
        <v>74</v>
      </c>
      <c r="Q698" s="1" t="s">
        <v>74</v>
      </c>
      <c r="R698" s="1" t="s">
        <v>74</v>
      </c>
      <c r="S698" s="1" t="s">
        <v>74</v>
      </c>
      <c r="T698" s="1" t="s">
        <v>74</v>
      </c>
      <c r="U698" s="1" t="s">
        <v>74</v>
      </c>
      <c r="V698" s="1" t="s">
        <v>7099</v>
      </c>
      <c r="W698" s="1" t="s">
        <v>74</v>
      </c>
      <c r="X698" s="1" t="s">
        <v>74</v>
      </c>
      <c r="Y698" s="1" t="s">
        <v>74</v>
      </c>
      <c r="Z698" s="1" t="s">
        <v>74</v>
      </c>
      <c r="AA698" s="1" t="s">
        <v>7100</v>
      </c>
      <c r="AB698" s="1" t="s">
        <v>7101</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1686</v>
      </c>
      <c r="AP698" s="1" t="s">
        <v>74</v>
      </c>
      <c r="AQ698" s="1" t="s">
        <v>74</v>
      </c>
      <c r="AR698" s="1" t="s">
        <v>74</v>
      </c>
      <c r="AS698" s="1" t="s">
        <v>74</v>
      </c>
      <c r="AT698" s="1" t="s">
        <v>7102</v>
      </c>
      <c r="AU698" s="1">
        <v>2019.0</v>
      </c>
      <c r="AV698" s="1">
        <v>10.0</v>
      </c>
      <c r="AW698" s="1" t="s">
        <v>74</v>
      </c>
      <c r="AX698" s="1" t="s">
        <v>74</v>
      </c>
      <c r="AY698" s="1" t="s">
        <v>74</v>
      </c>
      <c r="AZ698" s="1" t="s">
        <v>74</v>
      </c>
      <c r="BA698" s="1" t="s">
        <v>74</v>
      </c>
      <c r="BB698" s="1" t="s">
        <v>74</v>
      </c>
      <c r="BC698" s="1" t="s">
        <v>74</v>
      </c>
      <c r="BD698" s="1">
        <v>1207.0</v>
      </c>
      <c r="BE698" s="1" t="s">
        <v>7103</v>
      </c>
      <c r="BF698" s="2" t="str">
        <f>HYPERLINK("http://dx.doi.org/10.3389/fphar.2019.01207","http://dx.doi.org/10.3389/fphar.2019.01207")</f>
        <v>http://dx.doi.org/10.3389/fphar.2019.01207</v>
      </c>
      <c r="BG698" s="1" t="s">
        <v>74</v>
      </c>
      <c r="BH698" s="1" t="s">
        <v>74</v>
      </c>
      <c r="BI698" s="1" t="s">
        <v>74</v>
      </c>
      <c r="BJ698" s="1" t="s">
        <v>74</v>
      </c>
      <c r="BK698" s="1" t="s">
        <v>74</v>
      </c>
      <c r="BL698" s="1" t="s">
        <v>74</v>
      </c>
      <c r="BM698" s="1" t="s">
        <v>74</v>
      </c>
      <c r="BN698" s="1">
        <v>3.1787892E7</v>
      </c>
      <c r="BO698" s="1" t="s">
        <v>74</v>
      </c>
      <c r="BP698" s="1" t="s">
        <v>74</v>
      </c>
      <c r="BQ698" s="1" t="s">
        <v>74</v>
      </c>
      <c r="BR698" s="1" t="s">
        <v>74</v>
      </c>
      <c r="BS698" s="1" t="s">
        <v>7104</v>
      </c>
      <c r="BT698" s="1" t="str">
        <f>HYPERLINK("https%3A%2F%2Fwww.webofscience.com%2Fwos%2Fwoscc%2Ffull-record%2FWOS:000498968200001","View Full Record in Web of Science")</f>
        <v>View Full Record in Web of Science</v>
      </c>
    </row>
    <row r="699" ht="12.75" customHeight="1">
      <c r="A699" s="1" t="s">
        <v>72</v>
      </c>
      <c r="B699" s="1" t="s">
        <v>7105</v>
      </c>
      <c r="C699" s="1" t="s">
        <v>74</v>
      </c>
      <c r="D699" s="1" t="s">
        <v>74</v>
      </c>
      <c r="E699" s="1" t="s">
        <v>74</v>
      </c>
      <c r="F699" s="1" t="s">
        <v>7106</v>
      </c>
      <c r="G699" s="1" t="s">
        <v>74</v>
      </c>
      <c r="H699" s="1" t="s">
        <v>74</v>
      </c>
      <c r="I699" s="1" t="s">
        <v>7107</v>
      </c>
      <c r="J699" s="1" t="s">
        <v>1065</v>
      </c>
      <c r="K699" s="1" t="s">
        <v>74</v>
      </c>
      <c r="L699" s="1" t="s">
        <v>74</v>
      </c>
      <c r="M699" s="1" t="s">
        <v>74</v>
      </c>
      <c r="N699" s="1" t="s">
        <v>74</v>
      </c>
      <c r="O699" s="1" t="s">
        <v>74</v>
      </c>
      <c r="P699" s="1" t="s">
        <v>74</v>
      </c>
      <c r="Q699" s="1" t="s">
        <v>74</v>
      </c>
      <c r="R699" s="1" t="s">
        <v>74</v>
      </c>
      <c r="S699" s="1" t="s">
        <v>74</v>
      </c>
      <c r="T699" s="1" t="s">
        <v>74</v>
      </c>
      <c r="U699" s="1" t="s">
        <v>74</v>
      </c>
      <c r="V699" s="1" t="s">
        <v>7108</v>
      </c>
      <c r="W699" s="1" t="s">
        <v>74</v>
      </c>
      <c r="X699" s="1" t="s">
        <v>74</v>
      </c>
      <c r="Y699" s="1" t="s">
        <v>74</v>
      </c>
      <c r="Z699" s="1" t="s">
        <v>74</v>
      </c>
      <c r="AA699" s="1" t="s">
        <v>7109</v>
      </c>
      <c r="AB699" s="1" t="s">
        <v>7110</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1068</v>
      </c>
      <c r="AP699" s="1" t="s">
        <v>2288</v>
      </c>
      <c r="AQ699" s="1" t="s">
        <v>74</v>
      </c>
      <c r="AR699" s="1" t="s">
        <v>74</v>
      </c>
      <c r="AS699" s="1" t="s">
        <v>74</v>
      </c>
      <c r="AT699" s="1" t="s">
        <v>5861</v>
      </c>
      <c r="AU699" s="1">
        <v>2019.0</v>
      </c>
      <c r="AV699" s="1">
        <v>318.0</v>
      </c>
      <c r="AW699" s="1" t="s">
        <v>74</v>
      </c>
      <c r="AX699" s="1" t="s">
        <v>74</v>
      </c>
      <c r="AY699" s="1" t="s">
        <v>74</v>
      </c>
      <c r="AZ699" s="1" t="s">
        <v>74</v>
      </c>
      <c r="BA699" s="1" t="s">
        <v>74</v>
      </c>
      <c r="BB699" s="1">
        <v>479.0</v>
      </c>
      <c r="BC699" s="1">
        <v>485.0</v>
      </c>
      <c r="BD699" s="1" t="s">
        <v>74</v>
      </c>
      <c r="BE699" s="1" t="s">
        <v>7111</v>
      </c>
      <c r="BF699" s="2" t="str">
        <f>HYPERLINK("http://dx.doi.org/10.1016/j.electacta.2019.06.090","http://dx.doi.org/10.1016/j.electacta.2019.06.090")</f>
        <v>http://dx.doi.org/10.1016/j.electacta.2019.06.090</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7112</v>
      </c>
      <c r="BT699" s="1" t="str">
        <f>HYPERLINK("https%3A%2F%2Fwww.webofscience.com%2Fwos%2Fwoscc%2Ffull-record%2FWOS:000478969600051","View Full Record in Web of Science")</f>
        <v>View Full Record in Web of Science</v>
      </c>
    </row>
    <row r="700" ht="12.75" customHeight="1">
      <c r="A700" s="1" t="s">
        <v>72</v>
      </c>
      <c r="B700" s="1" t="s">
        <v>7113</v>
      </c>
      <c r="C700" s="1" t="s">
        <v>74</v>
      </c>
      <c r="D700" s="1" t="s">
        <v>74</v>
      </c>
      <c r="E700" s="1" t="s">
        <v>74</v>
      </c>
      <c r="F700" s="1" t="s">
        <v>7114</v>
      </c>
      <c r="G700" s="1" t="s">
        <v>74</v>
      </c>
      <c r="H700" s="1" t="s">
        <v>74</v>
      </c>
      <c r="I700" s="1" t="s">
        <v>7115</v>
      </c>
      <c r="J700" s="1" t="s">
        <v>7116</v>
      </c>
      <c r="K700" s="1" t="s">
        <v>74</v>
      </c>
      <c r="L700" s="1" t="s">
        <v>74</v>
      </c>
      <c r="M700" s="1" t="s">
        <v>74</v>
      </c>
      <c r="N700" s="1" t="s">
        <v>74</v>
      </c>
      <c r="O700" s="1" t="s">
        <v>74</v>
      </c>
      <c r="P700" s="1" t="s">
        <v>74</v>
      </c>
      <c r="Q700" s="1" t="s">
        <v>74</v>
      </c>
      <c r="R700" s="1" t="s">
        <v>74</v>
      </c>
      <c r="S700" s="1" t="s">
        <v>74</v>
      </c>
      <c r="T700" s="1" t="s">
        <v>74</v>
      </c>
      <c r="U700" s="1" t="s">
        <v>74</v>
      </c>
      <c r="V700" s="1" t="s">
        <v>7117</v>
      </c>
      <c r="W700" s="1" t="s">
        <v>74</v>
      </c>
      <c r="X700" s="1" t="s">
        <v>74</v>
      </c>
      <c r="Y700" s="1" t="s">
        <v>74</v>
      </c>
      <c r="Z700" s="1" t="s">
        <v>74</v>
      </c>
      <c r="AA700" s="1" t="s">
        <v>7118</v>
      </c>
      <c r="AB700" s="1" t="s">
        <v>7119</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7120</v>
      </c>
      <c r="AP700" s="1" t="s">
        <v>74</v>
      </c>
      <c r="AQ700" s="1" t="s">
        <v>74</v>
      </c>
      <c r="AR700" s="1" t="s">
        <v>74</v>
      </c>
      <c r="AS700" s="1" t="s">
        <v>74</v>
      </c>
      <c r="AT700" s="1" t="s">
        <v>94</v>
      </c>
      <c r="AU700" s="1">
        <v>2019.0</v>
      </c>
      <c r="AV700" s="1">
        <v>9.0</v>
      </c>
      <c r="AW700" s="1">
        <v>6.0</v>
      </c>
      <c r="AX700" s="1" t="s">
        <v>74</v>
      </c>
      <c r="AY700" s="1" t="s">
        <v>74</v>
      </c>
      <c r="AZ700" s="1" t="s">
        <v>74</v>
      </c>
      <c r="BA700" s="1" t="s">
        <v>74</v>
      </c>
      <c r="BB700" s="1" t="s">
        <v>74</v>
      </c>
      <c r="BC700" s="1" t="s">
        <v>74</v>
      </c>
      <c r="BD700" s="1">
        <v>288.0</v>
      </c>
      <c r="BE700" s="1" t="s">
        <v>7121</v>
      </c>
      <c r="BF700" s="2" t="str">
        <f>HYPERLINK("http://dx.doi.org/10.3390/ani9060288","http://dx.doi.org/10.3390/ani9060288")</f>
        <v>http://dx.doi.org/10.3390/ani9060288</v>
      </c>
      <c r="BG700" s="1" t="s">
        <v>74</v>
      </c>
      <c r="BH700" s="1" t="s">
        <v>74</v>
      </c>
      <c r="BI700" s="1" t="s">
        <v>74</v>
      </c>
      <c r="BJ700" s="1" t="s">
        <v>74</v>
      </c>
      <c r="BK700" s="1" t="s">
        <v>74</v>
      </c>
      <c r="BL700" s="1" t="s">
        <v>74</v>
      </c>
      <c r="BM700" s="1" t="s">
        <v>74</v>
      </c>
      <c r="BN700" s="1">
        <v>3.1146394E7</v>
      </c>
      <c r="BO700" s="1" t="s">
        <v>74</v>
      </c>
      <c r="BP700" s="1" t="s">
        <v>74</v>
      </c>
      <c r="BQ700" s="1" t="s">
        <v>74</v>
      </c>
      <c r="BR700" s="1" t="s">
        <v>74</v>
      </c>
      <c r="BS700" s="1" t="s">
        <v>7122</v>
      </c>
      <c r="BT700" s="1" t="str">
        <f>HYPERLINK("https%3A%2F%2Fwww.webofscience.com%2Fwos%2Fwoscc%2Ffull-record%2FWOS:000475348700005","View Full Record in Web of Science")</f>
        <v>View Full Record in Web of Science</v>
      </c>
    </row>
    <row r="701" ht="12.75" customHeight="1">
      <c r="A701" s="1" t="s">
        <v>72</v>
      </c>
      <c r="B701" s="1" t="s">
        <v>7123</v>
      </c>
      <c r="C701" s="1" t="s">
        <v>74</v>
      </c>
      <c r="D701" s="1" t="s">
        <v>74</v>
      </c>
      <c r="E701" s="1" t="s">
        <v>74</v>
      </c>
      <c r="F701" s="1" t="s">
        <v>7124</v>
      </c>
      <c r="G701" s="1" t="s">
        <v>74</v>
      </c>
      <c r="H701" s="1" t="s">
        <v>74</v>
      </c>
      <c r="I701" s="1" t="s">
        <v>7125</v>
      </c>
      <c r="J701" s="1" t="s">
        <v>7126</v>
      </c>
      <c r="K701" s="1" t="s">
        <v>74</v>
      </c>
      <c r="L701" s="1" t="s">
        <v>74</v>
      </c>
      <c r="M701" s="1" t="s">
        <v>74</v>
      </c>
      <c r="N701" s="1" t="s">
        <v>74</v>
      </c>
      <c r="O701" s="1" t="s">
        <v>74</v>
      </c>
      <c r="P701" s="1" t="s">
        <v>74</v>
      </c>
      <c r="Q701" s="1" t="s">
        <v>74</v>
      </c>
      <c r="R701" s="1" t="s">
        <v>74</v>
      </c>
      <c r="S701" s="1" t="s">
        <v>74</v>
      </c>
      <c r="T701" s="1" t="s">
        <v>74</v>
      </c>
      <c r="U701" s="1" t="s">
        <v>74</v>
      </c>
      <c r="V701" s="1" t="s">
        <v>7127</v>
      </c>
      <c r="W701" s="1" t="s">
        <v>74</v>
      </c>
      <c r="X701" s="1" t="s">
        <v>74</v>
      </c>
      <c r="Y701" s="1" t="s">
        <v>74</v>
      </c>
      <c r="Z701" s="1" t="s">
        <v>74</v>
      </c>
      <c r="AA701" s="1" t="s">
        <v>7128</v>
      </c>
      <c r="AB701" s="1" t="s">
        <v>7129</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7130</v>
      </c>
      <c r="AP701" s="1" t="s">
        <v>7131</v>
      </c>
      <c r="AQ701" s="1" t="s">
        <v>74</v>
      </c>
      <c r="AR701" s="1" t="s">
        <v>74</v>
      </c>
      <c r="AS701" s="1" t="s">
        <v>74</v>
      </c>
      <c r="AT701" s="1" t="s">
        <v>94</v>
      </c>
      <c r="AU701" s="1">
        <v>2019.0</v>
      </c>
      <c r="AV701" s="1">
        <v>102.0</v>
      </c>
      <c r="AW701" s="1" t="s">
        <v>74</v>
      </c>
      <c r="AX701" s="1" t="s">
        <v>74</v>
      </c>
      <c r="AY701" s="1" t="s">
        <v>74</v>
      </c>
      <c r="AZ701" s="1" t="s">
        <v>74</v>
      </c>
      <c r="BA701" s="1" t="s">
        <v>74</v>
      </c>
      <c r="BB701" s="1">
        <v>142.0</v>
      </c>
      <c r="BC701" s="1">
        <v>150.0</v>
      </c>
      <c r="BD701" s="1" t="s">
        <v>74</v>
      </c>
      <c r="BE701" s="1" t="s">
        <v>7132</v>
      </c>
      <c r="BF701" s="2" t="str">
        <f>HYPERLINK("http://dx.doi.org/10.1016/j.ijrefrig.2019.01.028","http://dx.doi.org/10.1016/j.ijrefrig.2019.01.028")</f>
        <v>http://dx.doi.org/10.1016/j.ijrefrig.2019.01.028</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7133</v>
      </c>
      <c r="BT701" s="1" t="str">
        <f>HYPERLINK("https%3A%2F%2Fwww.webofscience.com%2Fwos%2Fwoscc%2Ffull-record%2FWOS:000471866600015","View Full Record in Web of Science")</f>
        <v>View Full Record in Web of Science</v>
      </c>
    </row>
    <row r="702" ht="12.75" customHeight="1">
      <c r="A702" s="1" t="s">
        <v>72</v>
      </c>
      <c r="B702" s="1" t="s">
        <v>7134</v>
      </c>
      <c r="C702" s="1" t="s">
        <v>74</v>
      </c>
      <c r="D702" s="1" t="s">
        <v>74</v>
      </c>
      <c r="E702" s="1" t="s">
        <v>74</v>
      </c>
      <c r="F702" s="1" t="s">
        <v>7135</v>
      </c>
      <c r="G702" s="1" t="s">
        <v>74</v>
      </c>
      <c r="H702" s="1" t="s">
        <v>74</v>
      </c>
      <c r="I702" s="1" t="s">
        <v>7136</v>
      </c>
      <c r="J702" s="1" t="s">
        <v>7137</v>
      </c>
      <c r="K702" s="1" t="s">
        <v>74</v>
      </c>
      <c r="L702" s="1" t="s">
        <v>74</v>
      </c>
      <c r="M702" s="1" t="s">
        <v>74</v>
      </c>
      <c r="N702" s="1" t="s">
        <v>74</v>
      </c>
      <c r="O702" s="1" t="s">
        <v>74</v>
      </c>
      <c r="P702" s="1" t="s">
        <v>74</v>
      </c>
      <c r="Q702" s="1" t="s">
        <v>74</v>
      </c>
      <c r="R702" s="1" t="s">
        <v>74</v>
      </c>
      <c r="S702" s="1" t="s">
        <v>74</v>
      </c>
      <c r="T702" s="1" t="s">
        <v>74</v>
      </c>
      <c r="U702" s="1" t="s">
        <v>74</v>
      </c>
      <c r="V702" s="1" t="s">
        <v>7138</v>
      </c>
      <c r="W702" s="1" t="s">
        <v>74</v>
      </c>
      <c r="X702" s="1" t="s">
        <v>74</v>
      </c>
      <c r="Y702" s="1" t="s">
        <v>74</v>
      </c>
      <c r="Z702" s="1" t="s">
        <v>74</v>
      </c>
      <c r="AA702" s="1" t="s">
        <v>74</v>
      </c>
      <c r="AB702" s="1" t="s">
        <v>7139</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7140</v>
      </c>
      <c r="AP702" s="1" t="s">
        <v>7141</v>
      </c>
      <c r="AQ702" s="1" t="s">
        <v>74</v>
      </c>
      <c r="AR702" s="1" t="s">
        <v>74</v>
      </c>
      <c r="AS702" s="1" t="s">
        <v>74</v>
      </c>
      <c r="AT702" s="1" t="s">
        <v>374</v>
      </c>
      <c r="AU702" s="1">
        <v>2018.0</v>
      </c>
      <c r="AV702" s="1">
        <v>99.0</v>
      </c>
      <c r="AW702" s="1" t="s">
        <v>74</v>
      </c>
      <c r="AX702" s="1" t="s">
        <v>74</v>
      </c>
      <c r="AY702" s="1" t="s">
        <v>74</v>
      </c>
      <c r="AZ702" s="1" t="s">
        <v>74</v>
      </c>
      <c r="BA702" s="1" t="s">
        <v>74</v>
      </c>
      <c r="BB702" s="1">
        <v>249.0</v>
      </c>
      <c r="BC702" s="1">
        <v>261.0</v>
      </c>
      <c r="BD702" s="1" t="s">
        <v>74</v>
      </c>
      <c r="BE702" s="1" t="s">
        <v>7142</v>
      </c>
      <c r="BF702" s="2" t="str">
        <f>HYPERLINK("http://dx.doi.org/10.1016/j.cor.2018.07.001","http://dx.doi.org/10.1016/j.cor.2018.07.001")</f>
        <v>http://dx.doi.org/10.1016/j.cor.2018.07.001</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7143</v>
      </c>
      <c r="BT702" s="1" t="str">
        <f>HYPERLINK("https%3A%2F%2Fwww.webofscience.com%2Fwos%2Fwoscc%2Ffull-record%2FWOS:000442059400019","View Full Record in Web of Science")</f>
        <v>View Full Record in Web of Science</v>
      </c>
    </row>
    <row r="703" ht="12.75" customHeight="1">
      <c r="A703" s="1" t="s">
        <v>72</v>
      </c>
      <c r="B703" s="1" t="s">
        <v>7144</v>
      </c>
      <c r="C703" s="1" t="s">
        <v>74</v>
      </c>
      <c r="D703" s="1" t="s">
        <v>74</v>
      </c>
      <c r="E703" s="1" t="s">
        <v>74</v>
      </c>
      <c r="F703" s="1" t="s">
        <v>7145</v>
      </c>
      <c r="G703" s="1" t="s">
        <v>74</v>
      </c>
      <c r="H703" s="1" t="s">
        <v>74</v>
      </c>
      <c r="I703" s="1" t="s">
        <v>7146</v>
      </c>
      <c r="J703" s="1" t="s">
        <v>7147</v>
      </c>
      <c r="K703" s="1" t="s">
        <v>74</v>
      </c>
      <c r="L703" s="1" t="s">
        <v>74</v>
      </c>
      <c r="M703" s="1" t="s">
        <v>74</v>
      </c>
      <c r="N703" s="1" t="s">
        <v>74</v>
      </c>
      <c r="O703" s="1" t="s">
        <v>74</v>
      </c>
      <c r="P703" s="1" t="s">
        <v>74</v>
      </c>
      <c r="Q703" s="1" t="s">
        <v>74</v>
      </c>
      <c r="R703" s="1" t="s">
        <v>74</v>
      </c>
      <c r="S703" s="1" t="s">
        <v>74</v>
      </c>
      <c r="T703" s="1" t="s">
        <v>74</v>
      </c>
      <c r="U703" s="1" t="s">
        <v>74</v>
      </c>
      <c r="V703" s="1" t="s">
        <v>7148</v>
      </c>
      <c r="W703" s="1" t="s">
        <v>74</v>
      </c>
      <c r="X703" s="1" t="s">
        <v>74</v>
      </c>
      <c r="Y703" s="1" t="s">
        <v>74</v>
      </c>
      <c r="Z703" s="1" t="s">
        <v>74</v>
      </c>
      <c r="AA703" s="1" t="s">
        <v>6917</v>
      </c>
      <c r="AB703" s="1" t="s">
        <v>6918</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7149</v>
      </c>
      <c r="AP703" s="1" t="s">
        <v>7150</v>
      </c>
      <c r="AQ703" s="1" t="s">
        <v>74</v>
      </c>
      <c r="AR703" s="1" t="s">
        <v>74</v>
      </c>
      <c r="AS703" s="1" t="s">
        <v>74</v>
      </c>
      <c r="AT703" s="1" t="s">
        <v>271</v>
      </c>
      <c r="AU703" s="1">
        <v>2018.0</v>
      </c>
      <c r="AV703" s="1">
        <v>76.0</v>
      </c>
      <c r="AW703" s="1">
        <v>5.0</v>
      </c>
      <c r="AX703" s="1" t="s">
        <v>74</v>
      </c>
      <c r="AY703" s="1" t="s">
        <v>74</v>
      </c>
      <c r="AZ703" s="1" t="s">
        <v>74</v>
      </c>
      <c r="BA703" s="1" t="s">
        <v>74</v>
      </c>
      <c r="BB703" s="1">
        <v>1461.0</v>
      </c>
      <c r="BC703" s="1">
        <v>1469.0</v>
      </c>
      <c r="BD703" s="1" t="s">
        <v>74</v>
      </c>
      <c r="BE703" s="1" t="s">
        <v>7151</v>
      </c>
      <c r="BF703" s="2" t="str">
        <f>HYPERLINK("http://dx.doi.org/10.1007/s00107-018-1335-7","http://dx.doi.org/10.1007/s00107-018-1335-7")</f>
        <v>http://dx.doi.org/10.1007/s00107-018-1335-7</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7152</v>
      </c>
      <c r="BT703" s="1" t="str">
        <f>HYPERLINK("https%3A%2F%2Fwww.webofscience.com%2Fwos%2Fwoscc%2Ffull-record%2FWOS:000440691200010","View Full Record in Web of Science")</f>
        <v>View Full Record in Web of Science</v>
      </c>
    </row>
    <row r="704" ht="12.75" customHeight="1">
      <c r="A704" s="1" t="s">
        <v>72</v>
      </c>
      <c r="B704" s="1" t="s">
        <v>7153</v>
      </c>
      <c r="C704" s="1" t="s">
        <v>74</v>
      </c>
      <c r="D704" s="1" t="s">
        <v>74</v>
      </c>
      <c r="E704" s="1" t="s">
        <v>74</v>
      </c>
      <c r="F704" s="1" t="s">
        <v>7154</v>
      </c>
      <c r="G704" s="1" t="s">
        <v>74</v>
      </c>
      <c r="H704" s="1" t="s">
        <v>74</v>
      </c>
      <c r="I704" s="1" t="s">
        <v>7155</v>
      </c>
      <c r="J704" s="1" t="s">
        <v>5590</v>
      </c>
      <c r="K704" s="1" t="s">
        <v>74</v>
      </c>
      <c r="L704" s="1" t="s">
        <v>74</v>
      </c>
      <c r="M704" s="1" t="s">
        <v>74</v>
      </c>
      <c r="N704" s="1" t="s">
        <v>74</v>
      </c>
      <c r="O704" s="1" t="s">
        <v>74</v>
      </c>
      <c r="P704" s="1" t="s">
        <v>74</v>
      </c>
      <c r="Q704" s="1" t="s">
        <v>74</v>
      </c>
      <c r="R704" s="1" t="s">
        <v>74</v>
      </c>
      <c r="S704" s="1" t="s">
        <v>74</v>
      </c>
      <c r="T704" s="1" t="s">
        <v>74</v>
      </c>
      <c r="U704" s="1" t="s">
        <v>74</v>
      </c>
      <c r="V704" s="1" t="s">
        <v>7156</v>
      </c>
      <c r="W704" s="1" t="s">
        <v>74</v>
      </c>
      <c r="X704" s="1" t="s">
        <v>74</v>
      </c>
      <c r="Y704" s="1" t="s">
        <v>74</v>
      </c>
      <c r="Z704" s="1" t="s">
        <v>74</v>
      </c>
      <c r="AA704" s="1" t="s">
        <v>7157</v>
      </c>
      <c r="AB704" s="1" t="s">
        <v>7158</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5594</v>
      </c>
      <c r="AP704" s="1" t="s">
        <v>5595</v>
      </c>
      <c r="AQ704" s="1" t="s">
        <v>74</v>
      </c>
      <c r="AR704" s="1" t="s">
        <v>74</v>
      </c>
      <c r="AS704" s="1" t="s">
        <v>74</v>
      </c>
      <c r="AT704" s="1" t="s">
        <v>7159</v>
      </c>
      <c r="AU704" s="1">
        <v>2018.0</v>
      </c>
      <c r="AV704" s="1">
        <v>42.0</v>
      </c>
      <c r="AW704" s="1">
        <v>7.0</v>
      </c>
      <c r="AX704" s="1" t="s">
        <v>74</v>
      </c>
      <c r="AY704" s="1" t="s">
        <v>74</v>
      </c>
      <c r="AZ704" s="1" t="s">
        <v>74</v>
      </c>
      <c r="BA704" s="1" t="s">
        <v>74</v>
      </c>
      <c r="BB704" s="1">
        <v>5471.0</v>
      </c>
      <c r="BC704" s="1">
        <v>5478.0</v>
      </c>
      <c r="BD704" s="1" t="s">
        <v>74</v>
      </c>
      <c r="BE704" s="1" t="s">
        <v>7160</v>
      </c>
      <c r="BF704" s="2" t="str">
        <f>HYPERLINK("http://dx.doi.org/10.1039/c7nj05114j","http://dx.doi.org/10.1039/c7nj05114j")</f>
        <v>http://dx.doi.org/10.1039/c7nj05114j</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7161</v>
      </c>
      <c r="BT704" s="1" t="str">
        <f>HYPERLINK("https%3A%2F%2Fwww.webofscience.com%2Fwos%2Fwoscc%2Ffull-record%2FWOS:000429055100077","View Full Record in Web of Science")</f>
        <v>View Full Record in Web of Science</v>
      </c>
    </row>
    <row r="705" ht="12.75" customHeight="1">
      <c r="A705" s="1" t="s">
        <v>72</v>
      </c>
      <c r="B705" s="1" t="s">
        <v>7162</v>
      </c>
      <c r="C705" s="1" t="s">
        <v>74</v>
      </c>
      <c r="D705" s="1" t="s">
        <v>74</v>
      </c>
      <c r="E705" s="1" t="s">
        <v>74</v>
      </c>
      <c r="F705" s="1" t="s">
        <v>7163</v>
      </c>
      <c r="G705" s="1" t="s">
        <v>74</v>
      </c>
      <c r="H705" s="1" t="s">
        <v>74</v>
      </c>
      <c r="I705" s="1" t="s">
        <v>7164</v>
      </c>
      <c r="J705" s="1" t="s">
        <v>1073</v>
      </c>
      <c r="K705" s="1" t="s">
        <v>74</v>
      </c>
      <c r="L705" s="1" t="s">
        <v>74</v>
      </c>
      <c r="M705" s="1" t="s">
        <v>74</v>
      </c>
      <c r="N705" s="1" t="s">
        <v>74</v>
      </c>
      <c r="O705" s="1" t="s">
        <v>7165</v>
      </c>
      <c r="P705" s="1" t="s">
        <v>7166</v>
      </c>
      <c r="Q705" s="1" t="s">
        <v>7167</v>
      </c>
      <c r="R705" s="1" t="s">
        <v>74</v>
      </c>
      <c r="S705" s="1" t="s">
        <v>74</v>
      </c>
      <c r="T705" s="1" t="s">
        <v>74</v>
      </c>
      <c r="U705" s="1" t="s">
        <v>74</v>
      </c>
      <c r="V705" s="1" t="s">
        <v>7168</v>
      </c>
      <c r="W705" s="1" t="s">
        <v>74</v>
      </c>
      <c r="X705" s="1" t="s">
        <v>74</v>
      </c>
      <c r="Y705" s="1" t="s">
        <v>74</v>
      </c>
      <c r="Z705" s="1" t="s">
        <v>74</v>
      </c>
      <c r="AA705" s="1" t="s">
        <v>7169</v>
      </c>
      <c r="AB705" s="1" t="s">
        <v>7170</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1076</v>
      </c>
      <c r="AP705" s="1" t="s">
        <v>74</v>
      </c>
      <c r="AQ705" s="1" t="s">
        <v>74</v>
      </c>
      <c r="AR705" s="1" t="s">
        <v>74</v>
      </c>
      <c r="AS705" s="1" t="s">
        <v>74</v>
      </c>
      <c r="AT705" s="1" t="s">
        <v>6328</v>
      </c>
      <c r="AU705" s="1">
        <v>2017.0</v>
      </c>
      <c r="AV705" s="1">
        <v>136.0</v>
      </c>
      <c r="AW705" s="1" t="s">
        <v>74</v>
      </c>
      <c r="AX705" s="1" t="s">
        <v>74</v>
      </c>
      <c r="AY705" s="1" t="s">
        <v>74</v>
      </c>
      <c r="AZ705" s="1" t="s">
        <v>74</v>
      </c>
      <c r="BA705" s="1" t="s">
        <v>74</v>
      </c>
      <c r="BB705" s="1">
        <v>117.0</v>
      </c>
      <c r="BC705" s="1">
        <v>124.0</v>
      </c>
      <c r="BD705" s="1" t="s">
        <v>74</v>
      </c>
      <c r="BE705" s="1" t="s">
        <v>7171</v>
      </c>
      <c r="BF705" s="2" t="str">
        <f>HYPERLINK("http://dx.doi.org/10.1016/j.poly.2017.02.002","http://dx.doi.org/10.1016/j.poly.2017.02.002")</f>
        <v>http://dx.doi.org/10.1016/j.poly.2017.02.002</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7172</v>
      </c>
      <c r="BT705" s="1" t="str">
        <f>HYPERLINK("https%3A%2F%2Fwww.webofscience.com%2Fwos%2Fwoscc%2Ffull-record%2FWOS:000414883600022","View Full Record in Web of Science")</f>
        <v>View Full Record in Web of Science</v>
      </c>
    </row>
    <row r="706" ht="12.75" customHeight="1">
      <c r="A706" s="1" t="s">
        <v>72</v>
      </c>
      <c r="B706" s="1" t="s">
        <v>7173</v>
      </c>
      <c r="C706" s="1" t="s">
        <v>74</v>
      </c>
      <c r="D706" s="1" t="s">
        <v>74</v>
      </c>
      <c r="E706" s="1" t="s">
        <v>74</v>
      </c>
      <c r="F706" s="1" t="s">
        <v>7174</v>
      </c>
      <c r="G706" s="1" t="s">
        <v>74</v>
      </c>
      <c r="H706" s="1" t="s">
        <v>74</v>
      </c>
      <c r="I706" s="1" t="s">
        <v>7175</v>
      </c>
      <c r="J706" s="1" t="s">
        <v>2517</v>
      </c>
      <c r="K706" s="1" t="s">
        <v>74</v>
      </c>
      <c r="L706" s="1" t="s">
        <v>74</v>
      </c>
      <c r="M706" s="1" t="s">
        <v>74</v>
      </c>
      <c r="N706" s="1" t="s">
        <v>74</v>
      </c>
      <c r="O706" s="1" t="s">
        <v>74</v>
      </c>
      <c r="P706" s="1" t="s">
        <v>74</v>
      </c>
      <c r="Q706" s="1" t="s">
        <v>74</v>
      </c>
      <c r="R706" s="1" t="s">
        <v>74</v>
      </c>
      <c r="S706" s="1" t="s">
        <v>74</v>
      </c>
      <c r="T706" s="1" t="s">
        <v>74</v>
      </c>
      <c r="U706" s="1" t="s">
        <v>74</v>
      </c>
      <c r="V706" s="1" t="s">
        <v>7176</v>
      </c>
      <c r="W706" s="1" t="s">
        <v>74</v>
      </c>
      <c r="X706" s="1" t="s">
        <v>74</v>
      </c>
      <c r="Y706" s="1" t="s">
        <v>74</v>
      </c>
      <c r="Z706" s="1" t="s">
        <v>74</v>
      </c>
      <c r="AA706" s="1" t="s">
        <v>7177</v>
      </c>
      <c r="AB706" s="1" t="s">
        <v>7178</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2521</v>
      </c>
      <c r="AP706" s="1" t="s">
        <v>74</v>
      </c>
      <c r="AQ706" s="1" t="s">
        <v>74</v>
      </c>
      <c r="AR706" s="1" t="s">
        <v>74</v>
      </c>
      <c r="AS706" s="1" t="s">
        <v>74</v>
      </c>
      <c r="AT706" s="1" t="s">
        <v>82</v>
      </c>
      <c r="AU706" s="1">
        <v>2017.0</v>
      </c>
      <c r="AV706" s="1">
        <v>250.0</v>
      </c>
      <c r="AW706" s="1" t="s">
        <v>74</v>
      </c>
      <c r="AX706" s="1" t="s">
        <v>74</v>
      </c>
      <c r="AY706" s="1" t="s">
        <v>74</v>
      </c>
      <c r="AZ706" s="1" t="s">
        <v>74</v>
      </c>
      <c r="BA706" s="1" t="s">
        <v>74</v>
      </c>
      <c r="BB706" s="1">
        <v>412.0</v>
      </c>
      <c r="BC706" s="1">
        <v>419.0</v>
      </c>
      <c r="BD706" s="1" t="s">
        <v>74</v>
      </c>
      <c r="BE706" s="1" t="s">
        <v>7179</v>
      </c>
      <c r="BF706" s="2" t="str">
        <f>HYPERLINK("http://dx.doi.org/10.1016/j.snb.2017.04.154","http://dx.doi.org/10.1016/j.snb.2017.04.154")</f>
        <v>http://dx.doi.org/10.1016/j.snb.2017.04.154</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7180</v>
      </c>
      <c r="BT706" s="1" t="str">
        <f>HYPERLINK("https%3A%2F%2Fwww.webofscience.com%2Fwos%2Fwoscc%2Ffull-record%2FWOS:000404424100049","View Full Record in Web of Science")</f>
        <v>View Full Record in Web of Science</v>
      </c>
    </row>
    <row r="707" ht="12.75" customHeight="1">
      <c r="A707" s="1" t="s">
        <v>72</v>
      </c>
      <c r="B707" s="1" t="s">
        <v>7181</v>
      </c>
      <c r="C707" s="1" t="s">
        <v>74</v>
      </c>
      <c r="D707" s="1" t="s">
        <v>74</v>
      </c>
      <c r="E707" s="1" t="s">
        <v>74</v>
      </c>
      <c r="F707" s="1" t="s">
        <v>7182</v>
      </c>
      <c r="G707" s="1" t="s">
        <v>74</v>
      </c>
      <c r="H707" s="1" t="s">
        <v>74</v>
      </c>
      <c r="I707" s="1" t="s">
        <v>7183</v>
      </c>
      <c r="J707" s="1" t="s">
        <v>6915</v>
      </c>
      <c r="K707" s="1" t="s">
        <v>74</v>
      </c>
      <c r="L707" s="1" t="s">
        <v>74</v>
      </c>
      <c r="M707" s="1" t="s">
        <v>74</v>
      </c>
      <c r="N707" s="1" t="s">
        <v>74</v>
      </c>
      <c r="O707" s="1" t="s">
        <v>74</v>
      </c>
      <c r="P707" s="1" t="s">
        <v>74</v>
      </c>
      <c r="Q707" s="1" t="s">
        <v>74</v>
      </c>
      <c r="R707" s="1" t="s">
        <v>74</v>
      </c>
      <c r="S707" s="1" t="s">
        <v>74</v>
      </c>
      <c r="T707" s="1" t="s">
        <v>74</v>
      </c>
      <c r="U707" s="1" t="s">
        <v>74</v>
      </c>
      <c r="V707" s="1" t="s">
        <v>7184</v>
      </c>
      <c r="W707" s="1" t="s">
        <v>74</v>
      </c>
      <c r="X707" s="1" t="s">
        <v>74</v>
      </c>
      <c r="Y707" s="1" t="s">
        <v>74</v>
      </c>
      <c r="Z707" s="1" t="s">
        <v>74</v>
      </c>
      <c r="AA707" s="1" t="s">
        <v>7185</v>
      </c>
      <c r="AB707" s="1" t="s">
        <v>7042</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6919</v>
      </c>
      <c r="AP707" s="1" t="s">
        <v>6920</v>
      </c>
      <c r="AQ707" s="1" t="s">
        <v>74</v>
      </c>
      <c r="AR707" s="1" t="s">
        <v>74</v>
      </c>
      <c r="AS707" s="1" t="s">
        <v>74</v>
      </c>
      <c r="AT707" s="1" t="s">
        <v>82</v>
      </c>
      <c r="AU707" s="1">
        <v>2017.0</v>
      </c>
      <c r="AV707" s="1">
        <v>120.0</v>
      </c>
      <c r="AW707" s="1" t="s">
        <v>74</v>
      </c>
      <c r="AX707" s="1" t="s">
        <v>74</v>
      </c>
      <c r="AY707" s="1" t="s">
        <v>74</v>
      </c>
      <c r="AZ707" s="1" t="s">
        <v>74</v>
      </c>
      <c r="BA707" s="1" t="s">
        <v>74</v>
      </c>
      <c r="BB707" s="1">
        <v>50.0</v>
      </c>
      <c r="BC707" s="1">
        <v>62.0</v>
      </c>
      <c r="BD707" s="1" t="s">
        <v>74</v>
      </c>
      <c r="BE707" s="1" t="s">
        <v>7186</v>
      </c>
      <c r="BF707" s="2" t="str">
        <f>HYPERLINK("http://dx.doi.org/10.1016/j.ijthermalsci.2017.05.017","http://dx.doi.org/10.1016/j.ijthermalsci.2017.05.017")</f>
        <v>http://dx.doi.org/10.1016/j.ijthermalsci.2017.05.017</v>
      </c>
      <c r="BG707" s="1" t="s">
        <v>74</v>
      </c>
      <c r="BH707" s="1" t="s">
        <v>74</v>
      </c>
      <c r="BI707" s="1" t="s">
        <v>74</v>
      </c>
      <c r="BJ707" s="1" t="s">
        <v>74</v>
      </c>
      <c r="BK707" s="1" t="s">
        <v>74</v>
      </c>
      <c r="BL707" s="1" t="s">
        <v>74</v>
      </c>
      <c r="BM707" s="1" t="s">
        <v>74</v>
      </c>
      <c r="BN707" s="1" t="s">
        <v>74</v>
      </c>
      <c r="BO707" s="1" t="s">
        <v>74</v>
      </c>
      <c r="BP707" s="1" t="s">
        <v>74</v>
      </c>
      <c r="BQ707" s="1" t="s">
        <v>74</v>
      </c>
      <c r="BR707" s="1" t="s">
        <v>74</v>
      </c>
      <c r="BS707" s="1" t="s">
        <v>7187</v>
      </c>
      <c r="BT707" s="1" t="str">
        <f>HYPERLINK("https%3A%2F%2Fwww.webofscience.com%2Fwos%2Fwoscc%2Ffull-record%2FWOS:000406989400005","View Full Record in Web of Science")</f>
        <v>View Full Record in Web of Science</v>
      </c>
    </row>
    <row r="708" ht="12.75" customHeight="1">
      <c r="A708" s="1" t="s">
        <v>72</v>
      </c>
      <c r="B708" s="1" t="s">
        <v>7188</v>
      </c>
      <c r="C708" s="1" t="s">
        <v>74</v>
      </c>
      <c r="D708" s="1" t="s">
        <v>74</v>
      </c>
      <c r="E708" s="1" t="s">
        <v>74</v>
      </c>
      <c r="F708" s="1" t="s">
        <v>7189</v>
      </c>
      <c r="G708" s="1" t="s">
        <v>74</v>
      </c>
      <c r="H708" s="1" t="s">
        <v>74</v>
      </c>
      <c r="I708" s="1" t="s">
        <v>7190</v>
      </c>
      <c r="J708" s="1" t="s">
        <v>7191</v>
      </c>
      <c r="K708" s="1" t="s">
        <v>74</v>
      </c>
      <c r="L708" s="1" t="s">
        <v>74</v>
      </c>
      <c r="M708" s="1" t="s">
        <v>74</v>
      </c>
      <c r="N708" s="1" t="s">
        <v>74</v>
      </c>
      <c r="O708" s="1" t="s">
        <v>74</v>
      </c>
      <c r="P708" s="1" t="s">
        <v>74</v>
      </c>
      <c r="Q708" s="1" t="s">
        <v>74</v>
      </c>
      <c r="R708" s="1" t="s">
        <v>74</v>
      </c>
      <c r="S708" s="1" t="s">
        <v>74</v>
      </c>
      <c r="T708" s="1" t="s">
        <v>74</v>
      </c>
      <c r="U708" s="1" t="s">
        <v>74</v>
      </c>
      <c r="V708" s="1" t="s">
        <v>7192</v>
      </c>
      <c r="W708" s="1" t="s">
        <v>74</v>
      </c>
      <c r="X708" s="1" t="s">
        <v>74</v>
      </c>
      <c r="Y708" s="1" t="s">
        <v>74</v>
      </c>
      <c r="Z708" s="1" t="s">
        <v>74</v>
      </c>
      <c r="AA708" s="1" t="s">
        <v>7193</v>
      </c>
      <c r="AB708" s="1" t="s">
        <v>7194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7195</v>
      </c>
      <c r="AP708" s="1" t="s">
        <v>7196</v>
      </c>
      <c r="AQ708" s="1" t="s">
        <v>74</v>
      </c>
      <c r="AR708" s="1" t="s">
        <v>74</v>
      </c>
      <c r="AS708" s="1" t="s">
        <v>74</v>
      </c>
      <c r="AT708" s="1" t="s">
        <v>82</v>
      </c>
      <c r="AU708" s="1">
        <v>2016.0</v>
      </c>
      <c r="AV708" s="1">
        <v>56.0</v>
      </c>
      <c r="AW708" s="1" t="s">
        <v>74</v>
      </c>
      <c r="AX708" s="1" t="s">
        <v>74</v>
      </c>
      <c r="AY708" s="1" t="s">
        <v>74</v>
      </c>
      <c r="AZ708" s="1" t="s">
        <v>74</v>
      </c>
      <c r="BA708" s="1" t="s">
        <v>74</v>
      </c>
      <c r="BB708" s="1">
        <v>46.0</v>
      </c>
      <c r="BC708" s="1">
        <v>60.0</v>
      </c>
      <c r="BD708" s="1" t="s">
        <v>74</v>
      </c>
      <c r="BE708" s="1" t="s">
        <v>7197</v>
      </c>
      <c r="BF708" s="2" t="str">
        <f>HYPERLINK("http://dx.doi.org/10.1016/j.tifs.2016.07.014","http://dx.doi.org/10.1016/j.tifs.2016.07.014")</f>
        <v>http://dx.doi.org/10.1016/j.tifs.2016.07.014</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7198</v>
      </c>
      <c r="BT708" s="1" t="str">
        <f>HYPERLINK("https%3A%2F%2Fwww.webofscience.com%2Fwos%2Fwoscc%2Ffull-record%2FWOS:000384860700005","View Full Record in Web of Science")</f>
        <v>View Full Record in Web of Science</v>
      </c>
    </row>
    <row r="709" ht="12.75" customHeight="1">
      <c r="A709" s="1" t="s">
        <v>207</v>
      </c>
      <c r="B709" s="1" t="s">
        <v>7199</v>
      </c>
      <c r="C709" s="1" t="s">
        <v>74</v>
      </c>
      <c r="D709" s="1" t="s">
        <v>3789</v>
      </c>
      <c r="E709" s="1" t="s">
        <v>74</v>
      </c>
      <c r="F709" s="1" t="s">
        <v>7200</v>
      </c>
      <c r="G709" s="1" t="s">
        <v>74</v>
      </c>
      <c r="H709" s="1" t="s">
        <v>74</v>
      </c>
      <c r="I709" s="1" t="s">
        <v>7201</v>
      </c>
      <c r="J709" s="1" t="s">
        <v>3792</v>
      </c>
      <c r="K709" s="1" t="s">
        <v>74</v>
      </c>
      <c r="L709" s="1" t="s">
        <v>74</v>
      </c>
      <c r="M709" s="1" t="s">
        <v>74</v>
      </c>
      <c r="N709" s="1" t="s">
        <v>74</v>
      </c>
      <c r="O709" s="1" t="s">
        <v>3793</v>
      </c>
      <c r="P709" s="1" t="s">
        <v>3794</v>
      </c>
      <c r="Q709" s="1" t="s">
        <v>3795</v>
      </c>
      <c r="R709" s="1" t="s">
        <v>3796</v>
      </c>
      <c r="S709" s="1" t="s">
        <v>74</v>
      </c>
      <c r="T709" s="1" t="s">
        <v>74</v>
      </c>
      <c r="U709" s="1" t="s">
        <v>74</v>
      </c>
      <c r="V709" s="1" t="s">
        <v>7202</v>
      </c>
      <c r="W709" s="1" t="s">
        <v>74</v>
      </c>
      <c r="X709" s="1" t="s">
        <v>74</v>
      </c>
      <c r="Y709" s="1" t="s">
        <v>74</v>
      </c>
      <c r="Z709" s="1" t="s">
        <v>74</v>
      </c>
      <c r="AA709" s="1" t="s">
        <v>7203</v>
      </c>
      <c r="AB709" s="1" t="s">
        <v>7204</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74</v>
      </c>
      <c r="AP709" s="1" t="s">
        <v>74</v>
      </c>
      <c r="AQ709" s="1" t="s">
        <v>3800</v>
      </c>
      <c r="AR709" s="1" t="s">
        <v>74</v>
      </c>
      <c r="AS709" s="1" t="s">
        <v>74</v>
      </c>
      <c r="AT709" s="1" t="s">
        <v>74</v>
      </c>
      <c r="AU709" s="1">
        <v>2016.0</v>
      </c>
      <c r="AV709" s="1" t="s">
        <v>74</v>
      </c>
      <c r="AW709" s="1" t="s">
        <v>74</v>
      </c>
      <c r="AX709" s="1" t="s">
        <v>74</v>
      </c>
      <c r="AY709" s="1" t="s">
        <v>74</v>
      </c>
      <c r="AZ709" s="1" t="s">
        <v>74</v>
      </c>
      <c r="BA709" s="1" t="s">
        <v>74</v>
      </c>
      <c r="BB709" s="1">
        <v>201.0</v>
      </c>
      <c r="BC709" s="1">
        <v>207.0</v>
      </c>
      <c r="BD709" s="1" t="s">
        <v>74</v>
      </c>
      <c r="BE709" s="1" t="s">
        <v>74</v>
      </c>
      <c r="BF709" s="1" t="s">
        <v>74</v>
      </c>
      <c r="BG709" s="1" t="s">
        <v>74</v>
      </c>
      <c r="BH709" s="1" t="s">
        <v>74</v>
      </c>
      <c r="BI709" s="1" t="s">
        <v>74</v>
      </c>
      <c r="BJ709" s="1" t="s">
        <v>74</v>
      </c>
      <c r="BK709" s="1" t="s">
        <v>74</v>
      </c>
      <c r="BL709" s="1" t="s">
        <v>74</v>
      </c>
      <c r="BM709" s="1" t="s">
        <v>74</v>
      </c>
      <c r="BN709" s="1" t="s">
        <v>74</v>
      </c>
      <c r="BO709" s="1" t="s">
        <v>74</v>
      </c>
      <c r="BP709" s="1" t="s">
        <v>74</v>
      </c>
      <c r="BQ709" s="1" t="s">
        <v>74</v>
      </c>
      <c r="BR709" s="1" t="s">
        <v>74</v>
      </c>
      <c r="BS709" s="1" t="s">
        <v>7205</v>
      </c>
      <c r="BT709" s="1" t="str">
        <f>HYPERLINK("https%3A%2F%2Fwww.webofscience.com%2Fwos%2Fwoscc%2Ffull-record%2FWOS:000391251000031","View Full Record in Web of Science")</f>
        <v>View Full Record in Web of Science</v>
      </c>
    </row>
    <row r="710" ht="12.75" customHeight="1">
      <c r="A710" s="1" t="s">
        <v>72</v>
      </c>
      <c r="B710" s="1" t="s">
        <v>7206</v>
      </c>
      <c r="C710" s="1" t="s">
        <v>74</v>
      </c>
      <c r="D710" s="1" t="s">
        <v>74</v>
      </c>
      <c r="E710" s="1" t="s">
        <v>74</v>
      </c>
      <c r="F710" s="1" t="s">
        <v>7207</v>
      </c>
      <c r="G710" s="1" t="s">
        <v>74</v>
      </c>
      <c r="H710" s="1" t="s">
        <v>74</v>
      </c>
      <c r="I710" s="1" t="s">
        <v>7208</v>
      </c>
      <c r="J710" s="1" t="s">
        <v>7209</v>
      </c>
      <c r="K710" s="1" t="s">
        <v>74</v>
      </c>
      <c r="L710" s="1" t="s">
        <v>74</v>
      </c>
      <c r="M710" s="1" t="s">
        <v>74</v>
      </c>
      <c r="N710" s="1" t="s">
        <v>74</v>
      </c>
      <c r="O710" s="1" t="s">
        <v>74</v>
      </c>
      <c r="P710" s="1" t="s">
        <v>74</v>
      </c>
      <c r="Q710" s="1" t="s">
        <v>74</v>
      </c>
      <c r="R710" s="1" t="s">
        <v>74</v>
      </c>
      <c r="S710" s="1" t="s">
        <v>74</v>
      </c>
      <c r="T710" s="1" t="s">
        <v>74</v>
      </c>
      <c r="U710" s="1" t="s">
        <v>74</v>
      </c>
      <c r="V710" s="1" t="s">
        <v>7210</v>
      </c>
      <c r="W710" s="1" t="s">
        <v>74</v>
      </c>
      <c r="X710" s="1" t="s">
        <v>74</v>
      </c>
      <c r="Y710" s="1" t="s">
        <v>74</v>
      </c>
      <c r="Z710" s="1" t="s">
        <v>74</v>
      </c>
      <c r="AA710" s="1" t="s">
        <v>74</v>
      </c>
      <c r="AB710" s="1" t="s">
        <v>74</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7211</v>
      </c>
      <c r="AP710" s="1" t="s">
        <v>74</v>
      </c>
      <c r="AQ710" s="1" t="s">
        <v>74</v>
      </c>
      <c r="AR710" s="1" t="s">
        <v>74</v>
      </c>
      <c r="AS710" s="1" t="s">
        <v>74</v>
      </c>
      <c r="AT710" s="1" t="s">
        <v>600</v>
      </c>
      <c r="AU710" s="1">
        <v>2015.0</v>
      </c>
      <c r="AV710" s="1">
        <v>48.0</v>
      </c>
      <c r="AW710" s="1">
        <v>2.0</v>
      </c>
      <c r="AX710" s="1" t="s">
        <v>74</v>
      </c>
      <c r="AY710" s="1" t="s">
        <v>74</v>
      </c>
      <c r="AZ710" s="1" t="s">
        <v>74</v>
      </c>
      <c r="BA710" s="1" t="s">
        <v>74</v>
      </c>
      <c r="BB710" s="1">
        <v>537.0</v>
      </c>
      <c r="BC710" s="1">
        <v>561.0</v>
      </c>
      <c r="BD710" s="1" t="s">
        <v>74</v>
      </c>
      <c r="BE710" s="1" t="s">
        <v>74</v>
      </c>
      <c r="BF710" s="1" t="s">
        <v>74</v>
      </c>
      <c r="BG710" s="1" t="s">
        <v>74</v>
      </c>
      <c r="BH710" s="1" t="s">
        <v>74</v>
      </c>
      <c r="BI710" s="1" t="s">
        <v>74</v>
      </c>
      <c r="BJ710" s="1" t="s">
        <v>74</v>
      </c>
      <c r="BK710" s="1" t="s">
        <v>74</v>
      </c>
      <c r="BL710" s="1" t="s">
        <v>74</v>
      </c>
      <c r="BM710" s="1" t="s">
        <v>74</v>
      </c>
      <c r="BN710" s="1" t="s">
        <v>74</v>
      </c>
      <c r="BO710" s="1" t="s">
        <v>74</v>
      </c>
      <c r="BP710" s="1" t="s">
        <v>74</v>
      </c>
      <c r="BQ710" s="1" t="s">
        <v>74</v>
      </c>
      <c r="BR710" s="1" t="s">
        <v>74</v>
      </c>
      <c r="BS710" s="1" t="s">
        <v>7212</v>
      </c>
      <c r="BT710" s="1" t="str">
        <f>HYPERLINK("https%3A%2F%2Fwww.webofscience.com%2Fwos%2Fwoscc%2Ffull-record%2FWOS:000368046200005","View Full Record in Web of Science")</f>
        <v>View Full Record in Web of Science</v>
      </c>
    </row>
    <row r="711" ht="12.75" customHeight="1">
      <c r="A711" s="1" t="s">
        <v>207</v>
      </c>
      <c r="B711" s="1" t="s">
        <v>7213</v>
      </c>
      <c r="C711" s="1" t="s">
        <v>74</v>
      </c>
      <c r="D711" s="1" t="s">
        <v>74</v>
      </c>
      <c r="E711" s="1" t="s">
        <v>224</v>
      </c>
      <c r="F711" s="1" t="s">
        <v>7214</v>
      </c>
      <c r="G711" s="1" t="s">
        <v>74</v>
      </c>
      <c r="H711" s="1" t="s">
        <v>74</v>
      </c>
      <c r="I711" s="1" t="s">
        <v>7215</v>
      </c>
      <c r="J711" s="1" t="s">
        <v>7216</v>
      </c>
      <c r="K711" s="1" t="s">
        <v>7217</v>
      </c>
      <c r="L711" s="1" t="s">
        <v>74</v>
      </c>
      <c r="M711" s="1" t="s">
        <v>74</v>
      </c>
      <c r="N711" s="1" t="s">
        <v>74</v>
      </c>
      <c r="O711" s="1" t="s">
        <v>7218</v>
      </c>
      <c r="P711" s="1" t="s">
        <v>7219</v>
      </c>
      <c r="Q711" s="1" t="s">
        <v>7167</v>
      </c>
      <c r="R711" s="1" t="s">
        <v>224</v>
      </c>
      <c r="S711" s="1" t="s">
        <v>74</v>
      </c>
      <c r="T711" s="1" t="s">
        <v>74</v>
      </c>
      <c r="U711" s="1" t="s">
        <v>74</v>
      </c>
      <c r="V711" s="1" t="s">
        <v>7220</v>
      </c>
      <c r="W711" s="1" t="s">
        <v>74</v>
      </c>
      <c r="X711" s="1" t="s">
        <v>74</v>
      </c>
      <c r="Y711" s="1" t="s">
        <v>74</v>
      </c>
      <c r="Z711" s="1" t="s">
        <v>74</v>
      </c>
      <c r="AA711" s="1" t="s">
        <v>7221</v>
      </c>
      <c r="AB711" s="1" t="s">
        <v>7222</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74</v>
      </c>
      <c r="AP711" s="1" t="s">
        <v>74</v>
      </c>
      <c r="AQ711" s="1" t="s">
        <v>7223</v>
      </c>
      <c r="AR711" s="1" t="s">
        <v>74</v>
      </c>
      <c r="AS711" s="1" t="s">
        <v>74</v>
      </c>
      <c r="AT711" s="1" t="s">
        <v>74</v>
      </c>
      <c r="AU711" s="1">
        <v>2015.0</v>
      </c>
      <c r="AV711" s="1" t="s">
        <v>74</v>
      </c>
      <c r="AW711" s="1" t="s">
        <v>74</v>
      </c>
      <c r="AX711" s="1" t="s">
        <v>74</v>
      </c>
      <c r="AY711" s="1" t="s">
        <v>74</v>
      </c>
      <c r="AZ711" s="1" t="s">
        <v>74</v>
      </c>
      <c r="BA711" s="1" t="s">
        <v>74</v>
      </c>
      <c r="BB711" s="1">
        <v>838.0</v>
      </c>
      <c r="BC711" s="1">
        <v>845.0</v>
      </c>
      <c r="BD711" s="1" t="s">
        <v>74</v>
      </c>
      <c r="BE711" s="1" t="s">
        <v>74</v>
      </c>
      <c r="BF711" s="1" t="s">
        <v>74</v>
      </c>
      <c r="BG711" s="1" t="s">
        <v>74</v>
      </c>
      <c r="BH711" s="1" t="s">
        <v>74</v>
      </c>
      <c r="BI711" s="1" t="s">
        <v>74</v>
      </c>
      <c r="BJ711" s="1" t="s">
        <v>74</v>
      </c>
      <c r="BK711" s="1" t="s">
        <v>74</v>
      </c>
      <c r="BL711" s="1" t="s">
        <v>74</v>
      </c>
      <c r="BM711" s="1" t="s">
        <v>74</v>
      </c>
      <c r="BN711" s="1" t="s">
        <v>74</v>
      </c>
      <c r="BO711" s="1" t="s">
        <v>74</v>
      </c>
      <c r="BP711" s="1" t="s">
        <v>74</v>
      </c>
      <c r="BQ711" s="1" t="s">
        <v>74</v>
      </c>
      <c r="BR711" s="1" t="s">
        <v>74</v>
      </c>
      <c r="BS711" s="1" t="s">
        <v>7224</v>
      </c>
      <c r="BT711" s="1" t="str">
        <f>HYPERLINK("https%3A%2F%2Fwww.webofscience.com%2Fwos%2Fwoscc%2Ffull-record%2FWOS:000380444800112","View Full Record in Web of Science")</f>
        <v>View Full Record in Web of Science</v>
      </c>
    </row>
    <row r="712" ht="12.75" customHeight="1">
      <c r="A712" s="1" t="s">
        <v>72</v>
      </c>
      <c r="B712" s="1" t="s">
        <v>7225</v>
      </c>
      <c r="C712" s="1" t="s">
        <v>74</v>
      </c>
      <c r="D712" s="1" t="s">
        <v>74</v>
      </c>
      <c r="E712" s="1" t="s">
        <v>74</v>
      </c>
      <c r="F712" s="1" t="s">
        <v>7226</v>
      </c>
      <c r="G712" s="1" t="s">
        <v>74</v>
      </c>
      <c r="H712" s="1" t="s">
        <v>74</v>
      </c>
      <c r="I712" s="1" t="s">
        <v>7227</v>
      </c>
      <c r="J712" s="1" t="s">
        <v>7228</v>
      </c>
      <c r="K712" s="1" t="s">
        <v>74</v>
      </c>
      <c r="L712" s="1" t="s">
        <v>74</v>
      </c>
      <c r="M712" s="1" t="s">
        <v>74</v>
      </c>
      <c r="N712" s="1" t="s">
        <v>74</v>
      </c>
      <c r="O712" s="1" t="s">
        <v>74</v>
      </c>
      <c r="P712" s="1" t="s">
        <v>74</v>
      </c>
      <c r="Q712" s="1" t="s">
        <v>74</v>
      </c>
      <c r="R712" s="1" t="s">
        <v>74</v>
      </c>
      <c r="S712" s="1" t="s">
        <v>74</v>
      </c>
      <c r="T712" s="1" t="s">
        <v>74</v>
      </c>
      <c r="U712" s="1" t="s">
        <v>74</v>
      </c>
      <c r="V712" s="1" t="s">
        <v>7229</v>
      </c>
      <c r="W712" s="1" t="s">
        <v>74</v>
      </c>
      <c r="X712" s="1" t="s">
        <v>74</v>
      </c>
      <c r="Y712" s="1" t="s">
        <v>74</v>
      </c>
      <c r="Z712" s="1" t="s">
        <v>74</v>
      </c>
      <c r="AA712" s="1" t="s">
        <v>7230</v>
      </c>
      <c r="AB712" s="1" t="s">
        <v>7231</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7232</v>
      </c>
      <c r="AP712" s="1" t="s">
        <v>7233</v>
      </c>
      <c r="AQ712" s="1" t="s">
        <v>74</v>
      </c>
      <c r="AR712" s="1" t="s">
        <v>74</v>
      </c>
      <c r="AS712" s="1" t="s">
        <v>74</v>
      </c>
      <c r="AT712" s="1" t="s">
        <v>74</v>
      </c>
      <c r="AU712" s="1">
        <v>2015.0</v>
      </c>
      <c r="AV712" s="1">
        <v>73.0</v>
      </c>
      <c r="AW712" s="1">
        <v>3.0</v>
      </c>
      <c r="AX712" s="1" t="s">
        <v>74</v>
      </c>
      <c r="AY712" s="1" t="s">
        <v>74</v>
      </c>
      <c r="AZ712" s="1" t="s">
        <v>74</v>
      </c>
      <c r="BA712" s="1" t="s">
        <v>74</v>
      </c>
      <c r="BB712" s="1">
        <v>553.0</v>
      </c>
      <c r="BC712" s="1">
        <v>574.0</v>
      </c>
      <c r="BD712" s="1" t="s">
        <v>74</v>
      </c>
      <c r="BE712" s="1" t="s">
        <v>7234</v>
      </c>
      <c r="BF712" s="2" t="str">
        <f>HYPERLINK("http://dx.doi.org/10.1090/qam/1419","http://dx.doi.org/10.1090/qam/1419")</f>
        <v>http://dx.doi.org/10.1090/qam/1419</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7235</v>
      </c>
      <c r="BT712" s="1" t="str">
        <f>HYPERLINK("https%3A%2F%2Fwww.webofscience.com%2Fwos%2Fwoscc%2Ffull-record%2FWOS:000370802600010","View Full Record in Web of Science")</f>
        <v>View Full Record in Web of Science</v>
      </c>
    </row>
    <row r="713" ht="12.75" customHeight="1">
      <c r="A713" s="1" t="s">
        <v>72</v>
      </c>
      <c r="B713" s="1" t="s">
        <v>7236</v>
      </c>
      <c r="C713" s="1" t="s">
        <v>74</v>
      </c>
      <c r="D713" s="1" t="s">
        <v>74</v>
      </c>
      <c r="E713" s="1" t="s">
        <v>74</v>
      </c>
      <c r="F713" s="1" t="s">
        <v>7237</v>
      </c>
      <c r="G713" s="1" t="s">
        <v>74</v>
      </c>
      <c r="H713" s="1" t="s">
        <v>74</v>
      </c>
      <c r="I713" s="1" t="s">
        <v>7238</v>
      </c>
      <c r="J713" s="1" t="s">
        <v>5294</v>
      </c>
      <c r="K713" s="1" t="s">
        <v>74</v>
      </c>
      <c r="L713" s="1" t="s">
        <v>74</v>
      </c>
      <c r="M713" s="1" t="s">
        <v>74</v>
      </c>
      <c r="N713" s="1" t="s">
        <v>74</v>
      </c>
      <c r="O713" s="1" t="s">
        <v>74</v>
      </c>
      <c r="P713" s="1" t="s">
        <v>74</v>
      </c>
      <c r="Q713" s="1" t="s">
        <v>74</v>
      </c>
      <c r="R713" s="1" t="s">
        <v>74</v>
      </c>
      <c r="S713" s="1" t="s">
        <v>74</v>
      </c>
      <c r="T713" s="1" t="s">
        <v>74</v>
      </c>
      <c r="U713" s="1" t="s">
        <v>74</v>
      </c>
      <c r="V713" s="1" t="s">
        <v>7239</v>
      </c>
      <c r="W713" s="1" t="s">
        <v>74</v>
      </c>
      <c r="X713" s="1" t="s">
        <v>74</v>
      </c>
      <c r="Y713" s="1" t="s">
        <v>74</v>
      </c>
      <c r="Z713" s="1" t="s">
        <v>74</v>
      </c>
      <c r="AA713" s="1" t="s">
        <v>74</v>
      </c>
      <c r="AB713" s="1" t="s">
        <v>5724</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5296</v>
      </c>
      <c r="AP713" s="1" t="s">
        <v>5297</v>
      </c>
      <c r="AQ713" s="1" t="s">
        <v>74</v>
      </c>
      <c r="AR713" s="1" t="s">
        <v>74</v>
      </c>
      <c r="AS713" s="1" t="s">
        <v>74</v>
      </c>
      <c r="AT713" s="1" t="s">
        <v>82</v>
      </c>
      <c r="AU713" s="1">
        <v>2014.0</v>
      </c>
      <c r="AV713" s="1">
        <v>33.0</v>
      </c>
      <c r="AW713" s="1">
        <v>5.0</v>
      </c>
      <c r="AX713" s="1" t="s">
        <v>74</v>
      </c>
      <c r="AY713" s="1" t="s">
        <v>74</v>
      </c>
      <c r="AZ713" s="1" t="s">
        <v>74</v>
      </c>
      <c r="BA713" s="1" t="s">
        <v>74</v>
      </c>
      <c r="BB713" s="1">
        <v>493.0</v>
      </c>
      <c r="BC713" s="1">
        <v>501.0</v>
      </c>
      <c r="BD713" s="1" t="s">
        <v>74</v>
      </c>
      <c r="BE713" s="1" t="s">
        <v>7240</v>
      </c>
      <c r="BF713" s="2" t="str">
        <f>HYPERLINK("http://dx.doi.org/10.1007/s10930-014-9582-x","http://dx.doi.org/10.1007/s10930-014-9582-x")</f>
        <v>http://dx.doi.org/10.1007/s10930-014-9582-x</v>
      </c>
      <c r="BG713" s="1" t="s">
        <v>74</v>
      </c>
      <c r="BH713" s="1" t="s">
        <v>74</v>
      </c>
      <c r="BI713" s="1" t="s">
        <v>74</v>
      </c>
      <c r="BJ713" s="1" t="s">
        <v>74</v>
      </c>
      <c r="BK713" s="1" t="s">
        <v>74</v>
      </c>
      <c r="BL713" s="1" t="s">
        <v>74</v>
      </c>
      <c r="BM713" s="1" t="s">
        <v>74</v>
      </c>
      <c r="BN713" s="1">
        <v>2.5218252E7</v>
      </c>
      <c r="BO713" s="1" t="s">
        <v>74</v>
      </c>
      <c r="BP713" s="1" t="s">
        <v>74</v>
      </c>
      <c r="BQ713" s="1" t="s">
        <v>74</v>
      </c>
      <c r="BR713" s="1" t="s">
        <v>74</v>
      </c>
      <c r="BS713" s="1" t="s">
        <v>7241</v>
      </c>
      <c r="BT713" s="1" t="str">
        <f>HYPERLINK("https%3A%2F%2Fwww.webofscience.com%2Fwos%2Fwoscc%2Ffull-record%2FWOS:000342454600010","View Full Record in Web of Science")</f>
        <v>View Full Record in Web of Science</v>
      </c>
    </row>
    <row r="714" ht="12.75" customHeight="1">
      <c r="A714" s="1" t="s">
        <v>72</v>
      </c>
      <c r="B714" s="1" t="s">
        <v>7242</v>
      </c>
      <c r="C714" s="1" t="s">
        <v>74</v>
      </c>
      <c r="D714" s="1" t="s">
        <v>74</v>
      </c>
      <c r="E714" s="1" t="s">
        <v>74</v>
      </c>
      <c r="F714" s="1" t="s">
        <v>7243</v>
      </c>
      <c r="G714" s="1" t="s">
        <v>74</v>
      </c>
      <c r="H714" s="1" t="s">
        <v>74</v>
      </c>
      <c r="I714" s="1" t="s">
        <v>7244</v>
      </c>
      <c r="J714" s="1" t="s">
        <v>1497</v>
      </c>
      <c r="K714" s="1" t="s">
        <v>74</v>
      </c>
      <c r="L714" s="1" t="s">
        <v>74</v>
      </c>
      <c r="M714" s="1" t="s">
        <v>74</v>
      </c>
      <c r="N714" s="1" t="s">
        <v>74</v>
      </c>
      <c r="O714" s="1" t="s">
        <v>74</v>
      </c>
      <c r="P714" s="1" t="s">
        <v>74</v>
      </c>
      <c r="Q714" s="1" t="s">
        <v>74</v>
      </c>
      <c r="R714" s="1" t="s">
        <v>74</v>
      </c>
      <c r="S714" s="1" t="s">
        <v>74</v>
      </c>
      <c r="T714" s="1" t="s">
        <v>74</v>
      </c>
      <c r="U714" s="1" t="s">
        <v>74</v>
      </c>
      <c r="V714" s="1" t="s">
        <v>7245</v>
      </c>
      <c r="W714" s="1" t="s">
        <v>74</v>
      </c>
      <c r="X714" s="1" t="s">
        <v>74</v>
      </c>
      <c r="Y714" s="1" t="s">
        <v>74</v>
      </c>
      <c r="Z714" s="1" t="s">
        <v>74</v>
      </c>
      <c r="AA714" s="1" t="s">
        <v>7246</v>
      </c>
      <c r="AB714" s="1" t="s">
        <v>7247</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1501</v>
      </c>
      <c r="AP714" s="1" t="s">
        <v>74</v>
      </c>
      <c r="AQ714" s="1" t="s">
        <v>74</v>
      </c>
      <c r="AR714" s="1" t="s">
        <v>74</v>
      </c>
      <c r="AS714" s="1" t="s">
        <v>74</v>
      </c>
      <c r="AT714" s="1" t="s">
        <v>7248</v>
      </c>
      <c r="AU714" s="1">
        <v>2013.0</v>
      </c>
      <c r="AV714" s="1">
        <v>8.0</v>
      </c>
      <c r="AW714" s="1">
        <v>11.0</v>
      </c>
      <c r="AX714" s="1" t="s">
        <v>74</v>
      </c>
      <c r="AY714" s="1" t="s">
        <v>74</v>
      </c>
      <c r="AZ714" s="1" t="s">
        <v>74</v>
      </c>
      <c r="BA714" s="1" t="s">
        <v>74</v>
      </c>
      <c r="BB714" s="1" t="s">
        <v>74</v>
      </c>
      <c r="BC714" s="1" t="s">
        <v>74</v>
      </c>
      <c r="BD714" s="1" t="s">
        <v>7249</v>
      </c>
      <c r="BE714" s="1" t="s">
        <v>7250</v>
      </c>
      <c r="BF714" s="2" t="str">
        <f>HYPERLINK("http://dx.doi.org/10.1371/journal.pone.0079499","http://dx.doi.org/10.1371/journal.pone.0079499")</f>
        <v>http://dx.doi.org/10.1371/journal.pone.0079499</v>
      </c>
      <c r="BG714" s="1" t="s">
        <v>74</v>
      </c>
      <c r="BH714" s="1" t="s">
        <v>74</v>
      </c>
      <c r="BI714" s="1" t="s">
        <v>74</v>
      </c>
      <c r="BJ714" s="1" t="s">
        <v>74</v>
      </c>
      <c r="BK714" s="1" t="s">
        <v>74</v>
      </c>
      <c r="BL714" s="1" t="s">
        <v>74</v>
      </c>
      <c r="BM714" s="1" t="s">
        <v>74</v>
      </c>
      <c r="BN714" s="1">
        <v>2.4260236E7</v>
      </c>
      <c r="BO714" s="1" t="s">
        <v>74</v>
      </c>
      <c r="BP714" s="1" t="s">
        <v>74</v>
      </c>
      <c r="BQ714" s="1" t="s">
        <v>74</v>
      </c>
      <c r="BR714" s="1" t="s">
        <v>74</v>
      </c>
      <c r="BS714" s="1" t="s">
        <v>7251</v>
      </c>
      <c r="BT714" s="1" t="str">
        <f>HYPERLINK("https%3A%2F%2Fwww.webofscience.com%2Fwos%2Fwoscc%2Ffull-record%2FWOS:000327308500068","View Full Record in Web of Science")</f>
        <v>View Full Record in Web of Science</v>
      </c>
    </row>
    <row r="715" ht="12.75" customHeight="1">
      <c r="A715" s="1" t="s">
        <v>72</v>
      </c>
      <c r="B715" s="1" t="s">
        <v>7252</v>
      </c>
      <c r="C715" s="1" t="s">
        <v>74</v>
      </c>
      <c r="D715" s="1" t="s">
        <v>74</v>
      </c>
      <c r="E715" s="1" t="s">
        <v>74</v>
      </c>
      <c r="F715" s="1" t="s">
        <v>7253</v>
      </c>
      <c r="G715" s="1" t="s">
        <v>74</v>
      </c>
      <c r="H715" s="1" t="s">
        <v>74</v>
      </c>
      <c r="I715" s="1" t="s">
        <v>7254</v>
      </c>
      <c r="J715" s="1" t="s">
        <v>4334</v>
      </c>
      <c r="K715" s="1" t="s">
        <v>74</v>
      </c>
      <c r="L715" s="1" t="s">
        <v>74</v>
      </c>
      <c r="M715" s="1" t="s">
        <v>74</v>
      </c>
      <c r="N715" s="1" t="s">
        <v>74</v>
      </c>
      <c r="O715" s="1" t="s">
        <v>74</v>
      </c>
      <c r="P715" s="1" t="s">
        <v>74</v>
      </c>
      <c r="Q715" s="1" t="s">
        <v>74</v>
      </c>
      <c r="R715" s="1" t="s">
        <v>74</v>
      </c>
      <c r="S715" s="1" t="s">
        <v>74</v>
      </c>
      <c r="T715" s="1" t="s">
        <v>74</v>
      </c>
      <c r="U715" s="1" t="s">
        <v>74</v>
      </c>
      <c r="V715" s="1" t="s">
        <v>7255</v>
      </c>
      <c r="W715" s="1" t="s">
        <v>74</v>
      </c>
      <c r="X715" s="1" t="s">
        <v>74</v>
      </c>
      <c r="Y715" s="1" t="s">
        <v>74</v>
      </c>
      <c r="Z715" s="1" t="s">
        <v>74</v>
      </c>
      <c r="AA715" s="1" t="s">
        <v>7256</v>
      </c>
      <c r="AB715" s="1" t="s">
        <v>7257</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4336</v>
      </c>
      <c r="AP715" s="1" t="s">
        <v>4337</v>
      </c>
      <c r="AQ715" s="1" t="s">
        <v>74</v>
      </c>
      <c r="AR715" s="1" t="s">
        <v>74</v>
      </c>
      <c r="AS715" s="1" t="s">
        <v>74</v>
      </c>
      <c r="AT715" s="1" t="s">
        <v>4121</v>
      </c>
      <c r="AU715" s="1">
        <v>2012.0</v>
      </c>
      <c r="AV715" s="1">
        <v>86.0</v>
      </c>
      <c r="AW715" s="1">
        <v>6.0</v>
      </c>
      <c r="AX715" s="1">
        <v>1.0</v>
      </c>
      <c r="AY715" s="1" t="s">
        <v>74</v>
      </c>
      <c r="AZ715" s="1" t="s">
        <v>74</v>
      </c>
      <c r="BA715" s="1" t="s">
        <v>74</v>
      </c>
      <c r="BB715" s="1" t="s">
        <v>74</v>
      </c>
      <c r="BC715" s="1" t="s">
        <v>74</v>
      </c>
      <c r="BD715" s="1">
        <v>61303.0</v>
      </c>
      <c r="BE715" s="1" t="s">
        <v>7258</v>
      </c>
      <c r="BF715" s="2" t="str">
        <f>HYPERLINK("http://dx.doi.org/10.1103/PhysRevE.86.061303","http://dx.doi.org/10.1103/PhysRevE.86.061303")</f>
        <v>http://dx.doi.org/10.1103/PhysRevE.86.061303</v>
      </c>
      <c r="BG715" s="1" t="s">
        <v>74</v>
      </c>
      <c r="BH715" s="1" t="s">
        <v>74</v>
      </c>
      <c r="BI715" s="1" t="s">
        <v>74</v>
      </c>
      <c r="BJ715" s="1" t="s">
        <v>74</v>
      </c>
      <c r="BK715" s="1" t="s">
        <v>74</v>
      </c>
      <c r="BL715" s="1" t="s">
        <v>74</v>
      </c>
      <c r="BM715" s="1" t="s">
        <v>74</v>
      </c>
      <c r="BN715" s="1">
        <v>2.3367928E7</v>
      </c>
      <c r="BO715" s="1" t="s">
        <v>74</v>
      </c>
      <c r="BP715" s="1" t="s">
        <v>74</v>
      </c>
      <c r="BQ715" s="1" t="s">
        <v>74</v>
      </c>
      <c r="BR715" s="1" t="s">
        <v>74</v>
      </c>
      <c r="BS715" s="1" t="s">
        <v>7259</v>
      </c>
      <c r="BT715" s="1" t="str">
        <f>HYPERLINK("https%3A%2F%2Fwww.webofscience.com%2Fwos%2Fwoscc%2Ffull-record%2FWOS:000312031400007","View Full Record in Web of Science")</f>
        <v>View Full Record in Web of Science</v>
      </c>
    </row>
    <row r="716" ht="12.75" customHeight="1">
      <c r="A716" s="1" t="s">
        <v>72</v>
      </c>
      <c r="B716" s="1" t="s">
        <v>7260</v>
      </c>
      <c r="C716" s="1" t="s">
        <v>74</v>
      </c>
      <c r="D716" s="1" t="s">
        <v>74</v>
      </c>
      <c r="E716" s="1" t="s">
        <v>74</v>
      </c>
      <c r="F716" s="1" t="s">
        <v>7261</v>
      </c>
      <c r="G716" s="1" t="s">
        <v>74</v>
      </c>
      <c r="H716" s="1" t="s">
        <v>74</v>
      </c>
      <c r="I716" s="1" t="s">
        <v>7262</v>
      </c>
      <c r="J716" s="1" t="s">
        <v>3159</v>
      </c>
      <c r="K716" s="1" t="s">
        <v>74</v>
      </c>
      <c r="L716" s="1" t="s">
        <v>74</v>
      </c>
      <c r="M716" s="1" t="s">
        <v>74</v>
      </c>
      <c r="N716" s="1" t="s">
        <v>74</v>
      </c>
      <c r="O716" s="1" t="s">
        <v>74</v>
      </c>
      <c r="P716" s="1" t="s">
        <v>74</v>
      </c>
      <c r="Q716" s="1" t="s">
        <v>74</v>
      </c>
      <c r="R716" s="1" t="s">
        <v>74</v>
      </c>
      <c r="S716" s="1" t="s">
        <v>74</v>
      </c>
      <c r="T716" s="1" t="s">
        <v>74</v>
      </c>
      <c r="U716" s="1" t="s">
        <v>74</v>
      </c>
      <c r="V716" s="1" t="s">
        <v>7263</v>
      </c>
      <c r="W716" s="1" t="s">
        <v>74</v>
      </c>
      <c r="X716" s="1" t="s">
        <v>74</v>
      </c>
      <c r="Y716" s="1" t="s">
        <v>74</v>
      </c>
      <c r="Z716" s="1" t="s">
        <v>74</v>
      </c>
      <c r="AA716" s="1" t="s">
        <v>7264</v>
      </c>
      <c r="AB716" s="1" t="s">
        <v>7265</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3163</v>
      </c>
      <c r="AP716" s="1" t="s">
        <v>3164</v>
      </c>
      <c r="AQ716" s="1" t="s">
        <v>74</v>
      </c>
      <c r="AR716" s="1" t="s">
        <v>74</v>
      </c>
      <c r="AS716" s="1" t="s">
        <v>74</v>
      </c>
      <c r="AT716" s="1" t="s">
        <v>3327</v>
      </c>
      <c r="AU716" s="1">
        <v>2012.0</v>
      </c>
      <c r="AV716" s="1">
        <v>132.0</v>
      </c>
      <c r="AW716" s="1">
        <v>3.0</v>
      </c>
      <c r="AX716" s="1" t="s">
        <v>74</v>
      </c>
      <c r="AY716" s="1" t="s">
        <v>74</v>
      </c>
      <c r="AZ716" s="1" t="s">
        <v>74</v>
      </c>
      <c r="BA716" s="1" t="s">
        <v>74</v>
      </c>
      <c r="BB716" s="1">
        <v>1121.0</v>
      </c>
      <c r="BC716" s="1">
        <v>1132.0</v>
      </c>
      <c r="BD716" s="1" t="s">
        <v>74</v>
      </c>
      <c r="BE716" s="1" t="s">
        <v>7266</v>
      </c>
      <c r="BF716" s="2" t="str">
        <f>HYPERLINK("http://dx.doi.org/10.1016/j.foodchem.2011.11.140","http://dx.doi.org/10.1016/j.foodchem.2011.11.140")</f>
        <v>http://dx.doi.org/10.1016/j.foodchem.2011.11.140</v>
      </c>
      <c r="BG716" s="1" t="s">
        <v>74</v>
      </c>
      <c r="BH716" s="1" t="s">
        <v>74</v>
      </c>
      <c r="BI716" s="1" t="s">
        <v>74</v>
      </c>
      <c r="BJ716" s="1" t="s">
        <v>74</v>
      </c>
      <c r="BK716" s="1" t="s">
        <v>74</v>
      </c>
      <c r="BL716" s="1" t="s">
        <v>74</v>
      </c>
      <c r="BM716" s="1" t="s">
        <v>74</v>
      </c>
      <c r="BN716" s="1">
        <v>2.9243591E7</v>
      </c>
      <c r="BO716" s="1" t="s">
        <v>74</v>
      </c>
      <c r="BP716" s="1" t="s">
        <v>74</v>
      </c>
      <c r="BQ716" s="1" t="s">
        <v>74</v>
      </c>
      <c r="BR716" s="1" t="s">
        <v>74</v>
      </c>
      <c r="BS716" s="1" t="s">
        <v>7267</v>
      </c>
      <c r="BT716" s="1" t="str">
        <f>HYPERLINK("https%3A%2F%2Fwww.webofscience.com%2Fwos%2Fwoscc%2Ffull-record%2FWOS:000301022400002","View Full Record in Web of Science")</f>
        <v>View Full Record in Web of Science</v>
      </c>
    </row>
    <row r="717" ht="12.75" customHeight="1">
      <c r="A717" s="1" t="s">
        <v>72</v>
      </c>
      <c r="B717" s="1" t="s">
        <v>7268</v>
      </c>
      <c r="C717" s="1" t="s">
        <v>74</v>
      </c>
      <c r="D717" s="1" t="s">
        <v>74</v>
      </c>
      <c r="E717" s="1" t="s">
        <v>74</v>
      </c>
      <c r="F717" s="1" t="s">
        <v>7269</v>
      </c>
      <c r="G717" s="1" t="s">
        <v>74</v>
      </c>
      <c r="H717" s="1" t="s">
        <v>74</v>
      </c>
      <c r="I717" s="1" t="s">
        <v>7270</v>
      </c>
      <c r="J717" s="1" t="s">
        <v>7271</v>
      </c>
      <c r="K717" s="1" t="s">
        <v>74</v>
      </c>
      <c r="L717" s="1" t="s">
        <v>74</v>
      </c>
      <c r="M717" s="1" t="s">
        <v>74</v>
      </c>
      <c r="N717" s="1" t="s">
        <v>74</v>
      </c>
      <c r="O717" s="1" t="s">
        <v>74</v>
      </c>
      <c r="P717" s="1" t="s">
        <v>74</v>
      </c>
      <c r="Q717" s="1" t="s">
        <v>74</v>
      </c>
      <c r="R717" s="1" t="s">
        <v>74</v>
      </c>
      <c r="S717" s="1" t="s">
        <v>74</v>
      </c>
      <c r="T717" s="1" t="s">
        <v>74</v>
      </c>
      <c r="U717" s="1" t="s">
        <v>74</v>
      </c>
      <c r="V717" s="1" t="s">
        <v>7272</v>
      </c>
      <c r="W717" s="1" t="s">
        <v>74</v>
      </c>
      <c r="X717" s="1" t="s">
        <v>74</v>
      </c>
      <c r="Y717" s="1" t="s">
        <v>74</v>
      </c>
      <c r="Z717" s="1" t="s">
        <v>74</v>
      </c>
      <c r="AA717" s="1" t="s">
        <v>7273</v>
      </c>
      <c r="AB717" s="1" t="s">
        <v>7274</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7275</v>
      </c>
      <c r="AP717" s="1" t="s">
        <v>74</v>
      </c>
      <c r="AQ717" s="1" t="s">
        <v>74</v>
      </c>
      <c r="AR717" s="1" t="s">
        <v>74</v>
      </c>
      <c r="AS717" s="1" t="s">
        <v>74</v>
      </c>
      <c r="AT717" s="1" t="s">
        <v>4433</v>
      </c>
      <c r="AU717" s="1">
        <v>2012.0</v>
      </c>
      <c r="AV717" s="1">
        <v>21.0</v>
      </c>
      <c r="AW717" s="1">
        <v>2.0</v>
      </c>
      <c r="AX717" s="1" t="s">
        <v>74</v>
      </c>
      <c r="AY717" s="1" t="s">
        <v>74</v>
      </c>
      <c r="AZ717" s="1" t="s">
        <v>74</v>
      </c>
      <c r="BA717" s="1" t="s">
        <v>74</v>
      </c>
      <c r="BB717" s="1">
        <v>190.0</v>
      </c>
      <c r="BC717" s="1">
        <v>193.0</v>
      </c>
      <c r="BD717" s="1" t="s">
        <v>74</v>
      </c>
      <c r="BE717" s="1" t="s">
        <v>7276</v>
      </c>
      <c r="BF717" s="2" t="str">
        <f>HYPERLINK("http://dx.doi.org/10.3145/epi.2012.mar.10","http://dx.doi.org/10.3145/epi.2012.mar.10")</f>
        <v>http://dx.doi.org/10.3145/epi.2012.mar.10</v>
      </c>
      <c r="BG717" s="1" t="s">
        <v>74</v>
      </c>
      <c r="BH717" s="1" t="s">
        <v>74</v>
      </c>
      <c r="BI717" s="1" t="s">
        <v>74</v>
      </c>
      <c r="BJ717" s="1" t="s">
        <v>74</v>
      </c>
      <c r="BK717" s="1" t="s">
        <v>74</v>
      </c>
      <c r="BL717" s="1" t="s">
        <v>74</v>
      </c>
      <c r="BM717" s="1" t="s">
        <v>74</v>
      </c>
      <c r="BN717" s="1" t="s">
        <v>74</v>
      </c>
      <c r="BO717" s="1" t="s">
        <v>74</v>
      </c>
      <c r="BP717" s="1" t="s">
        <v>74</v>
      </c>
      <c r="BQ717" s="1" t="s">
        <v>74</v>
      </c>
      <c r="BR717" s="1" t="s">
        <v>74</v>
      </c>
      <c r="BS717" s="1" t="s">
        <v>7277</v>
      </c>
      <c r="BT717" s="1" t="str">
        <f>HYPERLINK("https%3A%2F%2Fwww.webofscience.com%2Fwos%2Fwoscc%2Ffull-record%2FWOS:000302851700010","View Full Record in Web of Science")</f>
        <v>View Full Record in Web of Science</v>
      </c>
    </row>
    <row r="718" ht="12.75" customHeight="1">
      <c r="A718" s="1" t="s">
        <v>72</v>
      </c>
      <c r="B718" s="1" t="s">
        <v>7278</v>
      </c>
      <c r="C718" s="1" t="s">
        <v>74</v>
      </c>
      <c r="D718" s="1" t="s">
        <v>74</v>
      </c>
      <c r="E718" s="1" t="s">
        <v>74</v>
      </c>
      <c r="F718" s="1" t="s">
        <v>7279</v>
      </c>
      <c r="G718" s="1" t="s">
        <v>74</v>
      </c>
      <c r="H718" s="1" t="s">
        <v>74</v>
      </c>
      <c r="I718" s="1" t="s">
        <v>7280</v>
      </c>
      <c r="J718" s="1" t="s">
        <v>7281</v>
      </c>
      <c r="K718" s="1" t="s">
        <v>74</v>
      </c>
      <c r="L718" s="1" t="s">
        <v>74</v>
      </c>
      <c r="M718" s="1" t="s">
        <v>74</v>
      </c>
      <c r="N718" s="1" t="s">
        <v>74</v>
      </c>
      <c r="O718" s="1" t="s">
        <v>74</v>
      </c>
      <c r="P718" s="1" t="s">
        <v>74</v>
      </c>
      <c r="Q718" s="1" t="s">
        <v>74</v>
      </c>
      <c r="R718" s="1" t="s">
        <v>74</v>
      </c>
      <c r="S718" s="1" t="s">
        <v>74</v>
      </c>
      <c r="T718" s="1" t="s">
        <v>74</v>
      </c>
      <c r="U718" s="1" t="s">
        <v>74</v>
      </c>
      <c r="V718" s="1" t="s">
        <v>7282</v>
      </c>
      <c r="W718" s="1" t="s">
        <v>74</v>
      </c>
      <c r="X718" s="1" t="s">
        <v>74</v>
      </c>
      <c r="Y718" s="1" t="s">
        <v>74</v>
      </c>
      <c r="Z718" s="1" t="s">
        <v>74</v>
      </c>
      <c r="AA718" s="1" t="s">
        <v>7283</v>
      </c>
      <c r="AB718" s="1" t="s">
        <v>7284</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7285</v>
      </c>
      <c r="AP718" s="1" t="s">
        <v>7286</v>
      </c>
      <c r="AQ718" s="1" t="s">
        <v>74</v>
      </c>
      <c r="AR718" s="1" t="s">
        <v>74</v>
      </c>
      <c r="AS718" s="1" t="s">
        <v>74</v>
      </c>
      <c r="AT718" s="1" t="s">
        <v>294</v>
      </c>
      <c r="AU718" s="1">
        <v>2012.0</v>
      </c>
      <c r="AV718" s="1">
        <v>22.0</v>
      </c>
      <c r="AW718" s="1">
        <v>2.0</v>
      </c>
      <c r="AX718" s="1" t="s">
        <v>74</v>
      </c>
      <c r="AY718" s="1" t="s">
        <v>74</v>
      </c>
      <c r="AZ718" s="1" t="s">
        <v>74</v>
      </c>
      <c r="BA718" s="1" t="s">
        <v>74</v>
      </c>
      <c r="BB718" s="1">
        <v>288.0</v>
      </c>
      <c r="BC718" s="1">
        <v>299.0</v>
      </c>
      <c r="BD718" s="1" t="s">
        <v>74</v>
      </c>
      <c r="BE718" s="1" t="s">
        <v>7287</v>
      </c>
      <c r="BF718" s="2" t="str">
        <f>HYPERLINK("http://dx.doi.org/10.1093/glycob/cwr150","http://dx.doi.org/10.1093/glycob/cwr150")</f>
        <v>http://dx.doi.org/10.1093/glycob/cwr150</v>
      </c>
      <c r="BG718" s="1" t="s">
        <v>74</v>
      </c>
      <c r="BH718" s="1" t="s">
        <v>74</v>
      </c>
      <c r="BI718" s="1" t="s">
        <v>74</v>
      </c>
      <c r="BJ718" s="1" t="s">
        <v>74</v>
      </c>
      <c r="BK718" s="1" t="s">
        <v>74</v>
      </c>
      <c r="BL718" s="1" t="s">
        <v>74</v>
      </c>
      <c r="BM718" s="1" t="s">
        <v>74</v>
      </c>
      <c r="BN718" s="1">
        <v>2.1983211E7</v>
      </c>
      <c r="BO718" s="1" t="s">
        <v>74</v>
      </c>
      <c r="BP718" s="1" t="s">
        <v>74</v>
      </c>
      <c r="BQ718" s="1" t="s">
        <v>74</v>
      </c>
      <c r="BR718" s="1" t="s">
        <v>74</v>
      </c>
      <c r="BS718" s="1" t="s">
        <v>7288</v>
      </c>
      <c r="BT718" s="1" t="str">
        <f>HYPERLINK("https%3A%2F%2Fwww.webofscience.com%2Fwos%2Fwoscc%2Ffull-record%2FWOS:000299095300012","View Full Record in Web of Science")</f>
        <v>View Full Record in Web of Science</v>
      </c>
    </row>
    <row r="719" ht="12.75" customHeight="1">
      <c r="A719" s="1" t="s">
        <v>72</v>
      </c>
      <c r="B719" s="1" t="s">
        <v>7289</v>
      </c>
      <c r="C719" s="1" t="s">
        <v>74</v>
      </c>
      <c r="D719" s="1" t="s">
        <v>74</v>
      </c>
      <c r="E719" s="1" t="s">
        <v>74</v>
      </c>
      <c r="F719" s="1" t="s">
        <v>7290</v>
      </c>
      <c r="G719" s="1" t="s">
        <v>74</v>
      </c>
      <c r="H719" s="1" t="s">
        <v>74</v>
      </c>
      <c r="I719" s="1" t="s">
        <v>7291</v>
      </c>
      <c r="J719" s="1" t="s">
        <v>7292</v>
      </c>
      <c r="K719" s="1" t="s">
        <v>74</v>
      </c>
      <c r="L719" s="1" t="s">
        <v>74</v>
      </c>
      <c r="M719" s="1" t="s">
        <v>74</v>
      </c>
      <c r="N719" s="1" t="s">
        <v>74</v>
      </c>
      <c r="O719" s="1" t="s">
        <v>74</v>
      </c>
      <c r="P719" s="1" t="s">
        <v>74</v>
      </c>
      <c r="Q719" s="1" t="s">
        <v>74</v>
      </c>
      <c r="R719" s="1" t="s">
        <v>74</v>
      </c>
      <c r="S719" s="1" t="s">
        <v>74</v>
      </c>
      <c r="T719" s="1" t="s">
        <v>74</v>
      </c>
      <c r="U719" s="1" t="s">
        <v>74</v>
      </c>
      <c r="V719" s="1" t="s">
        <v>7293</v>
      </c>
      <c r="W719" s="1" t="s">
        <v>74</v>
      </c>
      <c r="X719" s="1" t="s">
        <v>74</v>
      </c>
      <c r="Y719" s="1" t="s">
        <v>74</v>
      </c>
      <c r="Z719" s="1" t="s">
        <v>74</v>
      </c>
      <c r="AA719" s="1" t="s">
        <v>74</v>
      </c>
      <c r="AB719" s="1" t="s">
        <v>7294</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7295</v>
      </c>
      <c r="AP719" s="1" t="s">
        <v>7296</v>
      </c>
      <c r="AQ719" s="1" t="s">
        <v>74</v>
      </c>
      <c r="AR719" s="1" t="s">
        <v>74</v>
      </c>
      <c r="AS719" s="1" t="s">
        <v>74</v>
      </c>
      <c r="AT719" s="1" t="s">
        <v>82</v>
      </c>
      <c r="AU719" s="1">
        <v>2009.0</v>
      </c>
      <c r="AV719" s="1">
        <v>20.0</v>
      </c>
      <c r="AW719" s="1">
        <v>10.0</v>
      </c>
      <c r="AX719" s="1" t="s">
        <v>74</v>
      </c>
      <c r="AY719" s="1" t="s">
        <v>74</v>
      </c>
      <c r="AZ719" s="1" t="s">
        <v>74</v>
      </c>
      <c r="BA719" s="1" t="s">
        <v>74</v>
      </c>
      <c r="BB719" s="1">
        <v>791.0</v>
      </c>
      <c r="BC719" s="1">
        <v>799.0</v>
      </c>
      <c r="BD719" s="1" t="s">
        <v>74</v>
      </c>
      <c r="BE719" s="1" t="s">
        <v>7297</v>
      </c>
      <c r="BF719" s="2" t="str">
        <f>HYPERLINK("http://dx.doi.org/10.1016/j.jnutbio.2008.07.008","http://dx.doi.org/10.1016/j.jnutbio.2008.07.008")</f>
        <v>http://dx.doi.org/10.1016/j.jnutbio.2008.07.008</v>
      </c>
      <c r="BG719" s="1" t="s">
        <v>74</v>
      </c>
      <c r="BH719" s="1" t="s">
        <v>74</v>
      </c>
      <c r="BI719" s="1" t="s">
        <v>74</v>
      </c>
      <c r="BJ719" s="1" t="s">
        <v>74</v>
      </c>
      <c r="BK719" s="1" t="s">
        <v>74</v>
      </c>
      <c r="BL719" s="1" t="s">
        <v>74</v>
      </c>
      <c r="BM719" s="1" t="s">
        <v>74</v>
      </c>
      <c r="BN719" s="1">
        <v>1.8926683E7</v>
      </c>
      <c r="BO719" s="1" t="s">
        <v>74</v>
      </c>
      <c r="BP719" s="1" t="s">
        <v>74</v>
      </c>
      <c r="BQ719" s="1" t="s">
        <v>74</v>
      </c>
      <c r="BR719" s="1" t="s">
        <v>74</v>
      </c>
      <c r="BS719" s="1" t="s">
        <v>7298</v>
      </c>
      <c r="BT719" s="1" t="str">
        <f>HYPERLINK("https%3A%2F%2Fwww.webofscience.com%2Fwos%2Fwoscc%2Ffull-record%2FWOS:000270439400006","View Full Record in Web of Science")</f>
        <v>View Full Record in Web of Science</v>
      </c>
    </row>
    <row r="720" ht="12.75" customHeight="1">
      <c r="A720" s="1" t="s">
        <v>72</v>
      </c>
      <c r="B720" s="1" t="s">
        <v>7299</v>
      </c>
      <c r="C720" s="1" t="s">
        <v>74</v>
      </c>
      <c r="D720" s="1" t="s">
        <v>74</v>
      </c>
      <c r="E720" s="1" t="s">
        <v>74</v>
      </c>
      <c r="F720" s="1" t="s">
        <v>7299</v>
      </c>
      <c r="G720" s="1" t="s">
        <v>74</v>
      </c>
      <c r="H720" s="1" t="s">
        <v>74</v>
      </c>
      <c r="I720" s="1" t="s">
        <v>7300</v>
      </c>
      <c r="J720" s="1" t="s">
        <v>7301</v>
      </c>
      <c r="K720" s="1" t="s">
        <v>74</v>
      </c>
      <c r="L720" s="1" t="s">
        <v>74</v>
      </c>
      <c r="M720" s="1" t="s">
        <v>74</v>
      </c>
      <c r="N720" s="1" t="s">
        <v>74</v>
      </c>
      <c r="O720" s="1" t="s">
        <v>74</v>
      </c>
      <c r="P720" s="1" t="s">
        <v>74</v>
      </c>
      <c r="Q720" s="1" t="s">
        <v>74</v>
      </c>
      <c r="R720" s="1" t="s">
        <v>74</v>
      </c>
      <c r="S720" s="1" t="s">
        <v>74</v>
      </c>
      <c r="T720" s="1" t="s">
        <v>74</v>
      </c>
      <c r="U720" s="1" t="s">
        <v>74</v>
      </c>
      <c r="V720" s="1" t="s">
        <v>7302</v>
      </c>
      <c r="W720" s="1" t="s">
        <v>74</v>
      </c>
      <c r="X720" s="1" t="s">
        <v>74</v>
      </c>
      <c r="Y720" s="1" t="s">
        <v>74</v>
      </c>
      <c r="Z720" s="1" t="s">
        <v>74</v>
      </c>
      <c r="AA720" s="1" t="s">
        <v>74</v>
      </c>
      <c r="AB720" s="1" t="s">
        <v>74</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7303</v>
      </c>
      <c r="AP720" s="1" t="s">
        <v>7304</v>
      </c>
      <c r="AQ720" s="1" t="s">
        <v>74</v>
      </c>
      <c r="AR720" s="1" t="s">
        <v>74</v>
      </c>
      <c r="AS720" s="1" t="s">
        <v>74</v>
      </c>
      <c r="AT720" s="1" t="s">
        <v>1238</v>
      </c>
      <c r="AU720" s="1">
        <v>2005.0</v>
      </c>
      <c r="AV720" s="1">
        <v>461.0</v>
      </c>
      <c r="AW720" s="1">
        <v>2055.0</v>
      </c>
      <c r="AX720" s="1" t="s">
        <v>74</v>
      </c>
      <c r="AY720" s="1" t="s">
        <v>74</v>
      </c>
      <c r="AZ720" s="1" t="s">
        <v>74</v>
      </c>
      <c r="BA720" s="1" t="s">
        <v>74</v>
      </c>
      <c r="BB720" s="1">
        <v>671.0</v>
      </c>
      <c r="BC720" s="1">
        <v>700.0</v>
      </c>
      <c r="BD720" s="1" t="s">
        <v>74</v>
      </c>
      <c r="BE720" s="1" t="s">
        <v>7305</v>
      </c>
      <c r="BF720" s="2" t="str">
        <f>HYPERLINK("http://dx.doi.org/10.1098/rspa.2004.1371","http://dx.doi.org/10.1098/rspa.2004.1371")</f>
        <v>http://dx.doi.org/10.1098/rspa.2004.1371</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7306</v>
      </c>
      <c r="BT720" s="1" t="str">
        <f>HYPERLINK("https%3A%2F%2Fwww.webofscience.com%2Fwos%2Fwoscc%2Ffull-record%2FWOS:000227283900004","View Full Record in Web of Science")</f>
        <v>View Full Record in Web of Science</v>
      </c>
    </row>
    <row r="721" ht="12.75" customHeight="1">
      <c r="A721" s="1" t="s">
        <v>72</v>
      </c>
      <c r="B721" s="1" t="s">
        <v>7307</v>
      </c>
      <c r="C721" s="1" t="s">
        <v>74</v>
      </c>
      <c r="D721" s="1" t="s">
        <v>74</v>
      </c>
      <c r="E721" s="1" t="s">
        <v>74</v>
      </c>
      <c r="F721" s="1" t="s">
        <v>7307</v>
      </c>
      <c r="G721" s="1" t="s">
        <v>74</v>
      </c>
      <c r="H721" s="1" t="s">
        <v>74</v>
      </c>
      <c r="I721" s="1" t="s">
        <v>7308</v>
      </c>
      <c r="J721" s="1" t="s">
        <v>4393</v>
      </c>
      <c r="K721" s="1" t="s">
        <v>74</v>
      </c>
      <c r="L721" s="1" t="s">
        <v>74</v>
      </c>
      <c r="M721" s="1" t="s">
        <v>74</v>
      </c>
      <c r="N721" s="1" t="s">
        <v>74</v>
      </c>
      <c r="O721" s="1" t="s">
        <v>74</v>
      </c>
      <c r="P721" s="1" t="s">
        <v>74</v>
      </c>
      <c r="Q721" s="1" t="s">
        <v>74</v>
      </c>
      <c r="R721" s="1" t="s">
        <v>74</v>
      </c>
      <c r="S721" s="1" t="s">
        <v>74</v>
      </c>
      <c r="T721" s="1" t="s">
        <v>74</v>
      </c>
      <c r="U721" s="1" t="s">
        <v>74</v>
      </c>
      <c r="V721" s="1" t="s">
        <v>7309</v>
      </c>
      <c r="W721" s="1" t="s">
        <v>74</v>
      </c>
      <c r="X721" s="1" t="s">
        <v>74</v>
      </c>
      <c r="Y721" s="1" t="s">
        <v>74</v>
      </c>
      <c r="Z721" s="1" t="s">
        <v>74</v>
      </c>
      <c r="AA721" s="1" t="s">
        <v>74</v>
      </c>
      <c r="AB721" s="1" t="s">
        <v>7310</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4396</v>
      </c>
      <c r="AP721" s="1" t="s">
        <v>74</v>
      </c>
      <c r="AQ721" s="1" t="s">
        <v>74</v>
      </c>
      <c r="AR721" s="1" t="s">
        <v>74</v>
      </c>
      <c r="AS721" s="1" t="s">
        <v>74</v>
      </c>
      <c r="AT721" s="1" t="s">
        <v>374</v>
      </c>
      <c r="AU721" s="1">
        <v>2000.0</v>
      </c>
      <c r="AV721" s="1">
        <v>48.0</v>
      </c>
      <c r="AW721" s="1">
        <v>2.0</v>
      </c>
      <c r="AX721" s="1" t="s">
        <v>74</v>
      </c>
      <c r="AY721" s="1" t="s">
        <v>74</v>
      </c>
      <c r="AZ721" s="1" t="s">
        <v>74</v>
      </c>
      <c r="BA721" s="1" t="s">
        <v>74</v>
      </c>
      <c r="BB721" s="1">
        <v>125.0</v>
      </c>
      <c r="BC721" s="1">
        <v>130.0</v>
      </c>
      <c r="BD721" s="1" t="s">
        <v>74</v>
      </c>
      <c r="BE721" s="1" t="s">
        <v>7311</v>
      </c>
      <c r="BF721" s="2" t="str">
        <f>HYPERLINK("http://dx.doi.org/10.1016/S0166-3542(00)00122-4","http://dx.doi.org/10.1016/S0166-3542(00)00122-4")</f>
        <v>http://dx.doi.org/10.1016/S0166-3542(00)00122-4</v>
      </c>
      <c r="BG721" s="1" t="s">
        <v>74</v>
      </c>
      <c r="BH721" s="1" t="s">
        <v>74</v>
      </c>
      <c r="BI721" s="1" t="s">
        <v>74</v>
      </c>
      <c r="BJ721" s="1" t="s">
        <v>74</v>
      </c>
      <c r="BK721" s="1" t="s">
        <v>74</v>
      </c>
      <c r="BL721" s="1" t="s">
        <v>74</v>
      </c>
      <c r="BM721" s="1" t="s">
        <v>74</v>
      </c>
      <c r="BN721" s="1">
        <v>1.1114414E7</v>
      </c>
      <c r="BO721" s="1" t="s">
        <v>74</v>
      </c>
      <c r="BP721" s="1" t="s">
        <v>74</v>
      </c>
      <c r="BQ721" s="1" t="s">
        <v>74</v>
      </c>
      <c r="BR721" s="1" t="s">
        <v>74</v>
      </c>
      <c r="BS721" s="1" t="s">
        <v>7312</v>
      </c>
      <c r="BT721" s="1" t="str">
        <f>HYPERLINK("https%3A%2F%2Fwww.webofscience.com%2Fwos%2Fwoscc%2Ffull-record%2FWOS:000165811600005","View Full Record in Web of Science")</f>
        <v>View Full Record in Web of Science</v>
      </c>
    </row>
    <row r="722" ht="12.75" customHeight="1">
      <c r="A722" s="1" t="s">
        <v>72</v>
      </c>
      <c r="B722" s="1" t="s">
        <v>7313</v>
      </c>
      <c r="C722" s="1" t="s">
        <v>74</v>
      </c>
      <c r="D722" s="1" t="s">
        <v>74</v>
      </c>
      <c r="E722" s="1" t="s">
        <v>74</v>
      </c>
      <c r="F722" s="1" t="s">
        <v>7313</v>
      </c>
      <c r="G722" s="1" t="s">
        <v>74</v>
      </c>
      <c r="H722" s="1" t="s">
        <v>74</v>
      </c>
      <c r="I722" s="1" t="s">
        <v>7314</v>
      </c>
      <c r="J722" s="1" t="s">
        <v>7315</v>
      </c>
      <c r="K722" s="1" t="s">
        <v>74</v>
      </c>
      <c r="L722" s="1" t="s">
        <v>74</v>
      </c>
      <c r="M722" s="1" t="s">
        <v>74</v>
      </c>
      <c r="N722" s="1" t="s">
        <v>74</v>
      </c>
      <c r="O722" s="1" t="s">
        <v>74</v>
      </c>
      <c r="P722" s="1" t="s">
        <v>74</v>
      </c>
      <c r="Q722" s="1" t="s">
        <v>74</v>
      </c>
      <c r="R722" s="1" t="s">
        <v>74</v>
      </c>
      <c r="S722" s="1" t="s">
        <v>74</v>
      </c>
      <c r="T722" s="1" t="s">
        <v>74</v>
      </c>
      <c r="U722" s="1" t="s">
        <v>74</v>
      </c>
      <c r="V722" s="1" t="s">
        <v>74</v>
      </c>
      <c r="W722" s="1" t="s">
        <v>74</v>
      </c>
      <c r="X722" s="1" t="s">
        <v>74</v>
      </c>
      <c r="Y722" s="1" t="s">
        <v>74</v>
      </c>
      <c r="Z722" s="1" t="s">
        <v>74</v>
      </c>
      <c r="AA722" s="1" t="s">
        <v>74</v>
      </c>
      <c r="AB722" s="1" t="s">
        <v>74</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7316</v>
      </c>
      <c r="AP722" s="1" t="s">
        <v>74</v>
      </c>
      <c r="AQ722" s="1" t="s">
        <v>74</v>
      </c>
      <c r="AR722" s="1" t="s">
        <v>74</v>
      </c>
      <c r="AS722" s="1" t="s">
        <v>74</v>
      </c>
      <c r="AT722" s="1" t="s">
        <v>74</v>
      </c>
      <c r="AU722" s="1">
        <v>1984.0</v>
      </c>
      <c r="AV722" s="1">
        <v>80.0</v>
      </c>
      <c r="AW722" s="1">
        <v>1.0</v>
      </c>
      <c r="AX722" s="1" t="s">
        <v>74</v>
      </c>
      <c r="AY722" s="1" t="s">
        <v>74</v>
      </c>
      <c r="AZ722" s="1" t="s">
        <v>74</v>
      </c>
      <c r="BA722" s="1" t="s">
        <v>74</v>
      </c>
      <c r="BB722" s="1">
        <v>62.0</v>
      </c>
      <c r="BC722" s="1">
        <v>70.0</v>
      </c>
      <c r="BD722" s="1" t="s">
        <v>74</v>
      </c>
      <c r="BE722" s="1" t="s">
        <v>7317</v>
      </c>
      <c r="BF722" s="2" t="str">
        <f>HYPERLINK("http://dx.doi.org/10.1007/BF02899373","http://dx.doi.org/10.1007/BF02899373")</f>
        <v>http://dx.doi.org/10.1007/BF02899373</v>
      </c>
      <c r="BG722" s="1" t="s">
        <v>74</v>
      </c>
      <c r="BH722" s="1" t="s">
        <v>74</v>
      </c>
      <c r="BI722" s="1" t="s">
        <v>74</v>
      </c>
      <c r="BJ722" s="1" t="s">
        <v>74</v>
      </c>
      <c r="BK722" s="1" t="s">
        <v>74</v>
      </c>
      <c r="BL722" s="1" t="s">
        <v>74</v>
      </c>
      <c r="BM722" s="1" t="s">
        <v>74</v>
      </c>
      <c r="BN722" s="1" t="s">
        <v>74</v>
      </c>
      <c r="BO722" s="1" t="s">
        <v>74</v>
      </c>
      <c r="BP722" s="1" t="s">
        <v>74</v>
      </c>
      <c r="BQ722" s="1" t="s">
        <v>74</v>
      </c>
      <c r="BR722" s="1" t="s">
        <v>74</v>
      </c>
      <c r="BS722" s="1" t="s">
        <v>7318</v>
      </c>
      <c r="BT722" s="1" t="str">
        <f>HYPERLINK("https%3A%2F%2Fwww.webofscience.com%2Fwos%2Fwoscc%2Ffull-record%2FWOS:A1984SR16200006","View Full Record in Web of Science")</f>
        <v>View Full Record in Web of Science</v>
      </c>
    </row>
    <row r="723" ht="12.75" customHeight="1">
      <c r="A723" s="1" t="s">
        <v>72</v>
      </c>
      <c r="B723" s="1" t="s">
        <v>7319</v>
      </c>
      <c r="C723" s="1" t="s">
        <v>74</v>
      </c>
      <c r="D723" s="1" t="s">
        <v>74</v>
      </c>
      <c r="E723" s="1" t="s">
        <v>74</v>
      </c>
      <c r="F723" s="1" t="s">
        <v>7319</v>
      </c>
      <c r="G723" s="1" t="s">
        <v>74</v>
      </c>
      <c r="H723" s="1" t="s">
        <v>74</v>
      </c>
      <c r="I723" s="1" t="s">
        <v>7320</v>
      </c>
      <c r="J723" s="1" t="s">
        <v>7321</v>
      </c>
      <c r="K723" s="1" t="s">
        <v>74</v>
      </c>
      <c r="L723" s="1" t="s">
        <v>74</v>
      </c>
      <c r="M723" s="1" t="s">
        <v>74</v>
      </c>
      <c r="N723" s="1" t="s">
        <v>74</v>
      </c>
      <c r="O723" s="1" t="s">
        <v>74</v>
      </c>
      <c r="P723" s="1" t="s">
        <v>74</v>
      </c>
      <c r="Q723" s="1" t="s">
        <v>74</v>
      </c>
      <c r="R723" s="1" t="s">
        <v>74</v>
      </c>
      <c r="S723" s="1" t="s">
        <v>74</v>
      </c>
      <c r="T723" s="1" t="s">
        <v>74</v>
      </c>
      <c r="U723" s="1" t="s">
        <v>74</v>
      </c>
      <c r="V723" s="1" t="s">
        <v>7322</v>
      </c>
      <c r="W723" s="1" t="s">
        <v>74</v>
      </c>
      <c r="X723" s="1" t="s">
        <v>74</v>
      </c>
      <c r="Y723" s="1" t="s">
        <v>74</v>
      </c>
      <c r="Z723" s="1" t="s">
        <v>74</v>
      </c>
      <c r="AA723" s="1" t="s">
        <v>74</v>
      </c>
      <c r="AB723" s="1" t="s">
        <v>74</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7323</v>
      </c>
      <c r="AP723" s="1" t="s">
        <v>7324</v>
      </c>
      <c r="AQ723" s="1" t="s">
        <v>74</v>
      </c>
      <c r="AR723" s="1" t="s">
        <v>74</v>
      </c>
      <c r="AS723" s="1" t="s">
        <v>74</v>
      </c>
      <c r="AT723" s="1" t="s">
        <v>74</v>
      </c>
      <c r="AU723" s="1">
        <v>1982.0</v>
      </c>
      <c r="AV723" s="1">
        <v>21.0</v>
      </c>
      <c r="AW723" s="1">
        <v>19.0</v>
      </c>
      <c r="AX723" s="1" t="s">
        <v>74</v>
      </c>
      <c r="AY723" s="1" t="s">
        <v>74</v>
      </c>
      <c r="AZ723" s="1" t="s">
        <v>74</v>
      </c>
      <c r="BA723" s="1" t="s">
        <v>74</v>
      </c>
      <c r="BB723" s="1">
        <v>4646.0</v>
      </c>
      <c r="BC723" s="1">
        <v>4650.0</v>
      </c>
      <c r="BD723" s="1" t="s">
        <v>74</v>
      </c>
      <c r="BE723" s="1" t="s">
        <v>7325</v>
      </c>
      <c r="BF723" s="2" t="str">
        <f>HYPERLINK("http://dx.doi.org/10.1021/bi00262a020","http://dx.doi.org/10.1021/bi00262a020")</f>
        <v>http://dx.doi.org/10.1021/bi00262a020</v>
      </c>
      <c r="BG723" s="1" t="s">
        <v>74</v>
      </c>
      <c r="BH723" s="1" t="s">
        <v>74</v>
      </c>
      <c r="BI723" s="1" t="s">
        <v>74</v>
      </c>
      <c r="BJ723" s="1" t="s">
        <v>74</v>
      </c>
      <c r="BK723" s="1" t="s">
        <v>74</v>
      </c>
      <c r="BL723" s="1" t="s">
        <v>74</v>
      </c>
      <c r="BM723" s="1" t="s">
        <v>74</v>
      </c>
      <c r="BN723" s="1">
        <v>6814481.0</v>
      </c>
      <c r="BO723" s="1" t="s">
        <v>74</v>
      </c>
      <c r="BP723" s="1" t="s">
        <v>74</v>
      </c>
      <c r="BQ723" s="1" t="s">
        <v>74</v>
      </c>
      <c r="BR723" s="1" t="s">
        <v>74</v>
      </c>
      <c r="BS723" s="1" t="s">
        <v>7326</v>
      </c>
      <c r="BT723" s="1" t="str">
        <f>HYPERLINK("https%3A%2F%2Fwww.webofscience.com%2Fwos%2Fwoscc%2Ffull-record%2FWOS:A1982PG49500020","View Full Record in Web of Science")</f>
        <v>View Full Record in Web of Science</v>
      </c>
    </row>
    <row r="724" ht="12.75" customHeight="1">
      <c r="A724" s="1" t="s">
        <v>72</v>
      </c>
      <c r="B724" s="1" t="s">
        <v>7327</v>
      </c>
      <c r="C724" s="1" t="s">
        <v>74</v>
      </c>
      <c r="D724" s="1" t="s">
        <v>74</v>
      </c>
      <c r="E724" s="1" t="s">
        <v>74</v>
      </c>
      <c r="F724" s="1" t="s">
        <v>7328</v>
      </c>
      <c r="G724" s="1" t="s">
        <v>74</v>
      </c>
      <c r="H724" s="1" t="s">
        <v>74</v>
      </c>
      <c r="I724" s="1" t="s">
        <v>7329</v>
      </c>
      <c r="J724" s="1" t="s">
        <v>4000</v>
      </c>
      <c r="K724" s="1" t="s">
        <v>74</v>
      </c>
      <c r="L724" s="1" t="s">
        <v>74</v>
      </c>
      <c r="M724" s="1" t="s">
        <v>74</v>
      </c>
      <c r="N724" s="1" t="s">
        <v>74</v>
      </c>
      <c r="O724" s="1" t="s">
        <v>74</v>
      </c>
      <c r="P724" s="1" t="s">
        <v>74</v>
      </c>
      <c r="Q724" s="1" t="s">
        <v>74</v>
      </c>
      <c r="R724" s="1" t="s">
        <v>74</v>
      </c>
      <c r="S724" s="1" t="s">
        <v>74</v>
      </c>
      <c r="T724" s="1" t="s">
        <v>74</v>
      </c>
      <c r="U724" s="1" t="s">
        <v>74</v>
      </c>
      <c r="V724" s="1" t="s">
        <v>7330</v>
      </c>
      <c r="W724" s="1" t="s">
        <v>74</v>
      </c>
      <c r="X724" s="1" t="s">
        <v>74</v>
      </c>
      <c r="Y724" s="1" t="s">
        <v>74</v>
      </c>
      <c r="Z724" s="1" t="s">
        <v>74</v>
      </c>
      <c r="AA724" s="1" t="s">
        <v>7331</v>
      </c>
      <c r="AB724" s="1" t="s">
        <v>7332</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4002</v>
      </c>
      <c r="AP724" s="1" t="s">
        <v>4003</v>
      </c>
      <c r="AQ724" s="1" t="s">
        <v>74</v>
      </c>
      <c r="AR724" s="1" t="s">
        <v>74</v>
      </c>
      <c r="AS724" s="1" t="s">
        <v>74</v>
      </c>
      <c r="AT724" s="1" t="s">
        <v>94</v>
      </c>
      <c r="AU724" s="1">
        <v>2025.0</v>
      </c>
      <c r="AV724" s="1">
        <v>459.0</v>
      </c>
      <c r="AW724" s="1" t="s">
        <v>74</v>
      </c>
      <c r="AX724" s="1" t="s">
        <v>74</v>
      </c>
      <c r="AY724" s="1" t="s">
        <v>74</v>
      </c>
      <c r="AZ724" s="1" t="s">
        <v>74</v>
      </c>
      <c r="BA724" s="1" t="s">
        <v>74</v>
      </c>
      <c r="BB724" s="1" t="s">
        <v>74</v>
      </c>
      <c r="BC724" s="1" t="s">
        <v>74</v>
      </c>
      <c r="BD724" s="1">
        <v>121035.0</v>
      </c>
      <c r="BE724" s="1" t="s">
        <v>7333</v>
      </c>
      <c r="BF724" s="2" t="str">
        <f>HYPERLINK("http://dx.doi.org/10.1016/j.powtec.2025.121035","http://dx.doi.org/10.1016/j.powtec.2025.121035")</f>
        <v>http://dx.doi.org/10.1016/j.powtec.2025.121035</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7334</v>
      </c>
      <c r="BT724" s="1" t="str">
        <f>HYPERLINK("https%3A%2F%2Fwww.webofscience.com%2Fwos%2Fwoscc%2Ffull-record%2FWOS:001473595600001","View Full Record in Web of Science")</f>
        <v>View Full Record in Web of Science</v>
      </c>
    </row>
    <row r="725" ht="12.75" customHeight="1">
      <c r="A725" s="1" t="s">
        <v>72</v>
      </c>
      <c r="B725" s="1" t="s">
        <v>7335</v>
      </c>
      <c r="C725" s="1" t="s">
        <v>74</v>
      </c>
      <c r="D725" s="1" t="s">
        <v>74</v>
      </c>
      <c r="E725" s="1" t="s">
        <v>74</v>
      </c>
      <c r="F725" s="1" t="s">
        <v>7336</v>
      </c>
      <c r="G725" s="1" t="s">
        <v>74</v>
      </c>
      <c r="H725" s="1" t="s">
        <v>74</v>
      </c>
      <c r="I725" s="1" t="s">
        <v>7337</v>
      </c>
      <c r="J725" s="1" t="s">
        <v>1433</v>
      </c>
      <c r="K725" s="1" t="s">
        <v>74</v>
      </c>
      <c r="L725" s="1" t="s">
        <v>74</v>
      </c>
      <c r="M725" s="1" t="s">
        <v>74</v>
      </c>
      <c r="N725" s="1" t="s">
        <v>74</v>
      </c>
      <c r="O725" s="1" t="s">
        <v>74</v>
      </c>
      <c r="P725" s="1" t="s">
        <v>74</v>
      </c>
      <c r="Q725" s="1" t="s">
        <v>74</v>
      </c>
      <c r="R725" s="1" t="s">
        <v>74</v>
      </c>
      <c r="S725" s="1" t="s">
        <v>74</v>
      </c>
      <c r="T725" s="1" t="s">
        <v>74</v>
      </c>
      <c r="U725" s="1" t="s">
        <v>74</v>
      </c>
      <c r="V725" s="1" t="s">
        <v>7338</v>
      </c>
      <c r="W725" s="1" t="s">
        <v>74</v>
      </c>
      <c r="X725" s="1" t="s">
        <v>74</v>
      </c>
      <c r="Y725" s="1" t="s">
        <v>74</v>
      </c>
      <c r="Z725" s="1" t="s">
        <v>74</v>
      </c>
      <c r="AA725" s="1" t="s">
        <v>7339</v>
      </c>
      <c r="AB725" s="1" t="s">
        <v>74</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1437</v>
      </c>
      <c r="AP725" s="1" t="s">
        <v>1438</v>
      </c>
      <c r="AQ725" s="1" t="s">
        <v>74</v>
      </c>
      <c r="AR725" s="1" t="s">
        <v>74</v>
      </c>
      <c r="AS725" s="1" t="s">
        <v>74</v>
      </c>
      <c r="AT725" s="1" t="s">
        <v>259</v>
      </c>
      <c r="AU725" s="1">
        <v>2025.0</v>
      </c>
      <c r="AV725" s="1">
        <v>549.0</v>
      </c>
      <c r="AW725" s="1">
        <v>2.0</v>
      </c>
      <c r="AX725" s="1" t="s">
        <v>74</v>
      </c>
      <c r="AY725" s="1" t="s">
        <v>74</v>
      </c>
      <c r="AZ725" s="1" t="s">
        <v>74</v>
      </c>
      <c r="BA725" s="1" t="s">
        <v>74</v>
      </c>
      <c r="BB725" s="1" t="s">
        <v>74</v>
      </c>
      <c r="BC725" s="1" t="s">
        <v>74</v>
      </c>
      <c r="BD725" s="1">
        <v>129534.0</v>
      </c>
      <c r="BE725" s="1" t="s">
        <v>7340</v>
      </c>
      <c r="BF725" s="2" t="str">
        <f>HYPERLINK("http://dx.doi.org/10.1016/j.jmaa.2025.129534","http://dx.doi.org/10.1016/j.jmaa.2025.129534")</f>
        <v>http://dx.doi.org/10.1016/j.jmaa.2025.129534</v>
      </c>
      <c r="BG725" s="1" t="s">
        <v>74</v>
      </c>
      <c r="BH725" s="1" t="s">
        <v>7341</v>
      </c>
      <c r="BI725" s="1" t="s">
        <v>74</v>
      </c>
      <c r="BJ725" s="1" t="s">
        <v>74</v>
      </c>
      <c r="BK725" s="1" t="s">
        <v>74</v>
      </c>
      <c r="BL725" s="1" t="s">
        <v>74</v>
      </c>
      <c r="BM725" s="1" t="s">
        <v>74</v>
      </c>
      <c r="BN725" s="1" t="s">
        <v>74</v>
      </c>
      <c r="BO725" s="1" t="s">
        <v>74</v>
      </c>
      <c r="BP725" s="1" t="s">
        <v>74</v>
      </c>
      <c r="BQ725" s="1" t="s">
        <v>74</v>
      </c>
      <c r="BR725" s="1" t="s">
        <v>74</v>
      </c>
      <c r="BS725" s="1" t="s">
        <v>7342</v>
      </c>
      <c r="BT725" s="1" t="str">
        <f>HYPERLINK("https%3A%2F%2Fwww.webofscience.com%2Fwos%2Fwoscc%2Ffull-record%2FWOS:001463938500001","View Full Record in Web of Science")</f>
        <v>View Full Record in Web of Science</v>
      </c>
    </row>
    <row r="726" ht="12.75" customHeight="1">
      <c r="A726" s="1" t="s">
        <v>72</v>
      </c>
      <c r="B726" s="1" t="s">
        <v>7343</v>
      </c>
      <c r="C726" s="1" t="s">
        <v>74</v>
      </c>
      <c r="D726" s="1" t="s">
        <v>74</v>
      </c>
      <c r="E726" s="1" t="s">
        <v>74</v>
      </c>
      <c r="F726" s="1" t="s">
        <v>7344</v>
      </c>
      <c r="G726" s="1" t="s">
        <v>74</v>
      </c>
      <c r="H726" s="1" t="s">
        <v>74</v>
      </c>
      <c r="I726" s="1" t="s">
        <v>7345</v>
      </c>
      <c r="J726" s="1" t="s">
        <v>3159</v>
      </c>
      <c r="K726" s="1" t="s">
        <v>74</v>
      </c>
      <c r="L726" s="1" t="s">
        <v>74</v>
      </c>
      <c r="M726" s="1" t="s">
        <v>74</v>
      </c>
      <c r="N726" s="1" t="s">
        <v>74</v>
      </c>
      <c r="O726" s="1" t="s">
        <v>74</v>
      </c>
      <c r="P726" s="1" t="s">
        <v>74</v>
      </c>
      <c r="Q726" s="1" t="s">
        <v>74</v>
      </c>
      <c r="R726" s="1" t="s">
        <v>74</v>
      </c>
      <c r="S726" s="1" t="s">
        <v>74</v>
      </c>
      <c r="T726" s="1" t="s">
        <v>74</v>
      </c>
      <c r="U726" s="1" t="s">
        <v>74</v>
      </c>
      <c r="V726" s="1" t="s">
        <v>7346</v>
      </c>
      <c r="W726" s="1" t="s">
        <v>74</v>
      </c>
      <c r="X726" s="1" t="s">
        <v>74</v>
      </c>
      <c r="Y726" s="1" t="s">
        <v>74</v>
      </c>
      <c r="Z726" s="1" t="s">
        <v>74</v>
      </c>
      <c r="AA726" s="1" t="s">
        <v>7347</v>
      </c>
      <c r="AB726" s="1" t="s">
        <v>7348</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3163</v>
      </c>
      <c r="AP726" s="1" t="s">
        <v>3164</v>
      </c>
      <c r="AQ726" s="1" t="s">
        <v>74</v>
      </c>
      <c r="AR726" s="1" t="s">
        <v>74</v>
      </c>
      <c r="AS726" s="1" t="s">
        <v>74</v>
      </c>
      <c r="AT726" s="1" t="s">
        <v>534</v>
      </c>
      <c r="AU726" s="1">
        <v>2025.0</v>
      </c>
      <c r="AV726" s="1">
        <v>463.0</v>
      </c>
      <c r="AW726" s="1" t="s">
        <v>74</v>
      </c>
      <c r="AX726" s="1">
        <v>3.0</v>
      </c>
      <c r="AY726" s="1" t="s">
        <v>74</v>
      </c>
      <c r="AZ726" s="1" t="s">
        <v>74</v>
      </c>
      <c r="BA726" s="1" t="s">
        <v>74</v>
      </c>
      <c r="BB726" s="1" t="s">
        <v>74</v>
      </c>
      <c r="BC726" s="1" t="s">
        <v>74</v>
      </c>
      <c r="BD726" s="1">
        <v>141309.0</v>
      </c>
      <c r="BE726" s="1" t="s">
        <v>7349</v>
      </c>
      <c r="BF726" s="2" t="str">
        <f>HYPERLINK("http://dx.doi.org/10.1016/j.foodchem.2024.141309","http://dx.doi.org/10.1016/j.foodchem.2024.141309")</f>
        <v>http://dx.doi.org/10.1016/j.foodchem.2024.141309</v>
      </c>
      <c r="BG726" s="1" t="s">
        <v>74</v>
      </c>
      <c r="BH726" s="1" t="s">
        <v>1133</v>
      </c>
      <c r="BI726" s="1" t="s">
        <v>74</v>
      </c>
      <c r="BJ726" s="1" t="s">
        <v>74</v>
      </c>
      <c r="BK726" s="1" t="s">
        <v>74</v>
      </c>
      <c r="BL726" s="1" t="s">
        <v>74</v>
      </c>
      <c r="BM726" s="1" t="s">
        <v>74</v>
      </c>
      <c r="BN726" s="1">
        <v>3.9326307E7</v>
      </c>
      <c r="BO726" s="1" t="s">
        <v>74</v>
      </c>
      <c r="BP726" s="1" t="s">
        <v>74</v>
      </c>
      <c r="BQ726" s="1" t="s">
        <v>74</v>
      </c>
      <c r="BR726" s="1" t="s">
        <v>74</v>
      </c>
      <c r="BS726" s="1" t="s">
        <v>7350</v>
      </c>
      <c r="BT726" s="1" t="str">
        <f>HYPERLINK("https%3A%2F%2Fwww.webofscience.com%2Fwos%2Fwoscc%2Ffull-record%2FWOS:001324759900001","View Full Record in Web of Science")</f>
        <v>View Full Record in Web of Science</v>
      </c>
    </row>
    <row r="727" ht="12.75" customHeight="1">
      <c r="A727" s="1" t="s">
        <v>72</v>
      </c>
      <c r="B727" s="1" t="s">
        <v>7351</v>
      </c>
      <c r="C727" s="1" t="s">
        <v>74</v>
      </c>
      <c r="D727" s="1" t="s">
        <v>74</v>
      </c>
      <c r="E727" s="1" t="s">
        <v>74</v>
      </c>
      <c r="F727" s="1" t="s">
        <v>7352</v>
      </c>
      <c r="G727" s="1" t="s">
        <v>74</v>
      </c>
      <c r="H727" s="1" t="s">
        <v>74</v>
      </c>
      <c r="I727" s="1" t="s">
        <v>7353</v>
      </c>
      <c r="J727" s="1" t="s">
        <v>2083</v>
      </c>
      <c r="K727" s="1" t="s">
        <v>74</v>
      </c>
      <c r="L727" s="1" t="s">
        <v>74</v>
      </c>
      <c r="M727" s="1" t="s">
        <v>74</v>
      </c>
      <c r="N727" s="1" t="s">
        <v>74</v>
      </c>
      <c r="O727" s="1" t="s">
        <v>74</v>
      </c>
      <c r="P727" s="1" t="s">
        <v>74</v>
      </c>
      <c r="Q727" s="1" t="s">
        <v>74</v>
      </c>
      <c r="R727" s="1" t="s">
        <v>74</v>
      </c>
      <c r="S727" s="1" t="s">
        <v>74</v>
      </c>
      <c r="T727" s="1" t="s">
        <v>74</v>
      </c>
      <c r="U727" s="1" t="s">
        <v>74</v>
      </c>
      <c r="V727" s="1" t="s">
        <v>7354</v>
      </c>
      <c r="W727" s="1" t="s">
        <v>74</v>
      </c>
      <c r="X727" s="1" t="s">
        <v>74</v>
      </c>
      <c r="Y727" s="1" t="s">
        <v>74</v>
      </c>
      <c r="Z727" s="1" t="s">
        <v>74</v>
      </c>
      <c r="AA727" s="1" t="s">
        <v>6122</v>
      </c>
      <c r="AB727" s="1" t="s">
        <v>7355</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2087</v>
      </c>
      <c r="AP727" s="1" t="s">
        <v>2088</v>
      </c>
      <c r="AQ727" s="1" t="s">
        <v>74</v>
      </c>
      <c r="AR727" s="1" t="s">
        <v>74</v>
      </c>
      <c r="AS727" s="1" t="s">
        <v>74</v>
      </c>
      <c r="AT727" s="1" t="s">
        <v>3995</v>
      </c>
      <c r="AU727" s="1">
        <v>2024.0</v>
      </c>
      <c r="AV727" s="1">
        <v>42.0</v>
      </c>
      <c r="AW727" s="1">
        <v>5.0</v>
      </c>
      <c r="AX727" s="1" t="s">
        <v>74</v>
      </c>
      <c r="AY727" s="1" t="s">
        <v>74</v>
      </c>
      <c r="AZ727" s="1" t="s">
        <v>74</v>
      </c>
      <c r="BA727" s="1" t="s">
        <v>74</v>
      </c>
      <c r="BB727" s="1">
        <v>1161.0</v>
      </c>
      <c r="BC727" s="1">
        <v>1174.0</v>
      </c>
      <c r="BD727" s="1" t="s">
        <v>74</v>
      </c>
      <c r="BE727" s="1" t="s">
        <v>74</v>
      </c>
      <c r="BF727" s="1" t="s">
        <v>74</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7356</v>
      </c>
      <c r="BT727" s="1" t="str">
        <f>HYPERLINK("https%3A%2F%2Fwww.webofscience.com%2Fwos%2Fwoscc%2Ffull-record%2FWOS:001308286200038","View Full Record in Web of Science")</f>
        <v>View Full Record in Web of Science</v>
      </c>
    </row>
    <row r="728" ht="12.75" customHeight="1">
      <c r="A728" s="1" t="s">
        <v>72</v>
      </c>
      <c r="B728" s="1" t="s">
        <v>7357</v>
      </c>
      <c r="C728" s="1" t="s">
        <v>74</v>
      </c>
      <c r="D728" s="1" t="s">
        <v>74</v>
      </c>
      <c r="E728" s="1" t="s">
        <v>74</v>
      </c>
      <c r="F728" s="1" t="s">
        <v>7358</v>
      </c>
      <c r="G728" s="1" t="s">
        <v>74</v>
      </c>
      <c r="H728" s="1" t="s">
        <v>74</v>
      </c>
      <c r="I728" s="1" t="s">
        <v>7359</v>
      </c>
      <c r="J728" s="1" t="s">
        <v>7360</v>
      </c>
      <c r="K728" s="1" t="s">
        <v>74</v>
      </c>
      <c r="L728" s="1" t="s">
        <v>74</v>
      </c>
      <c r="M728" s="1" t="s">
        <v>74</v>
      </c>
      <c r="N728" s="1" t="s">
        <v>74</v>
      </c>
      <c r="O728" s="1" t="s">
        <v>74</v>
      </c>
      <c r="P728" s="1" t="s">
        <v>74</v>
      </c>
      <c r="Q728" s="1" t="s">
        <v>74</v>
      </c>
      <c r="R728" s="1" t="s">
        <v>74</v>
      </c>
      <c r="S728" s="1" t="s">
        <v>74</v>
      </c>
      <c r="T728" s="1" t="s">
        <v>74</v>
      </c>
      <c r="U728" s="1" t="s">
        <v>74</v>
      </c>
      <c r="V728" s="1" t="s">
        <v>7361</v>
      </c>
      <c r="W728" s="1" t="s">
        <v>74</v>
      </c>
      <c r="X728" s="1" t="s">
        <v>74</v>
      </c>
      <c r="Y728" s="1" t="s">
        <v>74</v>
      </c>
      <c r="Z728" s="1" t="s">
        <v>74</v>
      </c>
      <c r="AA728" s="1" t="s">
        <v>7362</v>
      </c>
      <c r="AB728" s="1" t="s">
        <v>7363</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7364</v>
      </c>
      <c r="AP728" s="1" t="s">
        <v>7365</v>
      </c>
      <c r="AQ728" s="1" t="s">
        <v>74</v>
      </c>
      <c r="AR728" s="1" t="s">
        <v>74</v>
      </c>
      <c r="AS728" s="1" t="s">
        <v>74</v>
      </c>
      <c r="AT728" s="1" t="s">
        <v>6731</v>
      </c>
      <c r="AU728" s="1">
        <v>2023.0</v>
      </c>
      <c r="AV728" s="1">
        <v>282.0</v>
      </c>
      <c r="AW728" s="1" t="s">
        <v>74</v>
      </c>
      <c r="AX728" s="1" t="s">
        <v>74</v>
      </c>
      <c r="AY728" s="1" t="s">
        <v>74</v>
      </c>
      <c r="AZ728" s="1" t="s">
        <v>74</v>
      </c>
      <c r="BA728" s="1" t="s">
        <v>74</v>
      </c>
      <c r="BB728" s="1" t="s">
        <v>74</v>
      </c>
      <c r="BC728" s="1" t="s">
        <v>74</v>
      </c>
      <c r="BD728" s="1">
        <v>119298.0</v>
      </c>
      <c r="BE728" s="1" t="s">
        <v>7366</v>
      </c>
      <c r="BF728" s="2" t="str">
        <f>HYPERLINK("http://dx.doi.org/10.1016/j.ces.2023.119298","http://dx.doi.org/10.1016/j.ces.2023.119298")</f>
        <v>http://dx.doi.org/10.1016/j.ces.2023.119298</v>
      </c>
      <c r="BG728" s="1" t="s">
        <v>74</v>
      </c>
      <c r="BH728" s="1" t="s">
        <v>5806</v>
      </c>
      <c r="BI728" s="1" t="s">
        <v>74</v>
      </c>
      <c r="BJ728" s="1" t="s">
        <v>74</v>
      </c>
      <c r="BK728" s="1" t="s">
        <v>74</v>
      </c>
      <c r="BL728" s="1" t="s">
        <v>74</v>
      </c>
      <c r="BM728" s="1" t="s">
        <v>74</v>
      </c>
      <c r="BN728" s="1" t="s">
        <v>74</v>
      </c>
      <c r="BO728" s="1" t="s">
        <v>74</v>
      </c>
      <c r="BP728" s="1" t="s">
        <v>74</v>
      </c>
      <c r="BQ728" s="1" t="s">
        <v>74</v>
      </c>
      <c r="BR728" s="1" t="s">
        <v>74</v>
      </c>
      <c r="BS728" s="1" t="s">
        <v>7367</v>
      </c>
      <c r="BT728" s="1" t="str">
        <f>HYPERLINK("https%3A%2F%2Fwww.webofscience.com%2Fwos%2Fwoscc%2Ffull-record%2FWOS:001091637600001","View Full Record in Web of Science")</f>
        <v>View Full Record in Web of Science</v>
      </c>
    </row>
    <row r="729" ht="12.75" customHeight="1">
      <c r="A729" s="1" t="s">
        <v>72</v>
      </c>
      <c r="B729" s="1" t="s">
        <v>7368</v>
      </c>
      <c r="C729" s="1" t="s">
        <v>74</v>
      </c>
      <c r="D729" s="1" t="s">
        <v>74</v>
      </c>
      <c r="E729" s="1" t="s">
        <v>74</v>
      </c>
      <c r="F729" s="1" t="s">
        <v>7369</v>
      </c>
      <c r="G729" s="1" t="s">
        <v>74</v>
      </c>
      <c r="H729" s="1" t="s">
        <v>74</v>
      </c>
      <c r="I729" s="1" t="s">
        <v>7370</v>
      </c>
      <c r="J729" s="1" t="s">
        <v>3566</v>
      </c>
      <c r="K729" s="1" t="s">
        <v>74</v>
      </c>
      <c r="L729" s="1" t="s">
        <v>74</v>
      </c>
      <c r="M729" s="1" t="s">
        <v>74</v>
      </c>
      <c r="N729" s="1" t="s">
        <v>74</v>
      </c>
      <c r="O729" s="1" t="s">
        <v>74</v>
      </c>
      <c r="P729" s="1" t="s">
        <v>74</v>
      </c>
      <c r="Q729" s="1" t="s">
        <v>74</v>
      </c>
      <c r="R729" s="1" t="s">
        <v>74</v>
      </c>
      <c r="S729" s="1" t="s">
        <v>74</v>
      </c>
      <c r="T729" s="1" t="s">
        <v>74</v>
      </c>
      <c r="U729" s="1" t="s">
        <v>74</v>
      </c>
      <c r="V729" s="1" t="s">
        <v>74</v>
      </c>
      <c r="W729" s="1" t="s">
        <v>74</v>
      </c>
      <c r="X729" s="1" t="s">
        <v>74</v>
      </c>
      <c r="Y729" s="1" t="s">
        <v>74</v>
      </c>
      <c r="Z729" s="1" t="s">
        <v>74</v>
      </c>
      <c r="AA729" s="1" t="s">
        <v>7371</v>
      </c>
      <c r="AB729" s="1" t="s">
        <v>3568</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3569</v>
      </c>
      <c r="AP729" s="1" t="s">
        <v>3570</v>
      </c>
      <c r="AQ729" s="1" t="s">
        <v>74</v>
      </c>
      <c r="AR729" s="1" t="s">
        <v>74</v>
      </c>
      <c r="AS729" s="1" t="s">
        <v>74</v>
      </c>
      <c r="AT729" s="1" t="s">
        <v>271</v>
      </c>
      <c r="AU729" s="1">
        <v>2023.0</v>
      </c>
      <c r="AV729" s="1">
        <v>37.0</v>
      </c>
      <c r="AW729" s="1" t="s">
        <v>74</v>
      </c>
      <c r="AX729" s="1" t="s">
        <v>74</v>
      </c>
      <c r="AY729" s="1">
        <v>1.0</v>
      </c>
      <c r="AZ729" s="1" t="s">
        <v>74</v>
      </c>
      <c r="BA729" s="1">
        <v>141.0</v>
      </c>
      <c r="BB729" s="1" t="s">
        <v>7372</v>
      </c>
      <c r="BC729" s="1" t="s">
        <v>7372</v>
      </c>
      <c r="BD729" s="1" t="s">
        <v>74</v>
      </c>
      <c r="BE729" s="1" t="s">
        <v>74</v>
      </c>
      <c r="BF729" s="1" t="s">
        <v>74</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7373</v>
      </c>
      <c r="BT729" s="1" t="str">
        <f>HYPERLINK("https%3A%2F%2Fwww.webofscience.com%2Fwos%2Fwoscc%2Ffull-record%2FWOS:001161877400892","View Full Record in Web of Science")</f>
        <v>View Full Record in Web of Science</v>
      </c>
    </row>
    <row r="730" ht="12.75" customHeight="1">
      <c r="A730" s="1" t="s">
        <v>72</v>
      </c>
      <c r="B730" s="1" t="s">
        <v>7374</v>
      </c>
      <c r="C730" s="1" t="s">
        <v>74</v>
      </c>
      <c r="D730" s="1" t="s">
        <v>74</v>
      </c>
      <c r="E730" s="1" t="s">
        <v>74</v>
      </c>
      <c r="F730" s="1" t="s">
        <v>7375</v>
      </c>
      <c r="G730" s="1" t="s">
        <v>74</v>
      </c>
      <c r="H730" s="1" t="s">
        <v>74</v>
      </c>
      <c r="I730" s="1" t="s">
        <v>7376</v>
      </c>
      <c r="J730" s="1" t="s">
        <v>1684</v>
      </c>
      <c r="K730" s="1" t="s">
        <v>74</v>
      </c>
      <c r="L730" s="1" t="s">
        <v>74</v>
      </c>
      <c r="M730" s="1" t="s">
        <v>74</v>
      </c>
      <c r="N730" s="1" t="s">
        <v>74</v>
      </c>
      <c r="O730" s="1" t="s">
        <v>74</v>
      </c>
      <c r="P730" s="1" t="s">
        <v>74</v>
      </c>
      <c r="Q730" s="1" t="s">
        <v>74</v>
      </c>
      <c r="R730" s="1" t="s">
        <v>74</v>
      </c>
      <c r="S730" s="1" t="s">
        <v>74</v>
      </c>
      <c r="T730" s="1" t="s">
        <v>74</v>
      </c>
      <c r="U730" s="1" t="s">
        <v>74</v>
      </c>
      <c r="V730" s="1" t="s">
        <v>7377</v>
      </c>
      <c r="W730" s="1" t="s">
        <v>74</v>
      </c>
      <c r="X730" s="1" t="s">
        <v>74</v>
      </c>
      <c r="Y730" s="1" t="s">
        <v>74</v>
      </c>
      <c r="Z730" s="1" t="s">
        <v>74</v>
      </c>
      <c r="AA730" s="1" t="s">
        <v>7378</v>
      </c>
      <c r="AB730" s="1" t="s">
        <v>7379</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74</v>
      </c>
      <c r="AP730" s="1" t="s">
        <v>1686</v>
      </c>
      <c r="AQ730" s="1" t="s">
        <v>74</v>
      </c>
      <c r="AR730" s="1" t="s">
        <v>74</v>
      </c>
      <c r="AS730" s="1" t="s">
        <v>74</v>
      </c>
      <c r="AT730" s="1" t="s">
        <v>6883</v>
      </c>
      <c r="AU730" s="1">
        <v>2023.0</v>
      </c>
      <c r="AV730" s="1">
        <v>14.0</v>
      </c>
      <c r="AW730" s="1" t="s">
        <v>74</v>
      </c>
      <c r="AX730" s="1" t="s">
        <v>74</v>
      </c>
      <c r="AY730" s="1" t="s">
        <v>74</v>
      </c>
      <c r="AZ730" s="1" t="s">
        <v>74</v>
      </c>
      <c r="BA730" s="1" t="s">
        <v>74</v>
      </c>
      <c r="BB730" s="1" t="s">
        <v>74</v>
      </c>
      <c r="BC730" s="1" t="s">
        <v>74</v>
      </c>
      <c r="BD730" s="1">
        <v>1213337.0</v>
      </c>
      <c r="BE730" s="1" t="s">
        <v>7380</v>
      </c>
      <c r="BF730" s="2" t="str">
        <f>HYPERLINK("http://dx.doi.org/10.3389/fphar.2023.1213337","http://dx.doi.org/10.3389/fphar.2023.1213337")</f>
        <v>http://dx.doi.org/10.3389/fphar.2023.1213337</v>
      </c>
      <c r="BG730" s="1" t="s">
        <v>74</v>
      </c>
      <c r="BH730" s="1" t="s">
        <v>74</v>
      </c>
      <c r="BI730" s="1" t="s">
        <v>74</v>
      </c>
      <c r="BJ730" s="1" t="s">
        <v>74</v>
      </c>
      <c r="BK730" s="1" t="s">
        <v>74</v>
      </c>
      <c r="BL730" s="1" t="s">
        <v>74</v>
      </c>
      <c r="BM730" s="1" t="s">
        <v>74</v>
      </c>
      <c r="BN730" s="1">
        <v>3.7388453E7</v>
      </c>
      <c r="BO730" s="1" t="s">
        <v>74</v>
      </c>
      <c r="BP730" s="1" t="s">
        <v>74</v>
      </c>
      <c r="BQ730" s="1" t="s">
        <v>74</v>
      </c>
      <c r="BR730" s="1" t="s">
        <v>74</v>
      </c>
      <c r="BS730" s="1" t="s">
        <v>7381</v>
      </c>
      <c r="BT730" s="1" t="str">
        <f>HYPERLINK("https%3A%2F%2Fwww.webofscience.com%2Fwos%2Fwoscc%2Ffull-record%2FWOS:001021409000001","View Full Record in Web of Science")</f>
        <v>View Full Record in Web of Science</v>
      </c>
    </row>
    <row r="731" ht="12.75" customHeight="1">
      <c r="A731" s="1" t="s">
        <v>72</v>
      </c>
      <c r="B731" s="1" t="s">
        <v>7382</v>
      </c>
      <c r="C731" s="1" t="s">
        <v>74</v>
      </c>
      <c r="D731" s="1" t="s">
        <v>74</v>
      </c>
      <c r="E731" s="1" t="s">
        <v>74</v>
      </c>
      <c r="F731" s="1" t="s">
        <v>7383</v>
      </c>
      <c r="G731" s="1" t="s">
        <v>74</v>
      </c>
      <c r="H731" s="1" t="s">
        <v>74</v>
      </c>
      <c r="I731" s="1" t="s">
        <v>7384</v>
      </c>
      <c r="J731" s="1" t="s">
        <v>7385</v>
      </c>
      <c r="K731" s="1" t="s">
        <v>74</v>
      </c>
      <c r="L731" s="1" t="s">
        <v>74</v>
      </c>
      <c r="M731" s="1" t="s">
        <v>74</v>
      </c>
      <c r="N731" s="1" t="s">
        <v>74</v>
      </c>
      <c r="O731" s="1" t="s">
        <v>74</v>
      </c>
      <c r="P731" s="1" t="s">
        <v>74</v>
      </c>
      <c r="Q731" s="1" t="s">
        <v>74</v>
      </c>
      <c r="R731" s="1" t="s">
        <v>74</v>
      </c>
      <c r="S731" s="1" t="s">
        <v>74</v>
      </c>
      <c r="T731" s="1" t="s">
        <v>74</v>
      </c>
      <c r="U731" s="1" t="s">
        <v>74</v>
      </c>
      <c r="V731" s="1" t="s">
        <v>7386</v>
      </c>
      <c r="W731" s="1" t="s">
        <v>74</v>
      </c>
      <c r="X731" s="1" t="s">
        <v>74</v>
      </c>
      <c r="Y731" s="1" t="s">
        <v>74</v>
      </c>
      <c r="Z731" s="1" t="s">
        <v>74</v>
      </c>
      <c r="AA731" s="1" t="s">
        <v>7387</v>
      </c>
      <c r="AB731" s="1" t="s">
        <v>7388</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74</v>
      </c>
      <c r="AP731" s="1" t="s">
        <v>7389</v>
      </c>
      <c r="AQ731" s="1" t="s">
        <v>74</v>
      </c>
      <c r="AR731" s="1" t="s">
        <v>74</v>
      </c>
      <c r="AS731" s="1" t="s">
        <v>74</v>
      </c>
      <c r="AT731" s="1" t="s">
        <v>82</v>
      </c>
      <c r="AU731" s="1">
        <v>2022.0</v>
      </c>
      <c r="AV731" s="1">
        <v>14.0</v>
      </c>
      <c r="AW731" s="1">
        <v>20.0</v>
      </c>
      <c r="AX731" s="1" t="s">
        <v>74</v>
      </c>
      <c r="AY731" s="1" t="s">
        <v>74</v>
      </c>
      <c r="AZ731" s="1" t="s">
        <v>74</v>
      </c>
      <c r="BA731" s="1" t="s">
        <v>74</v>
      </c>
      <c r="BB731" s="1" t="s">
        <v>74</v>
      </c>
      <c r="BC731" s="1" t="s">
        <v>74</v>
      </c>
      <c r="BD731" s="1">
        <v>4394.0</v>
      </c>
      <c r="BE731" s="1" t="s">
        <v>7390</v>
      </c>
      <c r="BF731" s="2" t="str">
        <f>HYPERLINK("http://dx.doi.org/10.3390/polym14204394","http://dx.doi.org/10.3390/polym14204394")</f>
        <v>http://dx.doi.org/10.3390/polym14204394</v>
      </c>
      <c r="BG731" s="1" t="s">
        <v>74</v>
      </c>
      <c r="BH731" s="1" t="s">
        <v>74</v>
      </c>
      <c r="BI731" s="1" t="s">
        <v>74</v>
      </c>
      <c r="BJ731" s="1" t="s">
        <v>74</v>
      </c>
      <c r="BK731" s="1" t="s">
        <v>74</v>
      </c>
      <c r="BL731" s="1" t="s">
        <v>74</v>
      </c>
      <c r="BM731" s="1" t="s">
        <v>74</v>
      </c>
      <c r="BN731" s="1">
        <v>3.6297972E7</v>
      </c>
      <c r="BO731" s="1" t="s">
        <v>74</v>
      </c>
      <c r="BP731" s="1" t="s">
        <v>74</v>
      </c>
      <c r="BQ731" s="1" t="s">
        <v>74</v>
      </c>
      <c r="BR731" s="1" t="s">
        <v>74</v>
      </c>
      <c r="BS731" s="1" t="s">
        <v>7391</v>
      </c>
      <c r="BT731" s="1" t="str">
        <f>HYPERLINK("https%3A%2F%2Fwww.webofscience.com%2Fwos%2Fwoscc%2Ffull-record%2FWOS:000873639400001","View Full Record in Web of Science")</f>
        <v>View Full Record in Web of Science</v>
      </c>
    </row>
    <row r="732" ht="12.75" customHeight="1">
      <c r="A732" s="1" t="s">
        <v>72</v>
      </c>
      <c r="B732" s="1" t="s">
        <v>7392</v>
      </c>
      <c r="C732" s="1" t="s">
        <v>74</v>
      </c>
      <c r="D732" s="1" t="s">
        <v>74</v>
      </c>
      <c r="E732" s="1" t="s">
        <v>74</v>
      </c>
      <c r="F732" s="1" t="s">
        <v>7393</v>
      </c>
      <c r="G732" s="1" t="s">
        <v>74</v>
      </c>
      <c r="H732" s="1" t="s">
        <v>74</v>
      </c>
      <c r="I732" s="1" t="s">
        <v>7394</v>
      </c>
      <c r="J732" s="1" t="s">
        <v>7395</v>
      </c>
      <c r="K732" s="1" t="s">
        <v>74</v>
      </c>
      <c r="L732" s="1" t="s">
        <v>74</v>
      </c>
      <c r="M732" s="1" t="s">
        <v>74</v>
      </c>
      <c r="N732" s="1" t="s">
        <v>74</v>
      </c>
      <c r="O732" s="1" t="s">
        <v>74</v>
      </c>
      <c r="P732" s="1" t="s">
        <v>74</v>
      </c>
      <c r="Q732" s="1" t="s">
        <v>74</v>
      </c>
      <c r="R732" s="1" t="s">
        <v>74</v>
      </c>
      <c r="S732" s="1" t="s">
        <v>74</v>
      </c>
      <c r="T732" s="1" t="s">
        <v>74</v>
      </c>
      <c r="U732" s="1" t="s">
        <v>74</v>
      </c>
      <c r="V732" s="1" t="s">
        <v>7396</v>
      </c>
      <c r="W732" s="1" t="s">
        <v>74</v>
      </c>
      <c r="X732" s="1" t="s">
        <v>74</v>
      </c>
      <c r="Y732" s="1" t="s">
        <v>74</v>
      </c>
      <c r="Z732" s="1" t="s">
        <v>74</v>
      </c>
      <c r="AA732" s="1" t="s">
        <v>7397</v>
      </c>
      <c r="AB732" s="1" t="s">
        <v>7398</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7399</v>
      </c>
      <c r="AP732" s="1" t="s">
        <v>7400</v>
      </c>
      <c r="AQ732" s="1" t="s">
        <v>74</v>
      </c>
      <c r="AR732" s="1" t="s">
        <v>74</v>
      </c>
      <c r="AS732" s="1" t="s">
        <v>74</v>
      </c>
      <c r="AT732" s="1" t="s">
        <v>7401</v>
      </c>
      <c r="AU732" s="1">
        <v>2022.0</v>
      </c>
      <c r="AV732" s="1">
        <v>22.0</v>
      </c>
      <c r="AW732" s="1">
        <v>18.0</v>
      </c>
      <c r="AX732" s="1" t="s">
        <v>74</v>
      </c>
      <c r="AY732" s="1" t="s">
        <v>74</v>
      </c>
      <c r="AZ732" s="1" t="s">
        <v>74</v>
      </c>
      <c r="BA732" s="1" t="s">
        <v>74</v>
      </c>
      <c r="BB732" s="1">
        <v>12705.0</v>
      </c>
      <c r="BC732" s="1">
        <v>12726.0</v>
      </c>
      <c r="BD732" s="1" t="s">
        <v>74</v>
      </c>
      <c r="BE732" s="1" t="s">
        <v>7402</v>
      </c>
      <c r="BF732" s="2" t="str">
        <f>HYPERLINK("http://dx.doi.org/10.5194/acp-22-12705-2022","http://dx.doi.org/10.5194/acp-22-12705-2022")</f>
        <v>http://dx.doi.org/10.5194/acp-22-12705-2022</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7403</v>
      </c>
      <c r="BT732" s="1" t="str">
        <f>HYPERLINK("https%3A%2F%2Fwww.webofscience.com%2Fwos%2Fwoscc%2Ffull-record%2FWOS:000861478000001","View Full Record in Web of Science")</f>
        <v>View Full Record in Web of Science</v>
      </c>
    </row>
    <row r="733" ht="12.75" customHeight="1">
      <c r="A733" s="1" t="s">
        <v>72</v>
      </c>
      <c r="B733" s="1" t="s">
        <v>7404</v>
      </c>
      <c r="C733" s="1" t="s">
        <v>74</v>
      </c>
      <c r="D733" s="1" t="s">
        <v>74</v>
      </c>
      <c r="E733" s="1" t="s">
        <v>74</v>
      </c>
      <c r="F733" s="1" t="s">
        <v>7405</v>
      </c>
      <c r="G733" s="1" t="s">
        <v>74</v>
      </c>
      <c r="H733" s="1" t="s">
        <v>74</v>
      </c>
      <c r="I733" s="1" t="s">
        <v>7406</v>
      </c>
      <c r="J733" s="1" t="s">
        <v>3043</v>
      </c>
      <c r="K733" s="1" t="s">
        <v>74</v>
      </c>
      <c r="L733" s="1" t="s">
        <v>74</v>
      </c>
      <c r="M733" s="1" t="s">
        <v>74</v>
      </c>
      <c r="N733" s="1" t="s">
        <v>74</v>
      </c>
      <c r="O733" s="1" t="s">
        <v>74</v>
      </c>
      <c r="P733" s="1" t="s">
        <v>74</v>
      </c>
      <c r="Q733" s="1" t="s">
        <v>74</v>
      </c>
      <c r="R733" s="1" t="s">
        <v>74</v>
      </c>
      <c r="S733" s="1" t="s">
        <v>74</v>
      </c>
      <c r="T733" s="1" t="s">
        <v>74</v>
      </c>
      <c r="U733" s="1" t="s">
        <v>74</v>
      </c>
      <c r="V733" s="1" t="s">
        <v>7407</v>
      </c>
      <c r="W733" s="1" t="s">
        <v>74</v>
      </c>
      <c r="X733" s="1" t="s">
        <v>74</v>
      </c>
      <c r="Y733" s="1" t="s">
        <v>74</v>
      </c>
      <c r="Z733" s="1" t="s">
        <v>74</v>
      </c>
      <c r="AA733" s="1" t="s">
        <v>7408</v>
      </c>
      <c r="AB733" s="1" t="s">
        <v>7409</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74</v>
      </c>
      <c r="AP733" s="1" t="s">
        <v>3047</v>
      </c>
      <c r="AQ733" s="1" t="s">
        <v>74</v>
      </c>
      <c r="AR733" s="1" t="s">
        <v>74</v>
      </c>
      <c r="AS733" s="1" t="s">
        <v>74</v>
      </c>
      <c r="AT733" s="1" t="s">
        <v>745</v>
      </c>
      <c r="AU733" s="1">
        <v>2022.0</v>
      </c>
      <c r="AV733" s="1">
        <v>12.0</v>
      </c>
      <c r="AW733" s="1">
        <v>5.0</v>
      </c>
      <c r="AX733" s="1" t="s">
        <v>74</v>
      </c>
      <c r="AY733" s="1" t="s">
        <v>74</v>
      </c>
      <c r="AZ733" s="1" t="s">
        <v>74</v>
      </c>
      <c r="BA733" s="1" t="s">
        <v>74</v>
      </c>
      <c r="BB733" s="1" t="s">
        <v>74</v>
      </c>
      <c r="BC733" s="1" t="s">
        <v>74</v>
      </c>
      <c r="BD733" s="1">
        <v>720.0</v>
      </c>
      <c r="BE733" s="1" t="s">
        <v>7410</v>
      </c>
      <c r="BF733" s="2" t="str">
        <f>HYPERLINK("http://dx.doi.org/10.3390/met12050720","http://dx.doi.org/10.3390/met12050720")</f>
        <v>http://dx.doi.org/10.3390/met12050720</v>
      </c>
      <c r="BG733" s="1" t="s">
        <v>74</v>
      </c>
      <c r="BH733" s="1" t="s">
        <v>74</v>
      </c>
      <c r="BI733" s="1" t="s">
        <v>74</v>
      </c>
      <c r="BJ733" s="1" t="s">
        <v>74</v>
      </c>
      <c r="BK733" s="1" t="s">
        <v>74</v>
      </c>
      <c r="BL733" s="1" t="s">
        <v>74</v>
      </c>
      <c r="BM733" s="1" t="s">
        <v>74</v>
      </c>
      <c r="BN733" s="1" t="s">
        <v>74</v>
      </c>
      <c r="BO733" s="1" t="s">
        <v>74</v>
      </c>
      <c r="BP733" s="1" t="s">
        <v>74</v>
      </c>
      <c r="BQ733" s="1" t="s">
        <v>74</v>
      </c>
      <c r="BR733" s="1" t="s">
        <v>74</v>
      </c>
      <c r="BS733" s="1" t="s">
        <v>7411</v>
      </c>
      <c r="BT733" s="1" t="str">
        <f>HYPERLINK("https%3A%2F%2Fwww.webofscience.com%2Fwos%2Fwoscc%2Ffull-record%2FWOS:000801335500001","View Full Record in Web of Science")</f>
        <v>View Full Record in Web of Science</v>
      </c>
    </row>
    <row r="734" ht="12.75" customHeight="1">
      <c r="A734" s="1" t="s">
        <v>72</v>
      </c>
      <c r="B734" s="1" t="s">
        <v>7412</v>
      </c>
      <c r="C734" s="1" t="s">
        <v>74</v>
      </c>
      <c r="D734" s="1" t="s">
        <v>74</v>
      </c>
      <c r="E734" s="1" t="s">
        <v>74</v>
      </c>
      <c r="F734" s="1" t="s">
        <v>7413</v>
      </c>
      <c r="G734" s="1" t="s">
        <v>74</v>
      </c>
      <c r="H734" s="1" t="s">
        <v>74</v>
      </c>
      <c r="I734" s="1" t="s">
        <v>7414</v>
      </c>
      <c r="J734" s="1" t="s">
        <v>3033</v>
      </c>
      <c r="K734" s="1" t="s">
        <v>74</v>
      </c>
      <c r="L734" s="1" t="s">
        <v>74</v>
      </c>
      <c r="M734" s="1" t="s">
        <v>74</v>
      </c>
      <c r="N734" s="1" t="s">
        <v>74</v>
      </c>
      <c r="O734" s="1" t="s">
        <v>74</v>
      </c>
      <c r="P734" s="1" t="s">
        <v>74</v>
      </c>
      <c r="Q734" s="1" t="s">
        <v>74</v>
      </c>
      <c r="R734" s="1" t="s">
        <v>74</v>
      </c>
      <c r="S734" s="1" t="s">
        <v>74</v>
      </c>
      <c r="T734" s="1" t="s">
        <v>74</v>
      </c>
      <c r="U734" s="1" t="s">
        <v>74</v>
      </c>
      <c r="V734" s="1" t="s">
        <v>7415</v>
      </c>
      <c r="W734" s="1" t="s">
        <v>74</v>
      </c>
      <c r="X734" s="1" t="s">
        <v>74</v>
      </c>
      <c r="Y734" s="1" t="s">
        <v>74</v>
      </c>
      <c r="Z734" s="1" t="s">
        <v>74</v>
      </c>
      <c r="AA734" s="1" t="s">
        <v>7416</v>
      </c>
      <c r="AB734" s="1" t="s">
        <v>7417</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74</v>
      </c>
      <c r="AP734" s="1" t="s">
        <v>3037</v>
      </c>
      <c r="AQ734" s="1" t="s">
        <v>74</v>
      </c>
      <c r="AR734" s="1" t="s">
        <v>74</v>
      </c>
      <c r="AS734" s="1" t="s">
        <v>74</v>
      </c>
      <c r="AT734" s="1" t="s">
        <v>408</v>
      </c>
      <c r="AU734" s="1">
        <v>2020.0</v>
      </c>
      <c r="AV734" s="1">
        <v>13.0</v>
      </c>
      <c r="AW734" s="1">
        <v>5.0</v>
      </c>
      <c r="AX734" s="1" t="s">
        <v>74</v>
      </c>
      <c r="AY734" s="1" t="s">
        <v>74</v>
      </c>
      <c r="AZ734" s="1" t="s">
        <v>74</v>
      </c>
      <c r="BA734" s="1" t="s">
        <v>74</v>
      </c>
      <c r="BB734" s="1" t="s">
        <v>74</v>
      </c>
      <c r="BC734" s="1" t="s">
        <v>74</v>
      </c>
      <c r="BD734" s="1">
        <v>1276.0</v>
      </c>
      <c r="BE734" s="1" t="s">
        <v>7418</v>
      </c>
      <c r="BF734" s="2" t="str">
        <f>HYPERLINK("http://dx.doi.org/10.3390/en13051276","http://dx.doi.org/10.3390/en13051276")</f>
        <v>http://dx.doi.org/10.3390/en13051276</v>
      </c>
      <c r="BG734" s="1" t="s">
        <v>74</v>
      </c>
      <c r="BH734" s="1" t="s">
        <v>74</v>
      </c>
      <c r="BI734" s="1" t="s">
        <v>74</v>
      </c>
      <c r="BJ734" s="1" t="s">
        <v>74</v>
      </c>
      <c r="BK734" s="1" t="s">
        <v>74</v>
      </c>
      <c r="BL734" s="1" t="s">
        <v>74</v>
      </c>
      <c r="BM734" s="1" t="s">
        <v>74</v>
      </c>
      <c r="BN734" s="1" t="s">
        <v>74</v>
      </c>
      <c r="BO734" s="1" t="s">
        <v>74</v>
      </c>
      <c r="BP734" s="1" t="s">
        <v>74</v>
      </c>
      <c r="BQ734" s="1" t="s">
        <v>74</v>
      </c>
      <c r="BR734" s="1" t="s">
        <v>74</v>
      </c>
      <c r="BS734" s="1" t="s">
        <v>7419</v>
      </c>
      <c r="BT734" s="1" t="str">
        <f>HYPERLINK("https%3A%2F%2Fwww.webofscience.com%2Fwos%2Fwoscc%2Ffull-record%2FWOS:000524318700263","View Full Record in Web of Science")</f>
        <v>View Full Record in Web of Science</v>
      </c>
    </row>
    <row r="735" ht="12.75" customHeight="1">
      <c r="A735" s="1" t="s">
        <v>72</v>
      </c>
      <c r="B735" s="1" t="s">
        <v>7420</v>
      </c>
      <c r="C735" s="1" t="s">
        <v>74</v>
      </c>
      <c r="D735" s="1" t="s">
        <v>74</v>
      </c>
      <c r="E735" s="1" t="s">
        <v>74</v>
      </c>
      <c r="F735" s="1" t="s">
        <v>7421</v>
      </c>
      <c r="G735" s="1" t="s">
        <v>74</v>
      </c>
      <c r="H735" s="1" t="s">
        <v>74</v>
      </c>
      <c r="I735" s="1" t="s">
        <v>7422</v>
      </c>
      <c r="J735" s="1" t="s">
        <v>4334</v>
      </c>
      <c r="K735" s="1" t="s">
        <v>74</v>
      </c>
      <c r="L735" s="1" t="s">
        <v>74</v>
      </c>
      <c r="M735" s="1" t="s">
        <v>74</v>
      </c>
      <c r="N735" s="1" t="s">
        <v>74</v>
      </c>
      <c r="O735" s="1" t="s">
        <v>74</v>
      </c>
      <c r="P735" s="1" t="s">
        <v>74</v>
      </c>
      <c r="Q735" s="1" t="s">
        <v>74</v>
      </c>
      <c r="R735" s="1" t="s">
        <v>74</v>
      </c>
      <c r="S735" s="1" t="s">
        <v>74</v>
      </c>
      <c r="T735" s="1" t="s">
        <v>74</v>
      </c>
      <c r="U735" s="1" t="s">
        <v>74</v>
      </c>
      <c r="V735" s="1" t="s">
        <v>7423</v>
      </c>
      <c r="W735" s="1" t="s">
        <v>74</v>
      </c>
      <c r="X735" s="1" t="s">
        <v>74</v>
      </c>
      <c r="Y735" s="1" t="s">
        <v>74</v>
      </c>
      <c r="Z735" s="1" t="s">
        <v>74</v>
      </c>
      <c r="AA735" s="1" t="s">
        <v>7424</v>
      </c>
      <c r="AB735" s="1" t="s">
        <v>7425</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7426</v>
      </c>
      <c r="AP735" s="1" t="s">
        <v>7427</v>
      </c>
      <c r="AQ735" s="1" t="s">
        <v>74</v>
      </c>
      <c r="AR735" s="1" t="s">
        <v>74</v>
      </c>
      <c r="AS735" s="1" t="s">
        <v>74</v>
      </c>
      <c r="AT735" s="1" t="s">
        <v>7428</v>
      </c>
      <c r="AU735" s="1">
        <v>2018.0</v>
      </c>
      <c r="AV735" s="1">
        <v>98.0</v>
      </c>
      <c r="AW735" s="1">
        <v>6.0</v>
      </c>
      <c r="AX735" s="1" t="s">
        <v>74</v>
      </c>
      <c r="AY735" s="1" t="s">
        <v>74</v>
      </c>
      <c r="AZ735" s="1" t="s">
        <v>74</v>
      </c>
      <c r="BA735" s="1" t="s">
        <v>74</v>
      </c>
      <c r="BB735" s="1" t="s">
        <v>74</v>
      </c>
      <c r="BC735" s="1" t="s">
        <v>74</v>
      </c>
      <c r="BD735" s="1">
        <v>62213.0</v>
      </c>
      <c r="BE735" s="1" t="s">
        <v>7429</v>
      </c>
      <c r="BF735" s="2" t="str">
        <f>HYPERLINK("http://dx.doi.org/10.1103/PhysRevE.98.062213","http://dx.doi.org/10.1103/PhysRevE.98.062213")</f>
        <v>http://dx.doi.org/10.1103/PhysRevE.98.062213</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7430</v>
      </c>
      <c r="BT735" s="1" t="str">
        <f>HYPERLINK("https%3A%2F%2Fwww.webofscience.com%2Fwos%2Fwoscc%2Ffull-record%2FWOS:000453472900004","View Full Record in Web of Science")</f>
        <v>View Full Record in Web of Science</v>
      </c>
    </row>
    <row r="736" ht="12.75" customHeight="1">
      <c r="A736" s="1" t="s">
        <v>72</v>
      </c>
      <c r="B736" s="1" t="s">
        <v>7431</v>
      </c>
      <c r="C736" s="1" t="s">
        <v>74</v>
      </c>
      <c r="D736" s="1" t="s">
        <v>74</v>
      </c>
      <c r="E736" s="1" t="s">
        <v>74</v>
      </c>
      <c r="F736" s="1" t="s">
        <v>7432</v>
      </c>
      <c r="G736" s="1" t="s">
        <v>74</v>
      </c>
      <c r="H736" s="1" t="s">
        <v>74</v>
      </c>
      <c r="I736" s="1" t="s">
        <v>7433</v>
      </c>
      <c r="J736" s="1" t="s">
        <v>7434</v>
      </c>
      <c r="K736" s="1" t="s">
        <v>74</v>
      </c>
      <c r="L736" s="1" t="s">
        <v>74</v>
      </c>
      <c r="M736" s="1" t="s">
        <v>74</v>
      </c>
      <c r="N736" s="1" t="s">
        <v>74</v>
      </c>
      <c r="O736" s="1" t="s">
        <v>74</v>
      </c>
      <c r="P736" s="1" t="s">
        <v>74</v>
      </c>
      <c r="Q736" s="1" t="s">
        <v>74</v>
      </c>
      <c r="R736" s="1" t="s">
        <v>74</v>
      </c>
      <c r="S736" s="1" t="s">
        <v>74</v>
      </c>
      <c r="T736" s="1" t="s">
        <v>74</v>
      </c>
      <c r="U736" s="1" t="s">
        <v>74</v>
      </c>
      <c r="V736" s="1" t="s">
        <v>7435</v>
      </c>
      <c r="W736" s="1" t="s">
        <v>74</v>
      </c>
      <c r="X736" s="1" t="s">
        <v>74</v>
      </c>
      <c r="Y736" s="1" t="s">
        <v>74</v>
      </c>
      <c r="Z736" s="1" t="s">
        <v>74</v>
      </c>
      <c r="AA736" s="1" t="s">
        <v>7436</v>
      </c>
      <c r="AB736" s="1" t="s">
        <v>7437</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7438</v>
      </c>
      <c r="AP736" s="1" t="s">
        <v>74</v>
      </c>
      <c r="AQ736" s="1" t="s">
        <v>74</v>
      </c>
      <c r="AR736" s="1" t="s">
        <v>74</v>
      </c>
      <c r="AS736" s="1" t="s">
        <v>74</v>
      </c>
      <c r="AT736" s="1" t="s">
        <v>82</v>
      </c>
      <c r="AU736" s="1">
        <v>2018.0</v>
      </c>
      <c r="AV736" s="1">
        <v>21.0</v>
      </c>
      <c r="AW736" s="1" t="s">
        <v>74</v>
      </c>
      <c r="AX736" s="1" t="s">
        <v>74</v>
      </c>
      <c r="AY736" s="1" t="s">
        <v>74</v>
      </c>
      <c r="AZ736" s="1" t="s">
        <v>74</v>
      </c>
      <c r="BA736" s="1" t="s">
        <v>74</v>
      </c>
      <c r="BB736" s="1">
        <v>175.0</v>
      </c>
      <c r="BC736" s="1">
        <v>182.0</v>
      </c>
      <c r="BD736" s="1" t="s">
        <v>74</v>
      </c>
      <c r="BE736" s="1" t="s">
        <v>7439</v>
      </c>
      <c r="BF736" s="2" t="str">
        <f>HYPERLINK("http://dx.doi.org/10.1016/j.jasrep.2018.07.008","http://dx.doi.org/10.1016/j.jasrep.2018.07.008")</f>
        <v>http://dx.doi.org/10.1016/j.jasrep.2018.07.008</v>
      </c>
      <c r="BG736" s="1" t="s">
        <v>74</v>
      </c>
      <c r="BH736" s="1" t="s">
        <v>74</v>
      </c>
      <c r="BI736" s="1" t="s">
        <v>74</v>
      </c>
      <c r="BJ736" s="1" t="s">
        <v>74</v>
      </c>
      <c r="BK736" s="1" t="s">
        <v>74</v>
      </c>
      <c r="BL736" s="1" t="s">
        <v>74</v>
      </c>
      <c r="BM736" s="1" t="s">
        <v>74</v>
      </c>
      <c r="BN736" s="1" t="s">
        <v>74</v>
      </c>
      <c r="BO736" s="1" t="s">
        <v>74</v>
      </c>
      <c r="BP736" s="1" t="s">
        <v>74</v>
      </c>
      <c r="BQ736" s="1" t="s">
        <v>74</v>
      </c>
      <c r="BR736" s="1" t="s">
        <v>74</v>
      </c>
      <c r="BS736" s="1" t="s">
        <v>7440</v>
      </c>
      <c r="BT736" s="1" t="str">
        <f>HYPERLINK("https%3A%2F%2Fwww.webofscience.com%2Fwos%2Fwoscc%2Ffull-record%2FWOS:000449797000018","View Full Record in Web of Science")</f>
        <v>View Full Record in Web of Science</v>
      </c>
    </row>
    <row r="737" ht="12.75" customHeight="1">
      <c r="A737" s="1" t="s">
        <v>72</v>
      </c>
      <c r="B737" s="1" t="s">
        <v>7441</v>
      </c>
      <c r="C737" s="1" t="s">
        <v>74</v>
      </c>
      <c r="D737" s="1" t="s">
        <v>74</v>
      </c>
      <c r="E737" s="1" t="s">
        <v>74</v>
      </c>
      <c r="F737" s="1" t="s">
        <v>7442</v>
      </c>
      <c r="G737" s="1" t="s">
        <v>74</v>
      </c>
      <c r="H737" s="1" t="s">
        <v>74</v>
      </c>
      <c r="I737" s="1" t="s">
        <v>7443</v>
      </c>
      <c r="J737" s="1" t="s">
        <v>1065</v>
      </c>
      <c r="K737" s="1" t="s">
        <v>74</v>
      </c>
      <c r="L737" s="1" t="s">
        <v>74</v>
      </c>
      <c r="M737" s="1" t="s">
        <v>74</v>
      </c>
      <c r="N737" s="1" t="s">
        <v>74</v>
      </c>
      <c r="O737" s="1" t="s">
        <v>74</v>
      </c>
      <c r="P737" s="1" t="s">
        <v>74</v>
      </c>
      <c r="Q737" s="1" t="s">
        <v>74</v>
      </c>
      <c r="R737" s="1" t="s">
        <v>74</v>
      </c>
      <c r="S737" s="1" t="s">
        <v>74</v>
      </c>
      <c r="T737" s="1" t="s">
        <v>74</v>
      </c>
      <c r="U737" s="1" t="s">
        <v>74</v>
      </c>
      <c r="V737" s="1" t="s">
        <v>7444</v>
      </c>
      <c r="W737" s="1" t="s">
        <v>74</v>
      </c>
      <c r="X737" s="1" t="s">
        <v>74</v>
      </c>
      <c r="Y737" s="1" t="s">
        <v>74</v>
      </c>
      <c r="Z737" s="1" t="s">
        <v>74</v>
      </c>
      <c r="AA737" s="1" t="s">
        <v>7445</v>
      </c>
      <c r="AB737" s="1" t="s">
        <v>7446</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1068</v>
      </c>
      <c r="AP737" s="1" t="s">
        <v>2288</v>
      </c>
      <c r="AQ737" s="1" t="s">
        <v>74</v>
      </c>
      <c r="AR737" s="1" t="s">
        <v>74</v>
      </c>
      <c r="AS737" s="1" t="s">
        <v>74</v>
      </c>
      <c r="AT737" s="1" t="s">
        <v>1131</v>
      </c>
      <c r="AU737" s="1">
        <v>2018.0</v>
      </c>
      <c r="AV737" s="1">
        <v>265.0</v>
      </c>
      <c r="AW737" s="1" t="s">
        <v>74</v>
      </c>
      <c r="AX737" s="1" t="s">
        <v>74</v>
      </c>
      <c r="AY737" s="1" t="s">
        <v>74</v>
      </c>
      <c r="AZ737" s="1" t="s">
        <v>74</v>
      </c>
      <c r="BA737" s="1" t="s">
        <v>74</v>
      </c>
      <c r="BB737" s="1">
        <v>547.0</v>
      </c>
      <c r="BC737" s="1">
        <v>555.0</v>
      </c>
      <c r="BD737" s="1" t="s">
        <v>74</v>
      </c>
      <c r="BE737" s="1" t="s">
        <v>7447</v>
      </c>
      <c r="BF737" s="2" t="str">
        <f>HYPERLINK("http://dx.doi.org/10.1016/j.electacta.2018.01.177","http://dx.doi.org/10.1016/j.electacta.2018.01.177")</f>
        <v>http://dx.doi.org/10.1016/j.electacta.2018.01.177</v>
      </c>
      <c r="BG737" s="1" t="s">
        <v>74</v>
      </c>
      <c r="BH737" s="1" t="s">
        <v>74</v>
      </c>
      <c r="BI737" s="1" t="s">
        <v>74</v>
      </c>
      <c r="BJ737" s="1" t="s">
        <v>74</v>
      </c>
      <c r="BK737" s="1" t="s">
        <v>74</v>
      </c>
      <c r="BL737" s="1" t="s">
        <v>74</v>
      </c>
      <c r="BM737" s="1" t="s">
        <v>74</v>
      </c>
      <c r="BN737" s="1" t="s">
        <v>74</v>
      </c>
      <c r="BO737" s="1" t="s">
        <v>74</v>
      </c>
      <c r="BP737" s="1" t="s">
        <v>74</v>
      </c>
      <c r="BQ737" s="1" t="s">
        <v>74</v>
      </c>
      <c r="BR737" s="1" t="s">
        <v>74</v>
      </c>
      <c r="BS737" s="1" t="s">
        <v>7448</v>
      </c>
      <c r="BT737" s="1" t="str">
        <f>HYPERLINK("https%3A%2F%2Fwww.webofscience.com%2Fwos%2Fwoscc%2Ffull-record%2FWOS:000425751600060","View Full Record in Web of Science")</f>
        <v>View Full Record in Web of Science</v>
      </c>
    </row>
    <row r="738" ht="12.75" customHeight="1">
      <c r="A738" s="1" t="s">
        <v>72</v>
      </c>
      <c r="B738" s="1" t="s">
        <v>7449</v>
      </c>
      <c r="C738" s="1" t="s">
        <v>74</v>
      </c>
      <c r="D738" s="1" t="s">
        <v>74</v>
      </c>
      <c r="E738" s="1" t="s">
        <v>74</v>
      </c>
      <c r="F738" s="1" t="s">
        <v>7450</v>
      </c>
      <c r="G738" s="1" t="s">
        <v>74</v>
      </c>
      <c r="H738" s="1" t="s">
        <v>74</v>
      </c>
      <c r="I738" s="1" t="s">
        <v>7451</v>
      </c>
      <c r="J738" s="1" t="s">
        <v>7452</v>
      </c>
      <c r="K738" s="1" t="s">
        <v>74</v>
      </c>
      <c r="L738" s="1" t="s">
        <v>74</v>
      </c>
      <c r="M738" s="1" t="s">
        <v>74</v>
      </c>
      <c r="N738" s="1" t="s">
        <v>74</v>
      </c>
      <c r="O738" s="1" t="s">
        <v>74</v>
      </c>
      <c r="P738" s="1" t="s">
        <v>74</v>
      </c>
      <c r="Q738" s="1" t="s">
        <v>74</v>
      </c>
      <c r="R738" s="1" t="s">
        <v>74</v>
      </c>
      <c r="S738" s="1" t="s">
        <v>74</v>
      </c>
      <c r="T738" s="1" t="s">
        <v>74</v>
      </c>
      <c r="U738" s="1" t="s">
        <v>74</v>
      </c>
      <c r="V738" s="1" t="s">
        <v>7453</v>
      </c>
      <c r="W738" s="1" t="s">
        <v>74</v>
      </c>
      <c r="X738" s="1" t="s">
        <v>74</v>
      </c>
      <c r="Y738" s="1" t="s">
        <v>74</v>
      </c>
      <c r="Z738" s="1" t="s">
        <v>74</v>
      </c>
      <c r="AA738" s="1" t="s">
        <v>5629</v>
      </c>
      <c r="AB738" s="1" t="s">
        <v>5630</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7454</v>
      </c>
      <c r="AP738" s="1" t="s">
        <v>7455</v>
      </c>
      <c r="AQ738" s="1" t="s">
        <v>74</v>
      </c>
      <c r="AR738" s="1" t="s">
        <v>74</v>
      </c>
      <c r="AS738" s="1" t="s">
        <v>74</v>
      </c>
      <c r="AT738" s="1" t="s">
        <v>82</v>
      </c>
      <c r="AU738" s="1">
        <v>2016.0</v>
      </c>
      <c r="AV738" s="1">
        <v>13.0</v>
      </c>
      <c r="AW738" s="1">
        <v>10.0</v>
      </c>
      <c r="AX738" s="1" t="s">
        <v>74</v>
      </c>
      <c r="AY738" s="1" t="s">
        <v>74</v>
      </c>
      <c r="AZ738" s="1" t="s">
        <v>74</v>
      </c>
      <c r="BA738" s="1" t="s">
        <v>74</v>
      </c>
      <c r="BB738" s="1">
        <v>2325.0</v>
      </c>
      <c r="BC738" s="1">
        <v>2338.0</v>
      </c>
      <c r="BD738" s="1" t="s">
        <v>74</v>
      </c>
      <c r="BE738" s="1" t="s">
        <v>7456</v>
      </c>
      <c r="BF738" s="2" t="str">
        <f>HYPERLINK("http://dx.doi.org/10.1007/s13762-016-1065-5","http://dx.doi.org/10.1007/s13762-016-1065-5")</f>
        <v>http://dx.doi.org/10.1007/s13762-016-1065-5</v>
      </c>
      <c r="BG738" s="1" t="s">
        <v>74</v>
      </c>
      <c r="BH738" s="1" t="s">
        <v>74</v>
      </c>
      <c r="BI738" s="1" t="s">
        <v>74</v>
      </c>
      <c r="BJ738" s="1" t="s">
        <v>74</v>
      </c>
      <c r="BK738" s="1" t="s">
        <v>74</v>
      </c>
      <c r="BL738" s="1" t="s">
        <v>74</v>
      </c>
      <c r="BM738" s="1" t="s">
        <v>74</v>
      </c>
      <c r="BN738" s="1" t="s">
        <v>74</v>
      </c>
      <c r="BO738" s="1" t="s">
        <v>74</v>
      </c>
      <c r="BP738" s="1" t="s">
        <v>74</v>
      </c>
      <c r="BQ738" s="1" t="s">
        <v>74</v>
      </c>
      <c r="BR738" s="1" t="s">
        <v>74</v>
      </c>
      <c r="BS738" s="1" t="s">
        <v>7457</v>
      </c>
      <c r="BT738" s="1" t="str">
        <f>HYPERLINK("https%3A%2F%2Fwww.webofscience.com%2Fwos%2Fwoscc%2Ffull-record%2FWOS:000386125800002","View Full Record in Web of Science")</f>
        <v>View Full Record in Web of Science</v>
      </c>
    </row>
    <row r="739" ht="12.75" customHeight="1">
      <c r="A739" s="1" t="s">
        <v>72</v>
      </c>
      <c r="B739" s="1" t="s">
        <v>7458</v>
      </c>
      <c r="C739" s="1" t="s">
        <v>74</v>
      </c>
      <c r="D739" s="1" t="s">
        <v>74</v>
      </c>
      <c r="E739" s="1" t="s">
        <v>74</v>
      </c>
      <c r="F739" s="1" t="s">
        <v>7459</v>
      </c>
      <c r="G739" s="1" t="s">
        <v>74</v>
      </c>
      <c r="H739" s="1" t="s">
        <v>74</v>
      </c>
      <c r="I739" s="1" t="s">
        <v>7460</v>
      </c>
      <c r="J739" s="1" t="s">
        <v>617</v>
      </c>
      <c r="K739" s="1" t="s">
        <v>74</v>
      </c>
      <c r="L739" s="1" t="s">
        <v>74</v>
      </c>
      <c r="M739" s="1" t="s">
        <v>74</v>
      </c>
      <c r="N739" s="1" t="s">
        <v>74</v>
      </c>
      <c r="O739" s="1" t="s">
        <v>74</v>
      </c>
      <c r="P739" s="1" t="s">
        <v>74</v>
      </c>
      <c r="Q739" s="1" t="s">
        <v>74</v>
      </c>
      <c r="R739" s="1" t="s">
        <v>74</v>
      </c>
      <c r="S739" s="1" t="s">
        <v>74</v>
      </c>
      <c r="T739" s="1" t="s">
        <v>74</v>
      </c>
      <c r="U739" s="1" t="s">
        <v>74</v>
      </c>
      <c r="V739" s="1" t="s">
        <v>7461</v>
      </c>
      <c r="W739" s="1" t="s">
        <v>74</v>
      </c>
      <c r="X739" s="1" t="s">
        <v>74</v>
      </c>
      <c r="Y739" s="1" t="s">
        <v>74</v>
      </c>
      <c r="Z739" s="1" t="s">
        <v>74</v>
      </c>
      <c r="AA739" s="1" t="s">
        <v>7462</v>
      </c>
      <c r="AB739" s="1" t="s">
        <v>7463</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620</v>
      </c>
      <c r="AP739" s="1" t="s">
        <v>621</v>
      </c>
      <c r="AQ739" s="1" t="s">
        <v>74</v>
      </c>
      <c r="AR739" s="1" t="s">
        <v>74</v>
      </c>
      <c r="AS739" s="1" t="s">
        <v>74</v>
      </c>
      <c r="AT739" s="1" t="s">
        <v>870</v>
      </c>
      <c r="AU739" s="1">
        <v>2015.0</v>
      </c>
      <c r="AV739" s="1">
        <v>537.0</v>
      </c>
      <c r="AW739" s="1" t="s">
        <v>74</v>
      </c>
      <c r="AX739" s="1" t="s">
        <v>74</v>
      </c>
      <c r="AY739" s="1" t="s">
        <v>74</v>
      </c>
      <c r="AZ739" s="1" t="s">
        <v>74</v>
      </c>
      <c r="BA739" s="1" t="s">
        <v>74</v>
      </c>
      <c r="BB739" s="1">
        <v>352.0</v>
      </c>
      <c r="BC739" s="1">
        <v>359.0</v>
      </c>
      <c r="BD739" s="1" t="s">
        <v>74</v>
      </c>
      <c r="BE739" s="1" t="s">
        <v>7464</v>
      </c>
      <c r="BF739" s="2" t="str">
        <f>HYPERLINK("http://dx.doi.org/10.1016/j.scitotenv.2015.07.143","http://dx.doi.org/10.1016/j.scitotenv.2015.07.143")</f>
        <v>http://dx.doi.org/10.1016/j.scitotenv.2015.07.143</v>
      </c>
      <c r="BG739" s="1" t="s">
        <v>74</v>
      </c>
      <c r="BH739" s="1" t="s">
        <v>74</v>
      </c>
      <c r="BI739" s="1" t="s">
        <v>74</v>
      </c>
      <c r="BJ739" s="1" t="s">
        <v>74</v>
      </c>
      <c r="BK739" s="1" t="s">
        <v>74</v>
      </c>
      <c r="BL739" s="1" t="s">
        <v>74</v>
      </c>
      <c r="BM739" s="1" t="s">
        <v>74</v>
      </c>
      <c r="BN739" s="1">
        <v>2.6282769E7</v>
      </c>
      <c r="BO739" s="1" t="s">
        <v>74</v>
      </c>
      <c r="BP739" s="1" t="s">
        <v>74</v>
      </c>
      <c r="BQ739" s="1" t="s">
        <v>74</v>
      </c>
      <c r="BR739" s="1" t="s">
        <v>74</v>
      </c>
      <c r="BS739" s="1" t="s">
        <v>7465</v>
      </c>
      <c r="BT739" s="1" t="str">
        <f>HYPERLINK("https%3A%2F%2Fwww.webofscience.com%2Fwos%2Fwoscc%2Ffull-record%2FWOS:000361191100037","View Full Record in Web of Science")</f>
        <v>View Full Record in Web of Science</v>
      </c>
    </row>
    <row r="740" ht="12.75" customHeight="1">
      <c r="A740" s="1" t="s">
        <v>72</v>
      </c>
      <c r="B740" s="1" t="s">
        <v>7466</v>
      </c>
      <c r="C740" s="1" t="s">
        <v>74</v>
      </c>
      <c r="D740" s="1" t="s">
        <v>74</v>
      </c>
      <c r="E740" s="1" t="s">
        <v>74</v>
      </c>
      <c r="F740" s="1" t="s">
        <v>7467</v>
      </c>
      <c r="G740" s="1" t="s">
        <v>74</v>
      </c>
      <c r="H740" s="1" t="s">
        <v>74</v>
      </c>
      <c r="I740" s="1" t="s">
        <v>7468</v>
      </c>
      <c r="J740" s="1" t="s">
        <v>1497</v>
      </c>
      <c r="K740" s="1" t="s">
        <v>74</v>
      </c>
      <c r="L740" s="1" t="s">
        <v>74</v>
      </c>
      <c r="M740" s="1" t="s">
        <v>74</v>
      </c>
      <c r="N740" s="1" t="s">
        <v>74</v>
      </c>
      <c r="O740" s="1" t="s">
        <v>74</v>
      </c>
      <c r="P740" s="1" t="s">
        <v>74</v>
      </c>
      <c r="Q740" s="1" t="s">
        <v>74</v>
      </c>
      <c r="R740" s="1" t="s">
        <v>74</v>
      </c>
      <c r="S740" s="1" t="s">
        <v>74</v>
      </c>
      <c r="T740" s="1" t="s">
        <v>74</v>
      </c>
      <c r="U740" s="1" t="s">
        <v>74</v>
      </c>
      <c r="V740" s="1" t="s">
        <v>7469</v>
      </c>
      <c r="W740" s="1" t="s">
        <v>74</v>
      </c>
      <c r="X740" s="1" t="s">
        <v>74</v>
      </c>
      <c r="Y740" s="1" t="s">
        <v>74</v>
      </c>
      <c r="Z740" s="1" t="s">
        <v>74</v>
      </c>
      <c r="AA740" s="1" t="s">
        <v>7470</v>
      </c>
      <c r="AB740" s="1" t="s">
        <v>7471</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1501</v>
      </c>
      <c r="AP740" s="1" t="s">
        <v>74</v>
      </c>
      <c r="AQ740" s="1" t="s">
        <v>74</v>
      </c>
      <c r="AR740" s="1" t="s">
        <v>74</v>
      </c>
      <c r="AS740" s="1" t="s">
        <v>74</v>
      </c>
      <c r="AT740" s="1" t="s">
        <v>3269</v>
      </c>
      <c r="AU740" s="1">
        <v>2015.0</v>
      </c>
      <c r="AV740" s="1">
        <v>10.0</v>
      </c>
      <c r="AW740" s="1">
        <v>10.0</v>
      </c>
      <c r="AX740" s="1" t="s">
        <v>74</v>
      </c>
      <c r="AY740" s="1" t="s">
        <v>74</v>
      </c>
      <c r="AZ740" s="1" t="s">
        <v>74</v>
      </c>
      <c r="BA740" s="1" t="s">
        <v>74</v>
      </c>
      <c r="BB740" s="1" t="s">
        <v>74</v>
      </c>
      <c r="BC740" s="1" t="s">
        <v>74</v>
      </c>
      <c r="BD740" s="1" t="s">
        <v>7472</v>
      </c>
      <c r="BE740" s="1" t="s">
        <v>7473</v>
      </c>
      <c r="BF740" s="2" t="str">
        <f>HYPERLINK("http://dx.doi.org/10.1371/journal.pone.0139314","http://dx.doi.org/10.1371/journal.pone.0139314")</f>
        <v>http://dx.doi.org/10.1371/journal.pone.0139314</v>
      </c>
      <c r="BG740" s="1" t="s">
        <v>74</v>
      </c>
      <c r="BH740" s="1" t="s">
        <v>74</v>
      </c>
      <c r="BI740" s="1" t="s">
        <v>74</v>
      </c>
      <c r="BJ740" s="1" t="s">
        <v>74</v>
      </c>
      <c r="BK740" s="1" t="s">
        <v>74</v>
      </c>
      <c r="BL740" s="1" t="s">
        <v>74</v>
      </c>
      <c r="BM740" s="1" t="s">
        <v>74</v>
      </c>
      <c r="BN740" s="1">
        <v>2.6426259E7</v>
      </c>
      <c r="BO740" s="1" t="s">
        <v>74</v>
      </c>
      <c r="BP740" s="1" t="s">
        <v>74</v>
      </c>
      <c r="BQ740" s="1" t="s">
        <v>74</v>
      </c>
      <c r="BR740" s="1" t="s">
        <v>74</v>
      </c>
      <c r="BS740" s="1" t="s">
        <v>7474</v>
      </c>
      <c r="BT740" s="1" t="str">
        <f>HYPERLINK("https%3A%2F%2Fwww.webofscience.com%2Fwos%2Fwoscc%2Ffull-record%2FWOS:000362177100047","View Full Record in Web of Science")</f>
        <v>View Full Record in Web of Science</v>
      </c>
    </row>
    <row r="741" ht="12.75" customHeight="1">
      <c r="A741" s="1" t="s">
        <v>72</v>
      </c>
      <c r="B741" s="1" t="s">
        <v>7475</v>
      </c>
      <c r="C741" s="1" t="s">
        <v>74</v>
      </c>
      <c r="D741" s="1" t="s">
        <v>74</v>
      </c>
      <c r="E741" s="1" t="s">
        <v>74</v>
      </c>
      <c r="F741" s="1" t="s">
        <v>7476</v>
      </c>
      <c r="G741" s="1" t="s">
        <v>74</v>
      </c>
      <c r="H741" s="1" t="s">
        <v>74</v>
      </c>
      <c r="I741" s="1" t="s">
        <v>7477</v>
      </c>
      <c r="J741" s="1" t="s">
        <v>2173</v>
      </c>
      <c r="K741" s="1" t="s">
        <v>74</v>
      </c>
      <c r="L741" s="1" t="s">
        <v>74</v>
      </c>
      <c r="M741" s="1" t="s">
        <v>74</v>
      </c>
      <c r="N741" s="1" t="s">
        <v>74</v>
      </c>
      <c r="O741" s="1" t="s">
        <v>74</v>
      </c>
      <c r="P741" s="1" t="s">
        <v>74</v>
      </c>
      <c r="Q741" s="1" t="s">
        <v>74</v>
      </c>
      <c r="R741" s="1" t="s">
        <v>74</v>
      </c>
      <c r="S741" s="1" t="s">
        <v>74</v>
      </c>
      <c r="T741" s="1" t="s">
        <v>74</v>
      </c>
      <c r="U741" s="1" t="s">
        <v>74</v>
      </c>
      <c r="V741" s="1" t="s">
        <v>7478</v>
      </c>
      <c r="W741" s="1" t="s">
        <v>74</v>
      </c>
      <c r="X741" s="1" t="s">
        <v>74</v>
      </c>
      <c r="Y741" s="1" t="s">
        <v>74</v>
      </c>
      <c r="Z741" s="1" t="s">
        <v>74</v>
      </c>
      <c r="AA741" s="1" t="s">
        <v>7479</v>
      </c>
      <c r="AB741" s="1" t="s">
        <v>7480</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2177</v>
      </c>
      <c r="AP741" s="1" t="s">
        <v>2178</v>
      </c>
      <c r="AQ741" s="1" t="s">
        <v>74</v>
      </c>
      <c r="AR741" s="1" t="s">
        <v>74</v>
      </c>
      <c r="AS741" s="1" t="s">
        <v>74</v>
      </c>
      <c r="AT741" s="1" t="s">
        <v>3269</v>
      </c>
      <c r="AU741" s="1">
        <v>2014.0</v>
      </c>
      <c r="AV741" s="1">
        <v>731.0</v>
      </c>
      <c r="AW741" s="1" t="s">
        <v>74</v>
      </c>
      <c r="AX741" s="1" t="s">
        <v>74</v>
      </c>
      <c r="AY741" s="1" t="s">
        <v>74</v>
      </c>
      <c r="AZ741" s="1" t="s">
        <v>74</v>
      </c>
      <c r="BA741" s="1" t="s">
        <v>74</v>
      </c>
      <c r="BB741" s="1">
        <v>145.0</v>
      </c>
      <c r="BC741" s="1">
        <v>152.0</v>
      </c>
      <c r="BD741" s="1" t="s">
        <v>74</v>
      </c>
      <c r="BE741" s="1" t="s">
        <v>7481</v>
      </c>
      <c r="BF741" s="2" t="str">
        <f>HYPERLINK("http://dx.doi.org/10.1016/j.jelechem.2014.08.008","http://dx.doi.org/10.1016/j.jelechem.2014.08.008")</f>
        <v>http://dx.doi.org/10.1016/j.jelechem.2014.08.008</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7482</v>
      </c>
      <c r="BT741" s="1" t="str">
        <f>HYPERLINK("https%3A%2F%2Fwww.webofscience.com%2Fwos%2Fwoscc%2Ffull-record%2FWOS:000343633700023","View Full Record in Web of Science")</f>
        <v>View Full Record in Web of Science</v>
      </c>
    </row>
    <row r="742" ht="12.75" customHeight="1">
      <c r="A742" s="1" t="s">
        <v>72</v>
      </c>
      <c r="B742" s="1" t="s">
        <v>7483</v>
      </c>
      <c r="C742" s="1" t="s">
        <v>74</v>
      </c>
      <c r="D742" s="1" t="s">
        <v>74</v>
      </c>
      <c r="E742" s="1" t="s">
        <v>74</v>
      </c>
      <c r="F742" s="1" t="s">
        <v>7484</v>
      </c>
      <c r="G742" s="1" t="s">
        <v>74</v>
      </c>
      <c r="H742" s="1" t="s">
        <v>74</v>
      </c>
      <c r="I742" s="1" t="s">
        <v>7485</v>
      </c>
      <c r="J742" s="1" t="s">
        <v>3727</v>
      </c>
      <c r="K742" s="1" t="s">
        <v>74</v>
      </c>
      <c r="L742" s="1" t="s">
        <v>74</v>
      </c>
      <c r="M742" s="1" t="s">
        <v>74</v>
      </c>
      <c r="N742" s="1" t="s">
        <v>74</v>
      </c>
      <c r="O742" s="1" t="s">
        <v>74</v>
      </c>
      <c r="P742" s="1" t="s">
        <v>74</v>
      </c>
      <c r="Q742" s="1" t="s">
        <v>74</v>
      </c>
      <c r="R742" s="1" t="s">
        <v>74</v>
      </c>
      <c r="S742" s="1" t="s">
        <v>74</v>
      </c>
      <c r="T742" s="1" t="s">
        <v>74</v>
      </c>
      <c r="U742" s="1" t="s">
        <v>74</v>
      </c>
      <c r="V742" s="1" t="s">
        <v>7486</v>
      </c>
      <c r="W742" s="1" t="s">
        <v>74</v>
      </c>
      <c r="X742" s="1" t="s">
        <v>74</v>
      </c>
      <c r="Y742" s="1" t="s">
        <v>74</v>
      </c>
      <c r="Z742" s="1" t="s">
        <v>74</v>
      </c>
      <c r="AA742" s="1" t="s">
        <v>7487</v>
      </c>
      <c r="AB742" s="1" t="s">
        <v>7488</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3731</v>
      </c>
      <c r="AP742" s="1" t="s">
        <v>3732</v>
      </c>
      <c r="AQ742" s="1" t="s">
        <v>74</v>
      </c>
      <c r="AR742" s="1" t="s">
        <v>74</v>
      </c>
      <c r="AS742" s="1" t="s">
        <v>74</v>
      </c>
      <c r="AT742" s="1" t="s">
        <v>7489</v>
      </c>
      <c r="AU742" s="1">
        <v>2014.0</v>
      </c>
      <c r="AV742" s="1">
        <v>49.0</v>
      </c>
      <c r="AW742" s="1">
        <v>6.0</v>
      </c>
      <c r="AX742" s="1" t="s">
        <v>74</v>
      </c>
      <c r="AY742" s="1" t="s">
        <v>74</v>
      </c>
      <c r="AZ742" s="1" t="s">
        <v>74</v>
      </c>
      <c r="BA742" s="1" t="s">
        <v>74</v>
      </c>
      <c r="BB742" s="1">
        <v>661.0</v>
      </c>
      <c r="BC742" s="1">
        <v>670.0</v>
      </c>
      <c r="BD742" s="1" t="s">
        <v>74</v>
      </c>
      <c r="BE742" s="1" t="s">
        <v>7490</v>
      </c>
      <c r="BF742" s="2" t="str">
        <f>HYPERLINK("http://dx.doi.org/10.1080/10934529.2014.865447","http://dx.doi.org/10.1080/10934529.2014.865447")</f>
        <v>http://dx.doi.org/10.1080/10934529.2014.865447</v>
      </c>
      <c r="BG742" s="1" t="s">
        <v>74</v>
      </c>
      <c r="BH742" s="1" t="s">
        <v>74</v>
      </c>
      <c r="BI742" s="1" t="s">
        <v>74</v>
      </c>
      <c r="BJ742" s="1" t="s">
        <v>74</v>
      </c>
      <c r="BK742" s="1" t="s">
        <v>74</v>
      </c>
      <c r="BL742" s="1" t="s">
        <v>74</v>
      </c>
      <c r="BM742" s="1" t="s">
        <v>74</v>
      </c>
      <c r="BN742" s="1">
        <v>2.4521411E7</v>
      </c>
      <c r="BO742" s="1" t="s">
        <v>74</v>
      </c>
      <c r="BP742" s="1" t="s">
        <v>74</v>
      </c>
      <c r="BQ742" s="1" t="s">
        <v>74</v>
      </c>
      <c r="BR742" s="1" t="s">
        <v>74</v>
      </c>
      <c r="BS742" s="1" t="s">
        <v>7491</v>
      </c>
      <c r="BT742" s="1" t="str">
        <f>HYPERLINK("https%3A%2F%2Fwww.webofscience.com%2Fwos%2Fwoscc%2Ffull-record%2FWOS:000331601700006","View Full Record in Web of Science")</f>
        <v>View Full Record in Web of Science</v>
      </c>
    </row>
    <row r="743" ht="12.75" customHeight="1">
      <c r="A743" s="1" t="s">
        <v>72</v>
      </c>
      <c r="B743" s="1" t="s">
        <v>7492</v>
      </c>
      <c r="C743" s="1" t="s">
        <v>74</v>
      </c>
      <c r="D743" s="1" t="s">
        <v>74</v>
      </c>
      <c r="E743" s="1" t="s">
        <v>74</v>
      </c>
      <c r="F743" s="1" t="s">
        <v>7493</v>
      </c>
      <c r="G743" s="1" t="s">
        <v>74</v>
      </c>
      <c r="H743" s="1" t="s">
        <v>74</v>
      </c>
      <c r="I743" s="1" t="s">
        <v>7494</v>
      </c>
      <c r="J743" s="1" t="s">
        <v>7495</v>
      </c>
      <c r="K743" s="1" t="s">
        <v>74</v>
      </c>
      <c r="L743" s="1" t="s">
        <v>74</v>
      </c>
      <c r="M743" s="1" t="s">
        <v>74</v>
      </c>
      <c r="N743" s="1" t="s">
        <v>74</v>
      </c>
      <c r="O743" s="1" t="s">
        <v>74</v>
      </c>
      <c r="P743" s="1" t="s">
        <v>74</v>
      </c>
      <c r="Q743" s="1" t="s">
        <v>74</v>
      </c>
      <c r="R743" s="1" t="s">
        <v>74</v>
      </c>
      <c r="S743" s="1" t="s">
        <v>74</v>
      </c>
      <c r="T743" s="1" t="s">
        <v>74</v>
      </c>
      <c r="U743" s="1" t="s">
        <v>74</v>
      </c>
      <c r="V743" s="1" t="s">
        <v>7496</v>
      </c>
      <c r="W743" s="1" t="s">
        <v>74</v>
      </c>
      <c r="X743" s="1" t="s">
        <v>74</v>
      </c>
      <c r="Y743" s="1" t="s">
        <v>74</v>
      </c>
      <c r="Z743" s="1" t="s">
        <v>74</v>
      </c>
      <c r="AA743" s="1" t="s">
        <v>7497</v>
      </c>
      <c r="AB743" s="1" t="s">
        <v>7498</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7499</v>
      </c>
      <c r="AP743" s="1" t="s">
        <v>7500</v>
      </c>
      <c r="AQ743" s="1" t="s">
        <v>74</v>
      </c>
      <c r="AR743" s="1" t="s">
        <v>74</v>
      </c>
      <c r="AS743" s="1" t="s">
        <v>74</v>
      </c>
      <c r="AT743" s="1" t="s">
        <v>1106</v>
      </c>
      <c r="AU743" s="1">
        <v>2014.0</v>
      </c>
      <c r="AV743" s="1">
        <v>30.0</v>
      </c>
      <c r="AW743" s="1" t="s">
        <v>74</v>
      </c>
      <c r="AX743" s="1" t="s">
        <v>74</v>
      </c>
      <c r="AY743" s="1" t="s">
        <v>74</v>
      </c>
      <c r="AZ743" s="1" t="s">
        <v>74</v>
      </c>
      <c r="BA743" s="1" t="s">
        <v>74</v>
      </c>
      <c r="BB743" s="1">
        <v>254.0</v>
      </c>
      <c r="BC743" s="1">
        <v>264.0</v>
      </c>
      <c r="BD743" s="1" t="s">
        <v>74</v>
      </c>
      <c r="BE743" s="1" t="s">
        <v>7501</v>
      </c>
      <c r="BF743" s="2" t="str">
        <f>HYPERLINK("http://dx.doi.org/10.1016/j.future.2013.06.018","http://dx.doi.org/10.1016/j.future.2013.06.018")</f>
        <v>http://dx.doi.org/10.1016/j.future.2013.06.018</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7502</v>
      </c>
      <c r="BT743" s="1" t="str">
        <f>HYPERLINK("https%3A%2F%2Fwww.webofscience.com%2Fwos%2Fwoscc%2Ffull-record%2FWOS:000329007500028","View Full Record in Web of Science")</f>
        <v>View Full Record in Web of Science</v>
      </c>
    </row>
    <row r="744" ht="12.75" customHeight="1">
      <c r="A744" s="1" t="s">
        <v>72</v>
      </c>
      <c r="B744" s="1" t="s">
        <v>7503</v>
      </c>
      <c r="C744" s="1" t="s">
        <v>74</v>
      </c>
      <c r="D744" s="1" t="s">
        <v>74</v>
      </c>
      <c r="E744" s="1" t="s">
        <v>74</v>
      </c>
      <c r="F744" s="1" t="s">
        <v>7504</v>
      </c>
      <c r="G744" s="1" t="s">
        <v>74</v>
      </c>
      <c r="H744" s="1" t="s">
        <v>74</v>
      </c>
      <c r="I744" s="1" t="s">
        <v>7505</v>
      </c>
      <c r="J744" s="1" t="s">
        <v>3727</v>
      </c>
      <c r="K744" s="1" t="s">
        <v>74</v>
      </c>
      <c r="L744" s="1" t="s">
        <v>74</v>
      </c>
      <c r="M744" s="1" t="s">
        <v>74</v>
      </c>
      <c r="N744" s="1" t="s">
        <v>74</v>
      </c>
      <c r="O744" s="1" t="s">
        <v>74</v>
      </c>
      <c r="P744" s="1" t="s">
        <v>74</v>
      </c>
      <c r="Q744" s="1" t="s">
        <v>74</v>
      </c>
      <c r="R744" s="1" t="s">
        <v>74</v>
      </c>
      <c r="S744" s="1" t="s">
        <v>74</v>
      </c>
      <c r="T744" s="1" t="s">
        <v>74</v>
      </c>
      <c r="U744" s="1" t="s">
        <v>74</v>
      </c>
      <c r="V744" s="1" t="s">
        <v>7506</v>
      </c>
      <c r="W744" s="1" t="s">
        <v>74</v>
      </c>
      <c r="X744" s="1" t="s">
        <v>74</v>
      </c>
      <c r="Y744" s="1" t="s">
        <v>74</v>
      </c>
      <c r="Z744" s="1" t="s">
        <v>74</v>
      </c>
      <c r="AA744" s="1" t="s">
        <v>6622</v>
      </c>
      <c r="AB744" s="1" t="s">
        <v>6623</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3731</v>
      </c>
      <c r="AP744" s="1" t="s">
        <v>3732</v>
      </c>
      <c r="AQ744" s="1" t="s">
        <v>74</v>
      </c>
      <c r="AR744" s="1" t="s">
        <v>74</v>
      </c>
      <c r="AS744" s="1" t="s">
        <v>74</v>
      </c>
      <c r="AT744" s="1" t="s">
        <v>74</v>
      </c>
      <c r="AU744" s="1">
        <v>2012.0</v>
      </c>
      <c r="AV744" s="1">
        <v>47.0</v>
      </c>
      <c r="AW744" s="1">
        <v>12.0</v>
      </c>
      <c r="AX744" s="1" t="s">
        <v>74</v>
      </c>
      <c r="AY744" s="1" t="s">
        <v>74</v>
      </c>
      <c r="AZ744" s="1" t="s">
        <v>74</v>
      </c>
      <c r="BA744" s="1" t="s">
        <v>74</v>
      </c>
      <c r="BB744" s="1">
        <v>1785.0</v>
      </c>
      <c r="BC744" s="1">
        <v>1794.0</v>
      </c>
      <c r="BD744" s="1" t="s">
        <v>74</v>
      </c>
      <c r="BE744" s="1" t="s">
        <v>7507</v>
      </c>
      <c r="BF744" s="2" t="str">
        <f>HYPERLINK("http://dx.doi.org/10.1080/10934529.2012.689235","http://dx.doi.org/10.1080/10934529.2012.689235")</f>
        <v>http://dx.doi.org/10.1080/10934529.2012.689235</v>
      </c>
      <c r="BG744" s="1" t="s">
        <v>74</v>
      </c>
      <c r="BH744" s="1" t="s">
        <v>74</v>
      </c>
      <c r="BI744" s="1" t="s">
        <v>74</v>
      </c>
      <c r="BJ744" s="1" t="s">
        <v>74</v>
      </c>
      <c r="BK744" s="1" t="s">
        <v>74</v>
      </c>
      <c r="BL744" s="1" t="s">
        <v>74</v>
      </c>
      <c r="BM744" s="1" t="s">
        <v>74</v>
      </c>
      <c r="BN744" s="1">
        <v>2.2755525E7</v>
      </c>
      <c r="BO744" s="1" t="s">
        <v>74</v>
      </c>
      <c r="BP744" s="1" t="s">
        <v>74</v>
      </c>
      <c r="BQ744" s="1" t="s">
        <v>74</v>
      </c>
      <c r="BR744" s="1" t="s">
        <v>74</v>
      </c>
      <c r="BS744" s="1" t="s">
        <v>7508</v>
      </c>
      <c r="BT744" s="1" t="str">
        <f>HYPERLINK("https%3A%2F%2Fwww.webofscience.com%2Fwos%2Fwoscc%2Ffull-record%2FWOS:000306116500009","View Full Record in Web of Science")</f>
        <v>View Full Record in Web of Science</v>
      </c>
    </row>
    <row r="745" ht="12.75" customHeight="1">
      <c r="A745" s="1" t="s">
        <v>72</v>
      </c>
      <c r="B745" s="1" t="s">
        <v>7509</v>
      </c>
      <c r="C745" s="1" t="s">
        <v>74</v>
      </c>
      <c r="D745" s="1" t="s">
        <v>74</v>
      </c>
      <c r="E745" s="1" t="s">
        <v>74</v>
      </c>
      <c r="F745" s="1" t="s">
        <v>7510</v>
      </c>
      <c r="G745" s="1" t="s">
        <v>74</v>
      </c>
      <c r="H745" s="1" t="s">
        <v>74</v>
      </c>
      <c r="I745" s="1" t="s">
        <v>7511</v>
      </c>
      <c r="J745" s="1" t="s">
        <v>7512</v>
      </c>
      <c r="K745" s="1" t="s">
        <v>74</v>
      </c>
      <c r="L745" s="1" t="s">
        <v>74</v>
      </c>
      <c r="M745" s="1" t="s">
        <v>74</v>
      </c>
      <c r="N745" s="1" t="s">
        <v>74</v>
      </c>
      <c r="O745" s="1" t="s">
        <v>74</v>
      </c>
      <c r="P745" s="1" t="s">
        <v>74</v>
      </c>
      <c r="Q745" s="1" t="s">
        <v>74</v>
      </c>
      <c r="R745" s="1" t="s">
        <v>74</v>
      </c>
      <c r="S745" s="1" t="s">
        <v>74</v>
      </c>
      <c r="T745" s="1" t="s">
        <v>74</v>
      </c>
      <c r="U745" s="1" t="s">
        <v>74</v>
      </c>
      <c r="V745" s="1" t="s">
        <v>7513</v>
      </c>
      <c r="W745" s="1" t="s">
        <v>74</v>
      </c>
      <c r="X745" s="1" t="s">
        <v>74</v>
      </c>
      <c r="Y745" s="1" t="s">
        <v>74</v>
      </c>
      <c r="Z745" s="1" t="s">
        <v>74</v>
      </c>
      <c r="AA745" s="1" t="s">
        <v>7514</v>
      </c>
      <c r="AB745" s="1" t="s">
        <v>74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7515</v>
      </c>
      <c r="AP745" s="1" t="s">
        <v>7516</v>
      </c>
      <c r="AQ745" s="1" t="s">
        <v>74</v>
      </c>
      <c r="AR745" s="1" t="s">
        <v>74</v>
      </c>
      <c r="AS745" s="1" t="s">
        <v>74</v>
      </c>
      <c r="AT745" s="1" t="s">
        <v>177</v>
      </c>
      <c r="AU745" s="1">
        <v>2011.0</v>
      </c>
      <c r="AV745" s="1">
        <v>15.0</v>
      </c>
      <c r="AW745" s="1" t="s">
        <v>7517</v>
      </c>
      <c r="AX745" s="1" t="s">
        <v>74</v>
      </c>
      <c r="AY745" s="1" t="s">
        <v>74</v>
      </c>
      <c r="AZ745" s="1" t="s">
        <v>74</v>
      </c>
      <c r="BA745" s="1" t="s">
        <v>74</v>
      </c>
      <c r="BB745" s="1">
        <v>1811.0</v>
      </c>
      <c r="BC745" s="1">
        <v>1832.0</v>
      </c>
      <c r="BD745" s="1" t="s">
        <v>74</v>
      </c>
      <c r="BE745" s="1" t="s">
        <v>7518</v>
      </c>
      <c r="BF745" s="2" t="str">
        <f>HYPERLINK("http://dx.doi.org/10.1007/s10008-011-1394-8","http://dx.doi.org/10.1007/s10008-011-1394-8")</f>
        <v>http://dx.doi.org/10.1007/s10008-011-1394-8</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7519</v>
      </c>
      <c r="BT745" s="1" t="str">
        <f>HYPERLINK("https%3A%2F%2Fwww.webofscience.com%2Fwos%2Fwoscc%2Ffull-record%2FWOS:000294226100044","View Full Record in Web of Science")</f>
        <v>View Full Record in Web of Science</v>
      </c>
    </row>
    <row r="746" ht="12.75" customHeight="1">
      <c r="A746" s="1" t="s">
        <v>72</v>
      </c>
      <c r="B746" s="1" t="s">
        <v>7520</v>
      </c>
      <c r="C746" s="1" t="s">
        <v>74</v>
      </c>
      <c r="D746" s="1" t="s">
        <v>74</v>
      </c>
      <c r="E746" s="1" t="s">
        <v>74</v>
      </c>
      <c r="F746" s="1" t="s">
        <v>7521</v>
      </c>
      <c r="G746" s="1" t="s">
        <v>74</v>
      </c>
      <c r="H746" s="1" t="s">
        <v>74</v>
      </c>
      <c r="I746" s="1" t="s">
        <v>7522</v>
      </c>
      <c r="J746" s="1" t="s">
        <v>3948</v>
      </c>
      <c r="K746" s="1" t="s">
        <v>74</v>
      </c>
      <c r="L746" s="1" t="s">
        <v>74</v>
      </c>
      <c r="M746" s="1" t="s">
        <v>74</v>
      </c>
      <c r="N746" s="1" t="s">
        <v>74</v>
      </c>
      <c r="O746" s="1" t="s">
        <v>74</v>
      </c>
      <c r="P746" s="1" t="s">
        <v>74</v>
      </c>
      <c r="Q746" s="1" t="s">
        <v>74</v>
      </c>
      <c r="R746" s="1" t="s">
        <v>74</v>
      </c>
      <c r="S746" s="1" t="s">
        <v>74</v>
      </c>
      <c r="T746" s="1" t="s">
        <v>74</v>
      </c>
      <c r="U746" s="1" t="s">
        <v>74</v>
      </c>
      <c r="V746" s="1" t="s">
        <v>7523</v>
      </c>
      <c r="W746" s="1" t="s">
        <v>74</v>
      </c>
      <c r="X746" s="1" t="s">
        <v>74</v>
      </c>
      <c r="Y746" s="1" t="s">
        <v>74</v>
      </c>
      <c r="Z746" s="1" t="s">
        <v>74</v>
      </c>
      <c r="AA746" s="1" t="s">
        <v>7524</v>
      </c>
      <c r="AB746" s="1" t="s">
        <v>7525</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3951</v>
      </c>
      <c r="AP746" s="1" t="s">
        <v>3952</v>
      </c>
      <c r="AQ746" s="1" t="s">
        <v>74</v>
      </c>
      <c r="AR746" s="1" t="s">
        <v>74</v>
      </c>
      <c r="AS746" s="1" t="s">
        <v>74</v>
      </c>
      <c r="AT746" s="1" t="s">
        <v>294</v>
      </c>
      <c r="AU746" s="1">
        <v>2010.0</v>
      </c>
      <c r="AV746" s="1">
        <v>106.0</v>
      </c>
      <c r="AW746" s="1">
        <v>1.0</v>
      </c>
      <c r="AX746" s="1" t="s">
        <v>74</v>
      </c>
      <c r="AY746" s="1" t="s">
        <v>74</v>
      </c>
      <c r="AZ746" s="1" t="s">
        <v>74</v>
      </c>
      <c r="BA746" s="1" t="s">
        <v>74</v>
      </c>
      <c r="BB746" s="1">
        <v>65.0</v>
      </c>
      <c r="BC746" s="1">
        <v>77.0</v>
      </c>
      <c r="BD746" s="1" t="s">
        <v>74</v>
      </c>
      <c r="BE746" s="1" t="s">
        <v>7526</v>
      </c>
      <c r="BF746" s="2" t="str">
        <f>HYPERLINK("http://dx.doi.org/10.2466/PR0.106.1.65-77","http://dx.doi.org/10.2466/PR0.106.1.65-77")</f>
        <v>http://dx.doi.org/10.2466/PR0.106.1.65-77</v>
      </c>
      <c r="BG746" s="1" t="s">
        <v>74</v>
      </c>
      <c r="BH746" s="1" t="s">
        <v>74</v>
      </c>
      <c r="BI746" s="1" t="s">
        <v>74</v>
      </c>
      <c r="BJ746" s="1" t="s">
        <v>74</v>
      </c>
      <c r="BK746" s="1" t="s">
        <v>74</v>
      </c>
      <c r="BL746" s="1" t="s">
        <v>74</v>
      </c>
      <c r="BM746" s="1" t="s">
        <v>74</v>
      </c>
      <c r="BN746" s="1">
        <v>2.0402428E7</v>
      </c>
      <c r="BO746" s="1" t="s">
        <v>74</v>
      </c>
      <c r="BP746" s="1" t="s">
        <v>74</v>
      </c>
      <c r="BQ746" s="1" t="s">
        <v>74</v>
      </c>
      <c r="BR746" s="1" t="s">
        <v>74</v>
      </c>
      <c r="BS746" s="1" t="s">
        <v>7527</v>
      </c>
      <c r="BT746" s="1" t="str">
        <f>HYPERLINK("https%3A%2F%2Fwww.webofscience.com%2Fwos%2Fwoscc%2Ffull-record%2FWOS:000276375300009","View Full Record in Web of Science")</f>
        <v>View Full Record in Web of Science</v>
      </c>
    </row>
    <row r="747" ht="12.75" customHeight="1">
      <c r="A747" s="1" t="s">
        <v>72</v>
      </c>
      <c r="B747" s="1" t="s">
        <v>4836</v>
      </c>
      <c r="C747" s="1" t="s">
        <v>74</v>
      </c>
      <c r="D747" s="1" t="s">
        <v>74</v>
      </c>
      <c r="E747" s="1" t="s">
        <v>74</v>
      </c>
      <c r="F747" s="1" t="s">
        <v>4837</v>
      </c>
      <c r="G747" s="1" t="s">
        <v>74</v>
      </c>
      <c r="H747" s="1" t="s">
        <v>74</v>
      </c>
      <c r="I747" s="1" t="s">
        <v>7528</v>
      </c>
      <c r="J747" s="1" t="s">
        <v>4839</v>
      </c>
      <c r="K747" s="1" t="s">
        <v>74</v>
      </c>
      <c r="L747" s="1" t="s">
        <v>74</v>
      </c>
      <c r="M747" s="1" t="s">
        <v>74</v>
      </c>
      <c r="N747" s="1" t="s">
        <v>74</v>
      </c>
      <c r="O747" s="1" t="s">
        <v>74</v>
      </c>
      <c r="P747" s="1" t="s">
        <v>74</v>
      </c>
      <c r="Q747" s="1" t="s">
        <v>74</v>
      </c>
      <c r="R747" s="1" t="s">
        <v>74</v>
      </c>
      <c r="S747" s="1" t="s">
        <v>74</v>
      </c>
      <c r="T747" s="1" t="s">
        <v>74</v>
      </c>
      <c r="U747" s="1" t="s">
        <v>74</v>
      </c>
      <c r="V747" s="1" t="s">
        <v>7529</v>
      </c>
      <c r="W747" s="1" t="s">
        <v>74</v>
      </c>
      <c r="X747" s="1" t="s">
        <v>74</v>
      </c>
      <c r="Y747" s="1" t="s">
        <v>74</v>
      </c>
      <c r="Z747" s="1" t="s">
        <v>74</v>
      </c>
      <c r="AA747" s="1" t="s">
        <v>4841</v>
      </c>
      <c r="AB747" s="1" t="s">
        <v>7530</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74</v>
      </c>
      <c r="AP747" s="1" t="s">
        <v>4843</v>
      </c>
      <c r="AQ747" s="1" t="s">
        <v>74</v>
      </c>
      <c r="AR747" s="1" t="s">
        <v>74</v>
      </c>
      <c r="AS747" s="1" t="s">
        <v>74</v>
      </c>
      <c r="AT747" s="1" t="s">
        <v>74</v>
      </c>
      <c r="AU747" s="1">
        <v>2009.0</v>
      </c>
      <c r="AV747" s="1">
        <v>106.0</v>
      </c>
      <c r="AW747" s="1">
        <v>1.0</v>
      </c>
      <c r="AX747" s="1" t="s">
        <v>74</v>
      </c>
      <c r="AY747" s="1" t="s">
        <v>74</v>
      </c>
      <c r="AZ747" s="1" t="s">
        <v>74</v>
      </c>
      <c r="BA747" s="1" t="s">
        <v>74</v>
      </c>
      <c r="BB747" s="1">
        <v>63.0</v>
      </c>
      <c r="BC747" s="1">
        <v>68.0</v>
      </c>
      <c r="BD747" s="1" t="s">
        <v>74</v>
      </c>
      <c r="BE747" s="1" t="s">
        <v>7531</v>
      </c>
      <c r="BF747" s="2" t="str">
        <f>HYPERLINK("http://dx.doi.org/10.14411/eje.2009.010","http://dx.doi.org/10.14411/eje.2009.010")</f>
        <v>http://dx.doi.org/10.14411/eje.2009.010</v>
      </c>
      <c r="BG747" s="1" t="s">
        <v>74</v>
      </c>
      <c r="BH747" s="1" t="s">
        <v>74</v>
      </c>
      <c r="BI747" s="1" t="s">
        <v>74</v>
      </c>
      <c r="BJ747" s="1" t="s">
        <v>74</v>
      </c>
      <c r="BK747" s="1" t="s">
        <v>74</v>
      </c>
      <c r="BL747" s="1" t="s">
        <v>74</v>
      </c>
      <c r="BM747" s="1" t="s">
        <v>74</v>
      </c>
      <c r="BN747" s="1" t="s">
        <v>74</v>
      </c>
      <c r="BO747" s="1" t="s">
        <v>74</v>
      </c>
      <c r="BP747" s="1" t="s">
        <v>74</v>
      </c>
      <c r="BQ747" s="1" t="s">
        <v>74</v>
      </c>
      <c r="BR747" s="1" t="s">
        <v>74</v>
      </c>
      <c r="BS747" s="1" t="s">
        <v>7532</v>
      </c>
      <c r="BT747" s="1" t="str">
        <f>HYPERLINK("https%3A%2F%2Fwww.webofscience.com%2Fwos%2Fwoscc%2Ffull-record%2FWOS:000264479100009","View Full Record in Web of Science")</f>
        <v>View Full Record in Web of Science</v>
      </c>
    </row>
    <row r="748" ht="12.75" customHeight="1">
      <c r="A748" s="1" t="s">
        <v>72</v>
      </c>
      <c r="B748" s="1" t="s">
        <v>7533</v>
      </c>
      <c r="C748" s="1" t="s">
        <v>74</v>
      </c>
      <c r="D748" s="1" t="s">
        <v>74</v>
      </c>
      <c r="E748" s="1" t="s">
        <v>74</v>
      </c>
      <c r="F748" s="1" t="s">
        <v>7534</v>
      </c>
      <c r="G748" s="1" t="s">
        <v>74</v>
      </c>
      <c r="H748" s="1" t="s">
        <v>74</v>
      </c>
      <c r="I748" s="1" t="s">
        <v>7535</v>
      </c>
      <c r="J748" s="1" t="s">
        <v>6322</v>
      </c>
      <c r="K748" s="1" t="s">
        <v>74</v>
      </c>
      <c r="L748" s="1" t="s">
        <v>74</v>
      </c>
      <c r="M748" s="1" t="s">
        <v>74</v>
      </c>
      <c r="N748" s="1" t="s">
        <v>74</v>
      </c>
      <c r="O748" s="1" t="s">
        <v>74</v>
      </c>
      <c r="P748" s="1" t="s">
        <v>74</v>
      </c>
      <c r="Q748" s="1" t="s">
        <v>74</v>
      </c>
      <c r="R748" s="1" t="s">
        <v>74</v>
      </c>
      <c r="S748" s="1" t="s">
        <v>74</v>
      </c>
      <c r="T748" s="1" t="s">
        <v>74</v>
      </c>
      <c r="U748" s="1" t="s">
        <v>74</v>
      </c>
      <c r="V748" s="1" t="s">
        <v>7536</v>
      </c>
      <c r="W748" s="1" t="s">
        <v>74</v>
      </c>
      <c r="X748" s="1" t="s">
        <v>74</v>
      </c>
      <c r="Y748" s="1" t="s">
        <v>74</v>
      </c>
      <c r="Z748" s="1" t="s">
        <v>74</v>
      </c>
      <c r="AA748" s="1" t="s">
        <v>7537</v>
      </c>
      <c r="AB748" s="1" t="s">
        <v>7538</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6326</v>
      </c>
      <c r="AP748" s="1" t="s">
        <v>6327</v>
      </c>
      <c r="AQ748" s="1" t="s">
        <v>74</v>
      </c>
      <c r="AR748" s="1" t="s">
        <v>74</v>
      </c>
      <c r="AS748" s="1" t="s">
        <v>74</v>
      </c>
      <c r="AT748" s="1" t="s">
        <v>4711</v>
      </c>
      <c r="AU748" s="1">
        <v>2007.0</v>
      </c>
      <c r="AV748" s="1">
        <v>322.0</v>
      </c>
      <c r="AW748" s="1" t="s">
        <v>74</v>
      </c>
      <c r="AX748" s="1" t="s">
        <v>74</v>
      </c>
      <c r="AY748" s="1" t="s">
        <v>74</v>
      </c>
      <c r="AZ748" s="1" t="s">
        <v>74</v>
      </c>
      <c r="BA748" s="1" t="s">
        <v>74</v>
      </c>
      <c r="BB748" s="1">
        <v>113.0</v>
      </c>
      <c r="BC748" s="1">
        <v>120.0</v>
      </c>
      <c r="BD748" s="1" t="s">
        <v>74</v>
      </c>
      <c r="BE748" s="1" t="s">
        <v>7539</v>
      </c>
      <c r="BF748" s="2" t="str">
        <f>HYPERLINK("http://dx.doi.org/10.1016/j.apcata.2007.01.019","http://dx.doi.org/10.1016/j.apcata.2007.01.019")</f>
        <v>http://dx.doi.org/10.1016/j.apcata.2007.01.019</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7540</v>
      </c>
      <c r="BT748" s="1" t="str">
        <f>HYPERLINK("https%3A%2F%2Fwww.webofscience.com%2Fwos%2Fwoscc%2Ffull-record%2FWOS:000245969500013","View Full Record in Web of Science")</f>
        <v>View Full Record in Web of Science</v>
      </c>
    </row>
    <row r="749" ht="12.75" customHeight="1">
      <c r="A749" s="1" t="s">
        <v>207</v>
      </c>
      <c r="B749" s="1" t="s">
        <v>7541</v>
      </c>
      <c r="C749" s="1" t="s">
        <v>74</v>
      </c>
      <c r="D749" s="1" t="s">
        <v>74</v>
      </c>
      <c r="E749" s="1" t="s">
        <v>224</v>
      </c>
      <c r="F749" s="1" t="s">
        <v>7542</v>
      </c>
      <c r="G749" s="1" t="s">
        <v>74</v>
      </c>
      <c r="H749" s="1" t="s">
        <v>74</v>
      </c>
      <c r="I749" s="1" t="s">
        <v>7543</v>
      </c>
      <c r="J749" s="1" t="s">
        <v>7544</v>
      </c>
      <c r="K749" s="1" t="s">
        <v>7545</v>
      </c>
      <c r="L749" s="1" t="s">
        <v>74</v>
      </c>
      <c r="M749" s="1" t="s">
        <v>74</v>
      </c>
      <c r="N749" s="1" t="s">
        <v>74</v>
      </c>
      <c r="O749" s="1" t="s">
        <v>7546</v>
      </c>
      <c r="P749" s="1" t="s">
        <v>7547</v>
      </c>
      <c r="Q749" s="1" t="s">
        <v>7548</v>
      </c>
      <c r="R749" s="1" t="s">
        <v>224</v>
      </c>
      <c r="S749" s="1" t="s">
        <v>74</v>
      </c>
      <c r="T749" s="1" t="s">
        <v>74</v>
      </c>
      <c r="U749" s="1" t="s">
        <v>74</v>
      </c>
      <c r="V749" s="1" t="s">
        <v>7549</v>
      </c>
      <c r="W749" s="1" t="s">
        <v>74</v>
      </c>
      <c r="X749" s="1" t="s">
        <v>74</v>
      </c>
      <c r="Y749" s="1" t="s">
        <v>74</v>
      </c>
      <c r="Z749" s="1" t="s">
        <v>74</v>
      </c>
      <c r="AA749" s="1" t="s">
        <v>7550</v>
      </c>
      <c r="AB749" s="1" t="s">
        <v>74</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7551</v>
      </c>
      <c r="AP749" s="1" t="s">
        <v>74</v>
      </c>
      <c r="AQ749" s="1" t="s">
        <v>7552</v>
      </c>
      <c r="AR749" s="1" t="s">
        <v>74</v>
      </c>
      <c r="AS749" s="1" t="s">
        <v>74</v>
      </c>
      <c r="AT749" s="1" t="s">
        <v>74</v>
      </c>
      <c r="AU749" s="1">
        <v>2006.0</v>
      </c>
      <c r="AV749" s="1" t="s">
        <v>74</v>
      </c>
      <c r="AW749" s="1" t="s">
        <v>74</v>
      </c>
      <c r="AX749" s="1" t="s">
        <v>74</v>
      </c>
      <c r="AY749" s="1" t="s">
        <v>74</v>
      </c>
      <c r="AZ749" s="1" t="s">
        <v>74</v>
      </c>
      <c r="BA749" s="1" t="s">
        <v>74</v>
      </c>
      <c r="BB749" s="1">
        <v>3380.0</v>
      </c>
      <c r="BC749" s="1">
        <v>3383.0</v>
      </c>
      <c r="BD749" s="1" t="s">
        <v>74</v>
      </c>
      <c r="BE749" s="1" t="s">
        <v>74</v>
      </c>
      <c r="BF749" s="1" t="s">
        <v>74</v>
      </c>
      <c r="BG749" s="1" t="s">
        <v>74</v>
      </c>
      <c r="BH749" s="1" t="s">
        <v>74</v>
      </c>
      <c r="BI749" s="1" t="s">
        <v>74</v>
      </c>
      <c r="BJ749" s="1" t="s">
        <v>74</v>
      </c>
      <c r="BK749" s="1" t="s">
        <v>74</v>
      </c>
      <c r="BL749" s="1" t="s">
        <v>74</v>
      </c>
      <c r="BM749" s="1" t="s">
        <v>74</v>
      </c>
      <c r="BN749" s="1" t="s">
        <v>74</v>
      </c>
      <c r="BO749" s="1" t="s">
        <v>74</v>
      </c>
      <c r="BP749" s="1" t="s">
        <v>74</v>
      </c>
      <c r="BQ749" s="1" t="s">
        <v>74</v>
      </c>
      <c r="BR749" s="1" t="s">
        <v>74</v>
      </c>
      <c r="BS749" s="1" t="s">
        <v>7553</v>
      </c>
      <c r="BT749" s="1" t="str">
        <f>HYPERLINK("https%3A%2F%2Fwww.webofscience.com%2Fwos%2Fwoscc%2Ffull-record%2FWOS:000288875603097","View Full Record in Web of Science")</f>
        <v>View Full Record in Web of Science</v>
      </c>
    </row>
    <row r="750" ht="12.75" customHeight="1">
      <c r="A750" s="1" t="s">
        <v>72</v>
      </c>
      <c r="B750" s="1" t="s">
        <v>7554</v>
      </c>
      <c r="C750" s="1" t="s">
        <v>74</v>
      </c>
      <c r="D750" s="1" t="s">
        <v>74</v>
      </c>
      <c r="E750" s="1" t="s">
        <v>74</v>
      </c>
      <c r="F750" s="1" t="s">
        <v>7554</v>
      </c>
      <c r="G750" s="1" t="s">
        <v>74</v>
      </c>
      <c r="H750" s="1" t="s">
        <v>74</v>
      </c>
      <c r="I750" s="1" t="s">
        <v>7555</v>
      </c>
      <c r="J750" s="1" t="s">
        <v>1577</v>
      </c>
      <c r="K750" s="1" t="s">
        <v>74</v>
      </c>
      <c r="L750" s="1" t="s">
        <v>74</v>
      </c>
      <c r="M750" s="1" t="s">
        <v>74</v>
      </c>
      <c r="N750" s="1" t="s">
        <v>74</v>
      </c>
      <c r="O750" s="1" t="s">
        <v>74</v>
      </c>
      <c r="P750" s="1" t="s">
        <v>74</v>
      </c>
      <c r="Q750" s="1" t="s">
        <v>74</v>
      </c>
      <c r="R750" s="1" t="s">
        <v>74</v>
      </c>
      <c r="S750" s="1" t="s">
        <v>74</v>
      </c>
      <c r="T750" s="1" t="s">
        <v>74</v>
      </c>
      <c r="U750" s="1" t="s">
        <v>74</v>
      </c>
      <c r="V750" s="1" t="s">
        <v>7556</v>
      </c>
      <c r="W750" s="1" t="s">
        <v>74</v>
      </c>
      <c r="X750" s="1" t="s">
        <v>74</v>
      </c>
      <c r="Y750" s="1" t="s">
        <v>74</v>
      </c>
      <c r="Z750" s="1" t="s">
        <v>74</v>
      </c>
      <c r="AA750" s="1" t="s">
        <v>7557</v>
      </c>
      <c r="AB750" s="1" t="s">
        <v>7558</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2765</v>
      </c>
      <c r="AP750" s="1" t="s">
        <v>74</v>
      </c>
      <c r="AQ750" s="1" t="s">
        <v>74</v>
      </c>
      <c r="AR750" s="1" t="s">
        <v>74</v>
      </c>
      <c r="AS750" s="1" t="s">
        <v>74</v>
      </c>
      <c r="AT750" s="1" t="s">
        <v>408</v>
      </c>
      <c r="AU750" s="1">
        <v>2005.0</v>
      </c>
      <c r="AV750" s="1">
        <v>50.0</v>
      </c>
      <c r="AW750" s="1">
        <v>1.0</v>
      </c>
      <c r="AX750" s="1" t="s">
        <v>74</v>
      </c>
      <c r="AY750" s="1" t="s">
        <v>74</v>
      </c>
      <c r="AZ750" s="1" t="s">
        <v>74</v>
      </c>
      <c r="BA750" s="1" t="s">
        <v>74</v>
      </c>
      <c r="BB750" s="1">
        <v>407.0</v>
      </c>
      <c r="BC750" s="1">
        <v>412.0</v>
      </c>
      <c r="BD750" s="1" t="s">
        <v>74</v>
      </c>
      <c r="BE750" s="1" t="s">
        <v>74</v>
      </c>
      <c r="BF750" s="1" t="s">
        <v>74</v>
      </c>
      <c r="BG750" s="1" t="s">
        <v>74</v>
      </c>
      <c r="BH750" s="1" t="s">
        <v>74</v>
      </c>
      <c r="BI750" s="1" t="s">
        <v>74</v>
      </c>
      <c r="BJ750" s="1" t="s">
        <v>74</v>
      </c>
      <c r="BK750" s="1" t="s">
        <v>74</v>
      </c>
      <c r="BL750" s="1" t="s">
        <v>74</v>
      </c>
      <c r="BM750" s="1" t="s">
        <v>74</v>
      </c>
      <c r="BN750" s="1" t="s">
        <v>74</v>
      </c>
      <c r="BO750" s="1" t="s">
        <v>74</v>
      </c>
      <c r="BP750" s="1" t="s">
        <v>74</v>
      </c>
      <c r="BQ750" s="1" t="s">
        <v>74</v>
      </c>
      <c r="BR750" s="1" t="s">
        <v>74</v>
      </c>
      <c r="BS750" s="1" t="s">
        <v>7559</v>
      </c>
      <c r="BT750" s="1" t="str">
        <f>HYPERLINK("https%3A%2F%2Fwww.webofscience.com%2Fwos%2Fwoscc%2Ffull-record%2FWOS:000230996800007","View Full Record in Web of Science")</f>
        <v>View Full Record in Web of Science</v>
      </c>
    </row>
    <row r="751" ht="12.75" customHeight="1">
      <c r="A751" s="1" t="s">
        <v>72</v>
      </c>
      <c r="B751" s="1" t="s">
        <v>7560</v>
      </c>
      <c r="C751" s="1" t="s">
        <v>74</v>
      </c>
      <c r="D751" s="1" t="s">
        <v>74</v>
      </c>
      <c r="E751" s="1" t="s">
        <v>74</v>
      </c>
      <c r="F751" s="1" t="s">
        <v>7560</v>
      </c>
      <c r="G751" s="1" t="s">
        <v>74</v>
      </c>
      <c r="H751" s="1" t="s">
        <v>74</v>
      </c>
      <c r="I751" s="1" t="s">
        <v>7561</v>
      </c>
      <c r="J751" s="1" t="s">
        <v>1595</v>
      </c>
      <c r="K751" s="1" t="s">
        <v>74</v>
      </c>
      <c r="L751" s="1" t="s">
        <v>74</v>
      </c>
      <c r="M751" s="1" t="s">
        <v>74</v>
      </c>
      <c r="N751" s="1" t="s">
        <v>74</v>
      </c>
      <c r="O751" s="1" t="s">
        <v>74</v>
      </c>
      <c r="P751" s="1" t="s">
        <v>74</v>
      </c>
      <c r="Q751" s="1" t="s">
        <v>74</v>
      </c>
      <c r="R751" s="1" t="s">
        <v>74</v>
      </c>
      <c r="S751" s="1" t="s">
        <v>74</v>
      </c>
      <c r="T751" s="1" t="s">
        <v>74</v>
      </c>
      <c r="U751" s="1" t="s">
        <v>74</v>
      </c>
      <c r="V751" s="1" t="s">
        <v>7562</v>
      </c>
      <c r="W751" s="1" t="s">
        <v>74</v>
      </c>
      <c r="X751" s="1" t="s">
        <v>74</v>
      </c>
      <c r="Y751" s="1" t="s">
        <v>74</v>
      </c>
      <c r="Z751" s="1" t="s">
        <v>74</v>
      </c>
      <c r="AA751" s="1" t="s">
        <v>2158</v>
      </c>
      <c r="AB751" s="1" t="s">
        <v>7563</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1599</v>
      </c>
      <c r="AP751" s="1" t="s">
        <v>74</v>
      </c>
      <c r="AQ751" s="1" t="s">
        <v>74</v>
      </c>
      <c r="AR751" s="1" t="s">
        <v>74</v>
      </c>
      <c r="AS751" s="1" t="s">
        <v>74</v>
      </c>
      <c r="AT751" s="1" t="s">
        <v>294</v>
      </c>
      <c r="AU751" s="1">
        <v>2003.0</v>
      </c>
      <c r="AV751" s="1">
        <v>150.0</v>
      </c>
      <c r="AW751" s="1">
        <v>2.0</v>
      </c>
      <c r="AX751" s="1" t="s">
        <v>74</v>
      </c>
      <c r="AY751" s="1" t="s">
        <v>74</v>
      </c>
      <c r="AZ751" s="1" t="s">
        <v>74</v>
      </c>
      <c r="BA751" s="1" t="s">
        <v>74</v>
      </c>
      <c r="BB751" s="1" t="s">
        <v>7564</v>
      </c>
      <c r="BC751" s="1" t="s">
        <v>7565</v>
      </c>
      <c r="BD751" s="1" t="s">
        <v>74</v>
      </c>
      <c r="BE751" s="1" t="s">
        <v>7566</v>
      </c>
      <c r="BF751" s="2" t="str">
        <f>HYPERLINK("http://dx.doi.org/10.1149/1.1534097","http://dx.doi.org/10.1149/1.1534097")</f>
        <v>http://dx.doi.org/10.1149/1.1534097</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7567</v>
      </c>
      <c r="BT751" s="1" t="str">
        <f>HYPERLINK("https%3A%2F%2Fwww.webofscience.com%2Fwos%2Fwoscc%2Ffull-record%2FWOS:000180517000036","View Full Record in Web of Science")</f>
        <v>View Full Record in Web of Science</v>
      </c>
    </row>
    <row r="752" ht="12.75" customHeight="1">
      <c r="A752" s="1" t="s">
        <v>72</v>
      </c>
      <c r="B752" s="1" t="s">
        <v>7568</v>
      </c>
      <c r="C752" s="1" t="s">
        <v>74</v>
      </c>
      <c r="D752" s="1" t="s">
        <v>74</v>
      </c>
      <c r="E752" s="1" t="s">
        <v>74</v>
      </c>
      <c r="F752" s="1" t="s">
        <v>7568</v>
      </c>
      <c r="G752" s="1" t="s">
        <v>74</v>
      </c>
      <c r="H752" s="1" t="s">
        <v>74</v>
      </c>
      <c r="I752" s="1" t="s">
        <v>7569</v>
      </c>
      <c r="J752" s="1" t="s">
        <v>7570</v>
      </c>
      <c r="K752" s="1" t="s">
        <v>74</v>
      </c>
      <c r="L752" s="1" t="s">
        <v>74</v>
      </c>
      <c r="M752" s="1" t="s">
        <v>74</v>
      </c>
      <c r="N752" s="1" t="s">
        <v>74</v>
      </c>
      <c r="O752" s="1" t="s">
        <v>74</v>
      </c>
      <c r="P752" s="1" t="s">
        <v>74</v>
      </c>
      <c r="Q752" s="1" t="s">
        <v>74</v>
      </c>
      <c r="R752" s="1" t="s">
        <v>74</v>
      </c>
      <c r="S752" s="1" t="s">
        <v>74</v>
      </c>
      <c r="T752" s="1" t="s">
        <v>74</v>
      </c>
      <c r="U752" s="1" t="s">
        <v>74</v>
      </c>
      <c r="V752" s="1" t="s">
        <v>7571</v>
      </c>
      <c r="W752" s="1" t="s">
        <v>74</v>
      </c>
      <c r="X752" s="1" t="s">
        <v>74</v>
      </c>
      <c r="Y752" s="1" t="s">
        <v>74</v>
      </c>
      <c r="Z752" s="1" t="s">
        <v>74</v>
      </c>
      <c r="AA752" s="1" t="s">
        <v>74</v>
      </c>
      <c r="AB752" s="1" t="s">
        <v>74</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7572</v>
      </c>
      <c r="AP752" s="1" t="s">
        <v>74</v>
      </c>
      <c r="AQ752" s="1" t="s">
        <v>74</v>
      </c>
      <c r="AR752" s="1" t="s">
        <v>74</v>
      </c>
      <c r="AS752" s="1" t="s">
        <v>74</v>
      </c>
      <c r="AT752" s="1" t="s">
        <v>94</v>
      </c>
      <c r="AU752" s="1">
        <v>2001.0</v>
      </c>
      <c r="AV752" s="1">
        <v>51.0</v>
      </c>
      <c r="AW752" s="1">
        <v>6.0</v>
      </c>
      <c r="AX752" s="1" t="s">
        <v>74</v>
      </c>
      <c r="AY752" s="1" t="s">
        <v>74</v>
      </c>
      <c r="AZ752" s="1" t="s">
        <v>74</v>
      </c>
      <c r="BA752" s="1" t="s">
        <v>74</v>
      </c>
      <c r="BB752" s="1">
        <v>377.0</v>
      </c>
      <c r="BC752" s="1">
        <v>380.0</v>
      </c>
      <c r="BD752" s="1" t="s">
        <v>74</v>
      </c>
      <c r="BE752" s="1" t="s">
        <v>7573</v>
      </c>
      <c r="BF752" s="2" t="str">
        <f>HYPERLINK("http://dx.doi.org/10.1080/152165401753366140","http://dx.doi.org/10.1080/152165401753366140")</f>
        <v>http://dx.doi.org/10.1080/152165401753366140</v>
      </c>
      <c r="BG752" s="1" t="s">
        <v>74</v>
      </c>
      <c r="BH752" s="1" t="s">
        <v>74</v>
      </c>
      <c r="BI752" s="1" t="s">
        <v>74</v>
      </c>
      <c r="BJ752" s="1" t="s">
        <v>74</v>
      </c>
      <c r="BK752" s="1" t="s">
        <v>74</v>
      </c>
      <c r="BL752" s="1" t="s">
        <v>74</v>
      </c>
      <c r="BM752" s="1" t="s">
        <v>74</v>
      </c>
      <c r="BN752" s="1">
        <v>1.1758806E7</v>
      </c>
      <c r="BO752" s="1" t="s">
        <v>74</v>
      </c>
      <c r="BP752" s="1" t="s">
        <v>74</v>
      </c>
      <c r="BQ752" s="1" t="s">
        <v>74</v>
      </c>
      <c r="BR752" s="1" t="s">
        <v>74</v>
      </c>
      <c r="BS752" s="1" t="s">
        <v>7574</v>
      </c>
      <c r="BT752" s="1" t="str">
        <f>HYPERLINK("https%3A%2F%2Fwww.webofscience.com%2Fwos%2Fwoscc%2Ffull-record%2FWOS:000172486000010","View Full Record in Web of Science")</f>
        <v>View Full Record in Web of Science</v>
      </c>
    </row>
    <row r="753" ht="12.75" customHeight="1">
      <c r="A753" s="1" t="s">
        <v>72</v>
      </c>
      <c r="B753" s="1" t="s">
        <v>7575</v>
      </c>
      <c r="C753" s="1" t="s">
        <v>74</v>
      </c>
      <c r="D753" s="1" t="s">
        <v>74</v>
      </c>
      <c r="E753" s="1" t="s">
        <v>74</v>
      </c>
      <c r="F753" s="1" t="s">
        <v>7575</v>
      </c>
      <c r="G753" s="1" t="s">
        <v>74</v>
      </c>
      <c r="H753" s="1" t="s">
        <v>74</v>
      </c>
      <c r="I753" s="1" t="s">
        <v>7576</v>
      </c>
      <c r="J753" s="1" t="s">
        <v>7577</v>
      </c>
      <c r="K753" s="1" t="s">
        <v>74</v>
      </c>
      <c r="L753" s="1" t="s">
        <v>74</v>
      </c>
      <c r="M753" s="1" t="s">
        <v>74</v>
      </c>
      <c r="N753" s="1" t="s">
        <v>74</v>
      </c>
      <c r="O753" s="1" t="s">
        <v>74</v>
      </c>
      <c r="P753" s="1" t="s">
        <v>74</v>
      </c>
      <c r="Q753" s="1" t="s">
        <v>74</v>
      </c>
      <c r="R753" s="1" t="s">
        <v>74</v>
      </c>
      <c r="S753" s="1" t="s">
        <v>74</v>
      </c>
      <c r="T753" s="1" t="s">
        <v>74</v>
      </c>
      <c r="U753" s="1" t="s">
        <v>74</v>
      </c>
      <c r="V753" s="1" t="s">
        <v>74</v>
      </c>
      <c r="W753" s="1" t="s">
        <v>74</v>
      </c>
      <c r="X753" s="1" t="s">
        <v>74</v>
      </c>
      <c r="Y753" s="1" t="s">
        <v>74</v>
      </c>
      <c r="Z753" s="1" t="s">
        <v>74</v>
      </c>
      <c r="AA753" s="1" t="s">
        <v>7578</v>
      </c>
      <c r="AB753" s="1" t="s">
        <v>7579</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7580</v>
      </c>
      <c r="AP753" s="1" t="s">
        <v>74</v>
      </c>
      <c r="AQ753" s="1" t="s">
        <v>74</v>
      </c>
      <c r="AR753" s="1" t="s">
        <v>74</v>
      </c>
      <c r="AS753" s="1" t="s">
        <v>74</v>
      </c>
      <c r="AT753" s="1" t="s">
        <v>3327</v>
      </c>
      <c r="AU753" s="1">
        <v>2001.0</v>
      </c>
      <c r="AV753" s="1">
        <v>498.0</v>
      </c>
      <c r="AW753" s="1">
        <v>1.0</v>
      </c>
      <c r="AX753" s="1" t="s">
        <v>74</v>
      </c>
      <c r="AY753" s="1" t="s">
        <v>74</v>
      </c>
      <c r="AZ753" s="1" t="s">
        <v>74</v>
      </c>
      <c r="BA753" s="1" t="s">
        <v>74</v>
      </c>
      <c r="BB753" s="1">
        <v>121.0</v>
      </c>
      <c r="BC753" s="1">
        <v>121.0</v>
      </c>
      <c r="BD753" s="1" t="s">
        <v>74</v>
      </c>
      <c r="BE753" s="1" t="s">
        <v>7581</v>
      </c>
      <c r="BF753" s="2" t="str">
        <f>HYPERLINK("http://dx.doi.org/10.1016/S0014-5793(01)02467-X","http://dx.doi.org/10.1016/S0014-5793(01)02467-X")</f>
        <v>http://dx.doi.org/10.1016/S0014-5793(01)02467-X</v>
      </c>
      <c r="BG753" s="1" t="s">
        <v>74</v>
      </c>
      <c r="BH753" s="1" t="s">
        <v>74</v>
      </c>
      <c r="BI753" s="1" t="s">
        <v>74</v>
      </c>
      <c r="BJ753" s="1" t="s">
        <v>74</v>
      </c>
      <c r="BK753" s="1" t="s">
        <v>74</v>
      </c>
      <c r="BL753" s="1" t="s">
        <v>74</v>
      </c>
      <c r="BM753" s="1" t="s">
        <v>74</v>
      </c>
      <c r="BN753" s="1" t="s">
        <v>74</v>
      </c>
      <c r="BO753" s="1" t="s">
        <v>74</v>
      </c>
      <c r="BP753" s="1" t="s">
        <v>74</v>
      </c>
      <c r="BQ753" s="1" t="s">
        <v>74</v>
      </c>
      <c r="BR753" s="1" t="s">
        <v>74</v>
      </c>
      <c r="BS753" s="1" t="s">
        <v>7582</v>
      </c>
      <c r="BT753" s="1" t="str">
        <f>HYPERLINK("https%3A%2F%2Fwww.webofscience.com%2Fwos%2Fwoscc%2Ffull-record%2FWOS:000169258400024","View Full Record in Web of Science")</f>
        <v>View Full Record in Web of Science</v>
      </c>
    </row>
    <row r="754" ht="12.75" customHeight="1">
      <c r="A754" s="1" t="s">
        <v>72</v>
      </c>
      <c r="B754" s="1" t="s">
        <v>7583</v>
      </c>
      <c r="C754" s="1" t="s">
        <v>74</v>
      </c>
      <c r="D754" s="1" t="s">
        <v>74</v>
      </c>
      <c r="E754" s="1" t="s">
        <v>74</v>
      </c>
      <c r="F754" s="1" t="s">
        <v>7583</v>
      </c>
      <c r="G754" s="1" t="s">
        <v>74</v>
      </c>
      <c r="H754" s="1" t="s">
        <v>74</v>
      </c>
      <c r="I754" s="1" t="s">
        <v>7584</v>
      </c>
      <c r="J754" s="1" t="s">
        <v>876</v>
      </c>
      <c r="K754" s="1" t="s">
        <v>74</v>
      </c>
      <c r="L754" s="1" t="s">
        <v>74</v>
      </c>
      <c r="M754" s="1" t="s">
        <v>74</v>
      </c>
      <c r="N754" s="1" t="s">
        <v>74</v>
      </c>
      <c r="O754" s="1" t="s">
        <v>74</v>
      </c>
      <c r="P754" s="1" t="s">
        <v>74</v>
      </c>
      <c r="Q754" s="1" t="s">
        <v>74</v>
      </c>
      <c r="R754" s="1" t="s">
        <v>74</v>
      </c>
      <c r="S754" s="1" t="s">
        <v>74</v>
      </c>
      <c r="T754" s="1" t="s">
        <v>74</v>
      </c>
      <c r="U754" s="1" t="s">
        <v>74</v>
      </c>
      <c r="V754" s="1" t="s">
        <v>7585</v>
      </c>
      <c r="W754" s="1" t="s">
        <v>74</v>
      </c>
      <c r="X754" s="1" t="s">
        <v>74</v>
      </c>
      <c r="Y754" s="1" t="s">
        <v>74</v>
      </c>
      <c r="Z754" s="1" t="s">
        <v>74</v>
      </c>
      <c r="AA754" s="1" t="s">
        <v>4912</v>
      </c>
      <c r="AB754" s="1" t="s">
        <v>7586</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880</v>
      </c>
      <c r="AP754" s="1" t="s">
        <v>74</v>
      </c>
      <c r="AQ754" s="1" t="s">
        <v>74</v>
      </c>
      <c r="AR754" s="1" t="s">
        <v>74</v>
      </c>
      <c r="AS754" s="1" t="s">
        <v>74</v>
      </c>
      <c r="AT754" s="1" t="s">
        <v>82</v>
      </c>
      <c r="AU754" s="1">
        <v>1998.0</v>
      </c>
      <c r="AV754" s="1">
        <v>36.0</v>
      </c>
      <c r="AW754" s="1">
        <v>10.0</v>
      </c>
      <c r="AX754" s="1" t="s">
        <v>74</v>
      </c>
      <c r="AY754" s="1" t="s">
        <v>74</v>
      </c>
      <c r="AZ754" s="1" t="s">
        <v>74</v>
      </c>
      <c r="BA754" s="1" t="s">
        <v>74</v>
      </c>
      <c r="BB754" s="1">
        <v>1383.0</v>
      </c>
      <c r="BC754" s="1">
        <v>1393.0</v>
      </c>
      <c r="BD754" s="1" t="s">
        <v>74</v>
      </c>
      <c r="BE754" s="1" t="s">
        <v>7587</v>
      </c>
      <c r="BF754" s="2" t="str">
        <f>HYPERLINK("http://dx.doi.org/10.1016/S0041-0101(98)00016-6","http://dx.doi.org/10.1016/S0041-0101(98)00016-6")</f>
        <v>http://dx.doi.org/10.1016/S0041-0101(98)00016-6</v>
      </c>
      <c r="BG754" s="1" t="s">
        <v>74</v>
      </c>
      <c r="BH754" s="1" t="s">
        <v>74</v>
      </c>
      <c r="BI754" s="1" t="s">
        <v>74</v>
      </c>
      <c r="BJ754" s="1" t="s">
        <v>74</v>
      </c>
      <c r="BK754" s="1" t="s">
        <v>74</v>
      </c>
      <c r="BL754" s="1" t="s">
        <v>74</v>
      </c>
      <c r="BM754" s="1" t="s">
        <v>74</v>
      </c>
      <c r="BN754" s="1">
        <v>9723837.0</v>
      </c>
      <c r="BO754" s="1" t="s">
        <v>74</v>
      </c>
      <c r="BP754" s="1" t="s">
        <v>74</v>
      </c>
      <c r="BQ754" s="1" t="s">
        <v>74</v>
      </c>
      <c r="BR754" s="1" t="s">
        <v>74</v>
      </c>
      <c r="BS754" s="1" t="s">
        <v>7588</v>
      </c>
      <c r="BT754" s="1" t="str">
        <f>HYPERLINK("https%3A%2F%2Fwww.webofscience.com%2Fwos%2Fwoscc%2Ffull-record%2FWOS:000075263700007","View Full Record in Web of Science")</f>
        <v>View Full Record in Web of Science</v>
      </c>
    </row>
    <row r="755" ht="12.75" customHeight="1">
      <c r="A755" s="1" t="s">
        <v>72</v>
      </c>
      <c r="B755" s="1" t="s">
        <v>7589</v>
      </c>
      <c r="C755" s="1" t="s">
        <v>74</v>
      </c>
      <c r="D755" s="1" t="s">
        <v>74</v>
      </c>
      <c r="E755" s="1" t="s">
        <v>74</v>
      </c>
      <c r="F755" s="1" t="s">
        <v>7589</v>
      </c>
      <c r="G755" s="1" t="s">
        <v>74</v>
      </c>
      <c r="H755" s="1" t="s">
        <v>74</v>
      </c>
      <c r="I755" s="1" t="s">
        <v>7590</v>
      </c>
      <c r="J755" s="1" t="s">
        <v>4064</v>
      </c>
      <c r="K755" s="1" t="s">
        <v>74</v>
      </c>
      <c r="L755" s="1" t="s">
        <v>74</v>
      </c>
      <c r="M755" s="1" t="s">
        <v>74</v>
      </c>
      <c r="N755" s="1" t="s">
        <v>74</v>
      </c>
      <c r="O755" s="1" t="s">
        <v>74</v>
      </c>
      <c r="P755" s="1" t="s">
        <v>74</v>
      </c>
      <c r="Q755" s="1" t="s">
        <v>74</v>
      </c>
      <c r="R755" s="1" t="s">
        <v>74</v>
      </c>
      <c r="S755" s="1" t="s">
        <v>74</v>
      </c>
      <c r="T755" s="1" t="s">
        <v>74</v>
      </c>
      <c r="U755" s="1" t="s">
        <v>74</v>
      </c>
      <c r="V755" s="1" t="s">
        <v>7591</v>
      </c>
      <c r="W755" s="1" t="s">
        <v>74</v>
      </c>
      <c r="X755" s="1" t="s">
        <v>74</v>
      </c>
      <c r="Y755" s="1" t="s">
        <v>74</v>
      </c>
      <c r="Z755" s="1" t="s">
        <v>74</v>
      </c>
      <c r="AA755" s="1" t="s">
        <v>3501</v>
      </c>
      <c r="AB755" s="1" t="s">
        <v>3502</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7592</v>
      </c>
      <c r="AP755" s="1" t="s">
        <v>7593</v>
      </c>
      <c r="AQ755" s="1" t="s">
        <v>74</v>
      </c>
      <c r="AR755" s="1" t="s">
        <v>74</v>
      </c>
      <c r="AS755" s="1" t="s">
        <v>74</v>
      </c>
      <c r="AT755" s="1" t="s">
        <v>3327</v>
      </c>
      <c r="AU755" s="1">
        <v>1998.0</v>
      </c>
      <c r="AV755" s="1">
        <v>57.0</v>
      </c>
      <c r="AW755" s="1">
        <v>21.0</v>
      </c>
      <c r="AX755" s="1" t="s">
        <v>74</v>
      </c>
      <c r="AY755" s="1" t="s">
        <v>74</v>
      </c>
      <c r="AZ755" s="1" t="s">
        <v>74</v>
      </c>
      <c r="BA755" s="1" t="s">
        <v>74</v>
      </c>
      <c r="BB755" s="1">
        <v>13604.0</v>
      </c>
      <c r="BC755" s="1">
        <v>13609.0</v>
      </c>
      <c r="BD755" s="1" t="s">
        <v>74</v>
      </c>
      <c r="BE755" s="1" t="s">
        <v>7594</v>
      </c>
      <c r="BF755" s="2" t="str">
        <f>HYPERLINK("http://dx.doi.org/10.1103/PhysRevB.57.13604","http://dx.doi.org/10.1103/PhysRevB.57.13604")</f>
        <v>http://dx.doi.org/10.1103/PhysRevB.57.13604</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7595</v>
      </c>
      <c r="BT755" s="1" t="str">
        <f>HYPERLINK("https%3A%2F%2Fwww.webofscience.com%2Fwos%2Fwoscc%2Ffull-record%2FWOS:000074061700045","View Full Record in Web of Science")</f>
        <v>View Full Record in Web of Science</v>
      </c>
    </row>
    <row r="756" ht="12.75" customHeight="1">
      <c r="A756" s="1" t="s">
        <v>72</v>
      </c>
      <c r="B756" s="1" t="s">
        <v>7596</v>
      </c>
      <c r="C756" s="1" t="s">
        <v>74</v>
      </c>
      <c r="D756" s="1" t="s">
        <v>74</v>
      </c>
      <c r="E756" s="1" t="s">
        <v>74</v>
      </c>
      <c r="F756" s="1" t="s">
        <v>7596</v>
      </c>
      <c r="G756" s="1" t="s">
        <v>74</v>
      </c>
      <c r="H756" s="1" t="s">
        <v>74</v>
      </c>
      <c r="I756" s="1" t="s">
        <v>7597</v>
      </c>
      <c r="J756" s="1" t="s">
        <v>4920</v>
      </c>
      <c r="K756" s="1" t="s">
        <v>74</v>
      </c>
      <c r="L756" s="1" t="s">
        <v>74</v>
      </c>
      <c r="M756" s="1" t="s">
        <v>74</v>
      </c>
      <c r="N756" s="1" t="s">
        <v>74</v>
      </c>
      <c r="O756" s="1" t="s">
        <v>7598</v>
      </c>
      <c r="P756" s="1" t="s">
        <v>7599</v>
      </c>
      <c r="Q756" s="1" t="s">
        <v>7600</v>
      </c>
      <c r="R756" s="1" t="s">
        <v>7601</v>
      </c>
      <c r="S756" s="1" t="s">
        <v>7602</v>
      </c>
      <c r="T756" s="1" t="s">
        <v>74</v>
      </c>
      <c r="U756" s="1" t="s">
        <v>74</v>
      </c>
      <c r="V756" s="1" t="s">
        <v>7603</v>
      </c>
      <c r="W756" s="1" t="s">
        <v>74</v>
      </c>
      <c r="X756" s="1" t="s">
        <v>74</v>
      </c>
      <c r="Y756" s="1" t="s">
        <v>74</v>
      </c>
      <c r="Z756" s="1" t="s">
        <v>74</v>
      </c>
      <c r="AA756" s="1" t="s">
        <v>7604</v>
      </c>
      <c r="AB756" s="1" t="s">
        <v>74</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4863</v>
      </c>
      <c r="AP756" s="1" t="s">
        <v>74</v>
      </c>
      <c r="AQ756" s="1" t="s">
        <v>74</v>
      </c>
      <c r="AR756" s="1" t="s">
        <v>74</v>
      </c>
      <c r="AS756" s="1" t="s">
        <v>74</v>
      </c>
      <c r="AT756" s="1" t="s">
        <v>1363</v>
      </c>
      <c r="AU756" s="1">
        <v>1998.0</v>
      </c>
      <c r="AV756" s="1">
        <v>249.0</v>
      </c>
      <c r="AW756" s="1" t="s">
        <v>2903</v>
      </c>
      <c r="AX756" s="1" t="s">
        <v>74</v>
      </c>
      <c r="AY756" s="1" t="s">
        <v>74</v>
      </c>
      <c r="AZ756" s="1" t="s">
        <v>74</v>
      </c>
      <c r="BA756" s="1" t="s">
        <v>74</v>
      </c>
      <c r="BB756" s="1">
        <v>1.0</v>
      </c>
      <c r="BC756" s="1">
        <v>9.0</v>
      </c>
      <c r="BD756" s="1" t="s">
        <v>74</v>
      </c>
      <c r="BE756" s="1" t="s">
        <v>7605</v>
      </c>
      <c r="BF756" s="2" t="str">
        <f>HYPERLINK("http://dx.doi.org/10.1016/S0378-4371(97)00425-1","http://dx.doi.org/10.1016/S0378-4371(97)00425-1")</f>
        <v>http://dx.doi.org/10.1016/S0378-4371(97)00425-1</v>
      </c>
      <c r="BG756" s="1" t="s">
        <v>74</v>
      </c>
      <c r="BH756" s="1" t="s">
        <v>74</v>
      </c>
      <c r="BI756" s="1" t="s">
        <v>74</v>
      </c>
      <c r="BJ756" s="1" t="s">
        <v>74</v>
      </c>
      <c r="BK756" s="1" t="s">
        <v>74</v>
      </c>
      <c r="BL756" s="1" t="s">
        <v>74</v>
      </c>
      <c r="BM756" s="1" t="s">
        <v>74</v>
      </c>
      <c r="BN756" s="1" t="s">
        <v>74</v>
      </c>
      <c r="BO756" s="1" t="s">
        <v>74</v>
      </c>
      <c r="BP756" s="1" t="s">
        <v>74</v>
      </c>
      <c r="BQ756" s="1" t="s">
        <v>74</v>
      </c>
      <c r="BR756" s="1" t="s">
        <v>74</v>
      </c>
      <c r="BS756" s="1" t="s">
        <v>7606</v>
      </c>
      <c r="BT756" s="1" t="str">
        <f>HYPERLINK("https%3A%2F%2Fwww.webofscience.com%2Fwos%2Fwoscc%2Ffull-record%2FWOS:000072486000002","View Full Record in Web of Science")</f>
        <v>View Full Record in Web of Science</v>
      </c>
    </row>
    <row r="757" ht="12.75" customHeight="1">
      <c r="A757" s="1" t="s">
        <v>72</v>
      </c>
      <c r="B757" s="1" t="s">
        <v>7607</v>
      </c>
      <c r="C757" s="1" t="s">
        <v>74</v>
      </c>
      <c r="D757" s="1" t="s">
        <v>74</v>
      </c>
      <c r="E757" s="1" t="s">
        <v>74</v>
      </c>
      <c r="F757" s="1" t="s">
        <v>7608</v>
      </c>
      <c r="G757" s="1" t="s">
        <v>74</v>
      </c>
      <c r="H757" s="1" t="s">
        <v>74</v>
      </c>
      <c r="I757" s="1" t="s">
        <v>7609</v>
      </c>
      <c r="J757" s="1" t="s">
        <v>7610</v>
      </c>
      <c r="K757" s="1" t="s">
        <v>74</v>
      </c>
      <c r="L757" s="1" t="s">
        <v>74</v>
      </c>
      <c r="M757" s="1" t="s">
        <v>74</v>
      </c>
      <c r="N757" s="1" t="s">
        <v>74</v>
      </c>
      <c r="O757" s="1" t="s">
        <v>74</v>
      </c>
      <c r="P757" s="1" t="s">
        <v>74</v>
      </c>
      <c r="Q757" s="1" t="s">
        <v>74</v>
      </c>
      <c r="R757" s="1" t="s">
        <v>74</v>
      </c>
      <c r="S757" s="1" t="s">
        <v>74</v>
      </c>
      <c r="T757" s="1" t="s">
        <v>74</v>
      </c>
      <c r="U757" s="1" t="s">
        <v>74</v>
      </c>
      <c r="V757" s="1" t="s">
        <v>7611</v>
      </c>
      <c r="W757" s="1" t="s">
        <v>74</v>
      </c>
      <c r="X757" s="1" t="s">
        <v>74</v>
      </c>
      <c r="Y757" s="1" t="s">
        <v>74</v>
      </c>
      <c r="Z757" s="1" t="s">
        <v>74</v>
      </c>
      <c r="AA757" s="1" t="s">
        <v>7612</v>
      </c>
      <c r="AB757" s="1" t="s">
        <v>7613</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74</v>
      </c>
      <c r="AP757" s="1" t="s">
        <v>7614</v>
      </c>
      <c r="AQ757" s="1" t="s">
        <v>74</v>
      </c>
      <c r="AR757" s="1" t="s">
        <v>74</v>
      </c>
      <c r="AS757" s="1" t="s">
        <v>74</v>
      </c>
      <c r="AT757" s="1" t="s">
        <v>1279</v>
      </c>
      <c r="AU757" s="1">
        <v>2024.0</v>
      </c>
      <c r="AV757" s="1">
        <v>15.0</v>
      </c>
      <c r="AW757" s="1">
        <v>4.0</v>
      </c>
      <c r="AX757" s="1" t="s">
        <v>74</v>
      </c>
      <c r="AY757" s="1" t="s">
        <v>74</v>
      </c>
      <c r="AZ757" s="1" t="s">
        <v>74</v>
      </c>
      <c r="BA757" s="1" t="s">
        <v>74</v>
      </c>
      <c r="BB757" s="1" t="s">
        <v>74</v>
      </c>
      <c r="BC757" s="1" t="s">
        <v>74</v>
      </c>
      <c r="BD757" s="1">
        <v>482.0</v>
      </c>
      <c r="BE757" s="1" t="s">
        <v>7615</v>
      </c>
      <c r="BF757" s="2" t="str">
        <f>HYPERLINK("http://dx.doi.org/10.3390/atmos15040482","http://dx.doi.org/10.3390/atmos15040482")</f>
        <v>http://dx.doi.org/10.3390/atmos15040482</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7616</v>
      </c>
      <c r="BT757" s="1" t="str">
        <f>HYPERLINK("https%3A%2F%2Fwww.webofscience.com%2Fwos%2Fwoscc%2Ffull-record%2FWOS:001211179700001","View Full Record in Web of Science")</f>
        <v>View Full Record in Web of Science</v>
      </c>
    </row>
    <row r="758" ht="12.75" customHeight="1">
      <c r="A758" s="1" t="s">
        <v>72</v>
      </c>
      <c r="B758" s="1" t="s">
        <v>7617</v>
      </c>
      <c r="C758" s="1" t="s">
        <v>74</v>
      </c>
      <c r="D758" s="1" t="s">
        <v>74</v>
      </c>
      <c r="E758" s="1" t="s">
        <v>74</v>
      </c>
      <c r="F758" s="1" t="s">
        <v>7618</v>
      </c>
      <c r="G758" s="1" t="s">
        <v>74</v>
      </c>
      <c r="H758" s="1" t="s">
        <v>74</v>
      </c>
      <c r="I758" s="1" t="s">
        <v>7619</v>
      </c>
      <c r="J758" s="1" t="s">
        <v>1297</v>
      </c>
      <c r="K758" s="1" t="s">
        <v>74</v>
      </c>
      <c r="L758" s="1" t="s">
        <v>74</v>
      </c>
      <c r="M758" s="1" t="s">
        <v>74</v>
      </c>
      <c r="N758" s="1" t="s">
        <v>74</v>
      </c>
      <c r="O758" s="1" t="s">
        <v>74</v>
      </c>
      <c r="P758" s="1" t="s">
        <v>74</v>
      </c>
      <c r="Q758" s="1" t="s">
        <v>74</v>
      </c>
      <c r="R758" s="1" t="s">
        <v>74</v>
      </c>
      <c r="S758" s="1" t="s">
        <v>74</v>
      </c>
      <c r="T758" s="1" t="s">
        <v>74</v>
      </c>
      <c r="U758" s="1" t="s">
        <v>74</v>
      </c>
      <c r="V758" s="1" t="s">
        <v>7620</v>
      </c>
      <c r="W758" s="1" t="s">
        <v>74</v>
      </c>
      <c r="X758" s="1" t="s">
        <v>74</v>
      </c>
      <c r="Y758" s="1" t="s">
        <v>74</v>
      </c>
      <c r="Z758" s="1" t="s">
        <v>74</v>
      </c>
      <c r="AA758" s="1" t="s">
        <v>7621</v>
      </c>
      <c r="AB758" s="1" t="s">
        <v>7622</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1301</v>
      </c>
      <c r="AP758" s="1" t="s">
        <v>1302</v>
      </c>
      <c r="AQ758" s="1" t="s">
        <v>74</v>
      </c>
      <c r="AR758" s="1" t="s">
        <v>74</v>
      </c>
      <c r="AS758" s="1" t="s">
        <v>74</v>
      </c>
      <c r="AT758" s="1" t="s">
        <v>7623</v>
      </c>
      <c r="AU758" s="1">
        <v>2023.0</v>
      </c>
      <c r="AV758" s="1">
        <v>127.0</v>
      </c>
      <c r="AW758" s="1">
        <v>23.0</v>
      </c>
      <c r="AX758" s="1" t="s">
        <v>74</v>
      </c>
      <c r="AY758" s="1" t="s">
        <v>74</v>
      </c>
      <c r="AZ758" s="1" t="s">
        <v>74</v>
      </c>
      <c r="BA758" s="1" t="s">
        <v>74</v>
      </c>
      <c r="BB758" s="1">
        <v>10987.0</v>
      </c>
      <c r="BC758" s="1">
        <v>10996.0</v>
      </c>
      <c r="BD758" s="1" t="s">
        <v>74</v>
      </c>
      <c r="BE758" s="1" t="s">
        <v>7624</v>
      </c>
      <c r="BF758" s="2" t="str">
        <f>HYPERLINK("http://dx.doi.org/10.1021/acs.jpcc.3c00355","http://dx.doi.org/10.1021/acs.jpcc.3c00355")</f>
        <v>http://dx.doi.org/10.1021/acs.jpcc.3c00355</v>
      </c>
      <c r="BG758" s="1" t="s">
        <v>74</v>
      </c>
      <c r="BH758" s="1" t="s">
        <v>2291</v>
      </c>
      <c r="BI758" s="1" t="s">
        <v>74</v>
      </c>
      <c r="BJ758" s="1" t="s">
        <v>74</v>
      </c>
      <c r="BK758" s="1" t="s">
        <v>74</v>
      </c>
      <c r="BL758" s="1" t="s">
        <v>74</v>
      </c>
      <c r="BM758" s="1" t="s">
        <v>74</v>
      </c>
      <c r="BN758" s="1" t="s">
        <v>74</v>
      </c>
      <c r="BO758" s="1" t="s">
        <v>74</v>
      </c>
      <c r="BP758" s="1" t="s">
        <v>74</v>
      </c>
      <c r="BQ758" s="1" t="s">
        <v>74</v>
      </c>
      <c r="BR758" s="1" t="s">
        <v>74</v>
      </c>
      <c r="BS758" s="1" t="s">
        <v>7625</v>
      </c>
      <c r="BT758" s="1" t="str">
        <f>HYPERLINK("https%3A%2F%2Fwww.webofscience.com%2Fwos%2Fwoscc%2Ffull-record%2FWOS:001010275100001","View Full Record in Web of Science")</f>
        <v>View Full Record in Web of Science</v>
      </c>
    </row>
    <row r="759" ht="12.75" customHeight="1">
      <c r="A759" s="1" t="s">
        <v>72</v>
      </c>
      <c r="B759" s="1" t="s">
        <v>7626</v>
      </c>
      <c r="C759" s="1" t="s">
        <v>74</v>
      </c>
      <c r="D759" s="1" t="s">
        <v>74</v>
      </c>
      <c r="E759" s="1" t="s">
        <v>74</v>
      </c>
      <c r="F759" s="1" t="s">
        <v>7627</v>
      </c>
      <c r="G759" s="1" t="s">
        <v>74</v>
      </c>
      <c r="H759" s="1" t="s">
        <v>74</v>
      </c>
      <c r="I759" s="1" t="s">
        <v>7628</v>
      </c>
      <c r="J759" s="1" t="s">
        <v>4427</v>
      </c>
      <c r="K759" s="1" t="s">
        <v>74</v>
      </c>
      <c r="L759" s="1" t="s">
        <v>74</v>
      </c>
      <c r="M759" s="1" t="s">
        <v>74</v>
      </c>
      <c r="N759" s="1" t="s">
        <v>74</v>
      </c>
      <c r="O759" s="1" t="s">
        <v>74</v>
      </c>
      <c r="P759" s="1" t="s">
        <v>74</v>
      </c>
      <c r="Q759" s="1" t="s">
        <v>74</v>
      </c>
      <c r="R759" s="1" t="s">
        <v>74</v>
      </c>
      <c r="S759" s="1" t="s">
        <v>74</v>
      </c>
      <c r="T759" s="1" t="s">
        <v>74</v>
      </c>
      <c r="U759" s="1" t="s">
        <v>74</v>
      </c>
      <c r="V759" s="1" t="s">
        <v>7629</v>
      </c>
      <c r="W759" s="1" t="s">
        <v>74</v>
      </c>
      <c r="X759" s="1" t="s">
        <v>74</v>
      </c>
      <c r="Y759" s="1" t="s">
        <v>74</v>
      </c>
      <c r="Z759" s="1" t="s">
        <v>74</v>
      </c>
      <c r="AA759" s="1" t="s">
        <v>74</v>
      </c>
      <c r="AB759" s="1" t="s">
        <v>7630</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4431</v>
      </c>
      <c r="AP759" s="1" t="s">
        <v>4432</v>
      </c>
      <c r="AQ759" s="1" t="s">
        <v>74</v>
      </c>
      <c r="AR759" s="1" t="s">
        <v>74</v>
      </c>
      <c r="AS759" s="1" t="s">
        <v>74</v>
      </c>
      <c r="AT759" s="1" t="s">
        <v>4433</v>
      </c>
      <c r="AU759" s="1">
        <v>2023.0</v>
      </c>
      <c r="AV759" s="1">
        <v>94.0</v>
      </c>
      <c r="AW759" s="1">
        <v>2.0</v>
      </c>
      <c r="AX759" s="1" t="s">
        <v>74</v>
      </c>
      <c r="AY759" s="1" t="s">
        <v>74</v>
      </c>
      <c r="AZ759" s="1" t="s">
        <v>74</v>
      </c>
      <c r="BA759" s="1" t="s">
        <v>74</v>
      </c>
      <c r="BB759" s="1">
        <v>209.0</v>
      </c>
      <c r="BC759" s="1">
        <v>218.0</v>
      </c>
      <c r="BD759" s="1" t="s">
        <v>74</v>
      </c>
      <c r="BE759" s="1" t="s">
        <v>7631</v>
      </c>
      <c r="BF759" s="2" t="str">
        <f>HYPERLINK("http://dx.doi.org/10.32641/andespediatr.v94i2.4423","http://dx.doi.org/10.32641/andespediatr.v94i2.4423")</f>
        <v>http://dx.doi.org/10.32641/andespediatr.v94i2.4423</v>
      </c>
      <c r="BG759" s="1" t="s">
        <v>74</v>
      </c>
      <c r="BH759" s="1" t="s">
        <v>74</v>
      </c>
      <c r="BI759" s="1" t="s">
        <v>74</v>
      </c>
      <c r="BJ759" s="1" t="s">
        <v>74</v>
      </c>
      <c r="BK759" s="1" t="s">
        <v>74</v>
      </c>
      <c r="BL759" s="1" t="s">
        <v>74</v>
      </c>
      <c r="BM759" s="1" t="s">
        <v>74</v>
      </c>
      <c r="BN759" s="1">
        <v>3.7358114E7</v>
      </c>
      <c r="BO759" s="1" t="s">
        <v>74</v>
      </c>
      <c r="BP759" s="1" t="s">
        <v>74</v>
      </c>
      <c r="BQ759" s="1" t="s">
        <v>74</v>
      </c>
      <c r="BR759" s="1" t="s">
        <v>74</v>
      </c>
      <c r="BS759" s="1" t="s">
        <v>7632</v>
      </c>
      <c r="BT759" s="1" t="str">
        <f>HYPERLINK("https%3A%2F%2Fwww.webofscience.com%2Fwos%2Fwoscc%2Ffull-record%2FWOS:001001813600010","View Full Record in Web of Science")</f>
        <v>View Full Record in Web of Science</v>
      </c>
    </row>
    <row r="760" ht="12.75" customHeight="1">
      <c r="A760" s="1" t="s">
        <v>207</v>
      </c>
      <c r="B760" s="1" t="s">
        <v>7633</v>
      </c>
      <c r="C760" s="1" t="s">
        <v>74</v>
      </c>
      <c r="D760" s="1" t="s">
        <v>7634</v>
      </c>
      <c r="E760" s="1" t="s">
        <v>74</v>
      </c>
      <c r="F760" s="1" t="s">
        <v>7635</v>
      </c>
      <c r="G760" s="1" t="s">
        <v>74</v>
      </c>
      <c r="H760" s="1" t="s">
        <v>74</v>
      </c>
      <c r="I760" s="1" t="s">
        <v>7636</v>
      </c>
      <c r="J760" s="1" t="s">
        <v>7637</v>
      </c>
      <c r="K760" s="1" t="s">
        <v>7638</v>
      </c>
      <c r="L760" s="1" t="s">
        <v>74</v>
      </c>
      <c r="M760" s="1" t="s">
        <v>74</v>
      </c>
      <c r="N760" s="1" t="s">
        <v>74</v>
      </c>
      <c r="O760" s="1" t="s">
        <v>7639</v>
      </c>
      <c r="P760" s="1" t="s">
        <v>7640</v>
      </c>
      <c r="Q760" s="1" t="s">
        <v>7641</v>
      </c>
      <c r="R760" s="1" t="s">
        <v>7642</v>
      </c>
      <c r="S760" s="1" t="s">
        <v>74</v>
      </c>
      <c r="T760" s="1" t="s">
        <v>74</v>
      </c>
      <c r="U760" s="1" t="s">
        <v>74</v>
      </c>
      <c r="V760" s="1" t="s">
        <v>7643</v>
      </c>
      <c r="W760" s="1" t="s">
        <v>74</v>
      </c>
      <c r="X760" s="1" t="s">
        <v>74</v>
      </c>
      <c r="Y760" s="1" t="s">
        <v>74</v>
      </c>
      <c r="Z760" s="1" t="s">
        <v>74</v>
      </c>
      <c r="AA760" s="1" t="s">
        <v>7644</v>
      </c>
      <c r="AB760" s="1" t="s">
        <v>7645</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7646</v>
      </c>
      <c r="AP760" s="1" t="s">
        <v>74</v>
      </c>
      <c r="AQ760" s="1" t="s">
        <v>7647</v>
      </c>
      <c r="AR760" s="1" t="s">
        <v>74</v>
      </c>
      <c r="AS760" s="1" t="s">
        <v>74</v>
      </c>
      <c r="AT760" s="1" t="s">
        <v>74</v>
      </c>
      <c r="AU760" s="1">
        <v>2023.0</v>
      </c>
      <c r="AV760" s="1" t="s">
        <v>74</v>
      </c>
      <c r="AW760" s="1" t="s">
        <v>74</v>
      </c>
      <c r="AX760" s="1" t="s">
        <v>74</v>
      </c>
      <c r="AY760" s="1" t="s">
        <v>74</v>
      </c>
      <c r="AZ760" s="1" t="s">
        <v>74</v>
      </c>
      <c r="BA760" s="1" t="s">
        <v>74</v>
      </c>
      <c r="BB760" s="1" t="s">
        <v>74</v>
      </c>
      <c r="BC760" s="1" t="s">
        <v>74</v>
      </c>
      <c r="BD760" s="1" t="s">
        <v>74</v>
      </c>
      <c r="BE760" s="1" t="s">
        <v>7648</v>
      </c>
      <c r="BF760" s="2" t="str">
        <f>HYPERLINK("http://dx.doi.org/10.1109/COLCACI59285.2023.10225820","http://dx.doi.org/10.1109/COLCACI59285.2023.10225820")</f>
        <v>http://dx.doi.org/10.1109/COLCACI59285.2023.10225820</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7649</v>
      </c>
      <c r="BT760" s="1" t="str">
        <f>HYPERLINK("https%3A%2F%2Fwww.webofscience.com%2Fwos%2Fwoscc%2Ffull-record%2FWOS:001062453300004","View Full Record in Web of Science")</f>
        <v>View Full Record in Web of Science</v>
      </c>
    </row>
    <row r="761" ht="12.75" customHeight="1">
      <c r="A761" s="1" t="s">
        <v>72</v>
      </c>
      <c r="B761" s="1" t="s">
        <v>7650</v>
      </c>
      <c r="C761" s="1" t="s">
        <v>74</v>
      </c>
      <c r="D761" s="1" t="s">
        <v>74</v>
      </c>
      <c r="E761" s="1" t="s">
        <v>74</v>
      </c>
      <c r="F761" s="1" t="s">
        <v>7651</v>
      </c>
      <c r="G761" s="1" t="s">
        <v>74</v>
      </c>
      <c r="H761" s="1" t="s">
        <v>74</v>
      </c>
      <c r="I761" s="1" t="s">
        <v>7652</v>
      </c>
      <c r="J761" s="1" t="s">
        <v>7653</v>
      </c>
      <c r="K761" s="1" t="s">
        <v>74</v>
      </c>
      <c r="L761" s="1" t="s">
        <v>74</v>
      </c>
      <c r="M761" s="1" t="s">
        <v>74</v>
      </c>
      <c r="N761" s="1" t="s">
        <v>74</v>
      </c>
      <c r="O761" s="1" t="s">
        <v>74</v>
      </c>
      <c r="P761" s="1" t="s">
        <v>74</v>
      </c>
      <c r="Q761" s="1" t="s">
        <v>74</v>
      </c>
      <c r="R761" s="1" t="s">
        <v>74</v>
      </c>
      <c r="S761" s="1" t="s">
        <v>74</v>
      </c>
      <c r="T761" s="1" t="s">
        <v>74</v>
      </c>
      <c r="U761" s="1" t="s">
        <v>74</v>
      </c>
      <c r="V761" s="1" t="s">
        <v>7654</v>
      </c>
      <c r="W761" s="1" t="s">
        <v>74</v>
      </c>
      <c r="X761" s="1" t="s">
        <v>74</v>
      </c>
      <c r="Y761" s="1" t="s">
        <v>74</v>
      </c>
      <c r="Z761" s="1" t="s">
        <v>74</v>
      </c>
      <c r="AA761" s="1" t="s">
        <v>7655</v>
      </c>
      <c r="AB761" s="1" t="s">
        <v>7656</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74</v>
      </c>
      <c r="AP761" s="1" t="s">
        <v>7657</v>
      </c>
      <c r="AQ761" s="1" t="s">
        <v>74</v>
      </c>
      <c r="AR761" s="1" t="s">
        <v>74</v>
      </c>
      <c r="AS761" s="1" t="s">
        <v>74</v>
      </c>
      <c r="AT761" s="1" t="s">
        <v>82</v>
      </c>
      <c r="AU761" s="1">
        <v>2022.0</v>
      </c>
      <c r="AV761" s="1">
        <v>11.0</v>
      </c>
      <c r="AW761" s="1">
        <v>10.0</v>
      </c>
      <c r="AX761" s="1" t="s">
        <v>74</v>
      </c>
      <c r="AY761" s="1" t="s">
        <v>74</v>
      </c>
      <c r="AZ761" s="1" t="s">
        <v>74</v>
      </c>
      <c r="BA761" s="1" t="s">
        <v>74</v>
      </c>
      <c r="BB761" s="1" t="s">
        <v>74</v>
      </c>
      <c r="BC761" s="1" t="s">
        <v>74</v>
      </c>
      <c r="BD761" s="1">
        <v>513.0</v>
      </c>
      <c r="BE761" s="1" t="s">
        <v>7658</v>
      </c>
      <c r="BF761" s="2" t="str">
        <f>HYPERLINK("http://dx.doi.org/10.3390/axioms11100513","http://dx.doi.org/10.3390/axioms11100513")</f>
        <v>http://dx.doi.org/10.3390/axioms11100513</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7659</v>
      </c>
      <c r="BT761" s="1" t="str">
        <f>HYPERLINK("https%3A%2F%2Fwww.webofscience.com%2Fwos%2Fwoscc%2Ffull-record%2FWOS:000872169900001","View Full Record in Web of Science")</f>
        <v>View Full Record in Web of Science</v>
      </c>
    </row>
    <row r="762" ht="12.75" customHeight="1">
      <c r="A762" s="1" t="s">
        <v>72</v>
      </c>
      <c r="B762" s="1" t="s">
        <v>7660</v>
      </c>
      <c r="C762" s="1" t="s">
        <v>74</v>
      </c>
      <c r="D762" s="1" t="s">
        <v>74</v>
      </c>
      <c r="E762" s="1" t="s">
        <v>74</v>
      </c>
      <c r="F762" s="1" t="s">
        <v>7661</v>
      </c>
      <c r="G762" s="1" t="s">
        <v>74</v>
      </c>
      <c r="H762" s="1" t="s">
        <v>74</v>
      </c>
      <c r="I762" s="1" t="s">
        <v>7662</v>
      </c>
      <c r="J762" s="1" t="s">
        <v>3877</v>
      </c>
      <c r="K762" s="1" t="s">
        <v>74</v>
      </c>
      <c r="L762" s="1" t="s">
        <v>74</v>
      </c>
      <c r="M762" s="1" t="s">
        <v>74</v>
      </c>
      <c r="N762" s="1" t="s">
        <v>74</v>
      </c>
      <c r="O762" s="1" t="s">
        <v>74</v>
      </c>
      <c r="P762" s="1" t="s">
        <v>74</v>
      </c>
      <c r="Q762" s="1" t="s">
        <v>74</v>
      </c>
      <c r="R762" s="1" t="s">
        <v>74</v>
      </c>
      <c r="S762" s="1" t="s">
        <v>74</v>
      </c>
      <c r="T762" s="1" t="s">
        <v>74</v>
      </c>
      <c r="U762" s="1" t="s">
        <v>74</v>
      </c>
      <c r="V762" s="1" t="s">
        <v>7663</v>
      </c>
      <c r="W762" s="1" t="s">
        <v>74</v>
      </c>
      <c r="X762" s="1" t="s">
        <v>74</v>
      </c>
      <c r="Y762" s="1" t="s">
        <v>74</v>
      </c>
      <c r="Z762" s="1" t="s">
        <v>74</v>
      </c>
      <c r="AA762" s="1" t="s">
        <v>7664</v>
      </c>
      <c r="AB762" s="1" t="s">
        <v>7665</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3881</v>
      </c>
      <c r="AP762" s="1" t="s">
        <v>3882</v>
      </c>
      <c r="AQ762" s="1" t="s">
        <v>74</v>
      </c>
      <c r="AR762" s="1" t="s">
        <v>74</v>
      </c>
      <c r="AS762" s="1" t="s">
        <v>74</v>
      </c>
      <c r="AT762" s="1" t="s">
        <v>3995</v>
      </c>
      <c r="AU762" s="1">
        <v>2021.0</v>
      </c>
      <c r="AV762" s="1">
        <v>42.0</v>
      </c>
      <c r="AW762" s="1">
        <v>8.0</v>
      </c>
      <c r="AX762" s="1" t="s">
        <v>74</v>
      </c>
      <c r="AY762" s="1" t="s">
        <v>74</v>
      </c>
      <c r="AZ762" s="1" t="s">
        <v>74</v>
      </c>
      <c r="BA762" s="1" t="s">
        <v>74</v>
      </c>
      <c r="BB762" s="1" t="s">
        <v>74</v>
      </c>
      <c r="BC762" s="1" t="s">
        <v>74</v>
      </c>
      <c r="BD762" s="1">
        <v>84002.0</v>
      </c>
      <c r="BE762" s="1" t="s">
        <v>7666</v>
      </c>
      <c r="BF762" s="2" t="str">
        <f>HYPERLINK("http://dx.doi.org/10.1088/1361-6579/ac13ce","http://dx.doi.org/10.1088/1361-6579/ac13ce")</f>
        <v>http://dx.doi.org/10.1088/1361-6579/ac13ce</v>
      </c>
      <c r="BG762" s="1" t="s">
        <v>74</v>
      </c>
      <c r="BH762" s="1" t="s">
        <v>74</v>
      </c>
      <c r="BI762" s="1" t="s">
        <v>74</v>
      </c>
      <c r="BJ762" s="1" t="s">
        <v>74</v>
      </c>
      <c r="BK762" s="1" t="s">
        <v>74</v>
      </c>
      <c r="BL762" s="1" t="s">
        <v>74</v>
      </c>
      <c r="BM762" s="1" t="s">
        <v>74</v>
      </c>
      <c r="BN762" s="1">
        <v>3.4256359E7</v>
      </c>
      <c r="BO762" s="1" t="s">
        <v>74</v>
      </c>
      <c r="BP762" s="1" t="s">
        <v>74</v>
      </c>
      <c r="BQ762" s="1" t="s">
        <v>74</v>
      </c>
      <c r="BR762" s="1" t="s">
        <v>74</v>
      </c>
      <c r="BS762" s="1" t="s">
        <v>7667</v>
      </c>
      <c r="BT762" s="1" t="str">
        <f>HYPERLINK("https%3A%2F%2Fwww.webofscience.com%2Fwos%2Fwoscc%2Ffull-record%2FWOS:000690387100001","View Full Record in Web of Science")</f>
        <v>View Full Record in Web of Science</v>
      </c>
    </row>
    <row r="763" ht="12.75" customHeight="1">
      <c r="A763" s="1" t="s">
        <v>72</v>
      </c>
      <c r="B763" s="1" t="s">
        <v>7668</v>
      </c>
      <c r="C763" s="1" t="s">
        <v>74</v>
      </c>
      <c r="D763" s="1" t="s">
        <v>74</v>
      </c>
      <c r="E763" s="1" t="s">
        <v>74</v>
      </c>
      <c r="F763" s="1" t="s">
        <v>7669</v>
      </c>
      <c r="G763" s="1" t="s">
        <v>74</v>
      </c>
      <c r="H763" s="1" t="s">
        <v>74</v>
      </c>
      <c r="I763" s="1" t="s">
        <v>7670</v>
      </c>
      <c r="J763" s="1" t="s">
        <v>7671</v>
      </c>
      <c r="K763" s="1" t="s">
        <v>74</v>
      </c>
      <c r="L763" s="1" t="s">
        <v>74</v>
      </c>
      <c r="M763" s="1" t="s">
        <v>74</v>
      </c>
      <c r="N763" s="1" t="s">
        <v>74</v>
      </c>
      <c r="O763" s="1" t="s">
        <v>74</v>
      </c>
      <c r="P763" s="1" t="s">
        <v>74</v>
      </c>
      <c r="Q763" s="1" t="s">
        <v>74</v>
      </c>
      <c r="R763" s="1" t="s">
        <v>74</v>
      </c>
      <c r="S763" s="1" t="s">
        <v>74</v>
      </c>
      <c r="T763" s="1" t="s">
        <v>74</v>
      </c>
      <c r="U763" s="1" t="s">
        <v>74</v>
      </c>
      <c r="V763" s="1" t="s">
        <v>7672</v>
      </c>
      <c r="W763" s="1" t="s">
        <v>74</v>
      </c>
      <c r="X763" s="1" t="s">
        <v>74</v>
      </c>
      <c r="Y763" s="1" t="s">
        <v>74</v>
      </c>
      <c r="Z763" s="1" t="s">
        <v>74</v>
      </c>
      <c r="AA763" s="1" t="s">
        <v>7673</v>
      </c>
      <c r="AB763" s="1" t="s">
        <v>7674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7675</v>
      </c>
      <c r="AP763" s="1" t="s">
        <v>7676</v>
      </c>
      <c r="AQ763" s="1" t="s">
        <v>74</v>
      </c>
      <c r="AR763" s="1" t="s">
        <v>74</v>
      </c>
      <c r="AS763" s="1" t="s">
        <v>74</v>
      </c>
      <c r="AT763" s="1" t="s">
        <v>282</v>
      </c>
      <c r="AU763" s="1">
        <v>2021.0</v>
      </c>
      <c r="AV763" s="1">
        <v>30.0</v>
      </c>
      <c r="AW763" s="1">
        <v>8.0</v>
      </c>
      <c r="AX763" s="1" t="s">
        <v>74</v>
      </c>
      <c r="AY763" s="1" t="s">
        <v>74</v>
      </c>
      <c r="AZ763" s="1" t="s">
        <v>74</v>
      </c>
      <c r="BA763" s="1" t="s">
        <v>74</v>
      </c>
      <c r="BB763" s="1">
        <v>1771.0</v>
      </c>
      <c r="BC763" s="1">
        <v>1781.0</v>
      </c>
      <c r="BD763" s="1">
        <v>9.62280221101383E15</v>
      </c>
      <c r="BE763" s="1" t="s">
        <v>7677</v>
      </c>
      <c r="BF763" s="2" t="str">
        <f>HYPERLINK("http://dx.doi.org/10.1177/09622802211013830","http://dx.doi.org/10.1177/09622802211013830")</f>
        <v>http://dx.doi.org/10.1177/09622802211013830</v>
      </c>
      <c r="BG763" s="1" t="s">
        <v>74</v>
      </c>
      <c r="BH763" s="1" t="s">
        <v>2420</v>
      </c>
      <c r="BI763" s="1" t="s">
        <v>74</v>
      </c>
      <c r="BJ763" s="1" t="s">
        <v>74</v>
      </c>
      <c r="BK763" s="1" t="s">
        <v>74</v>
      </c>
      <c r="BL763" s="1" t="s">
        <v>74</v>
      </c>
      <c r="BM763" s="1" t="s">
        <v>74</v>
      </c>
      <c r="BN763" s="1">
        <v>3.4038218E7</v>
      </c>
      <c r="BO763" s="1" t="s">
        <v>74</v>
      </c>
      <c r="BP763" s="1" t="s">
        <v>74</v>
      </c>
      <c r="BQ763" s="1" t="s">
        <v>74</v>
      </c>
      <c r="BR763" s="1" t="s">
        <v>74</v>
      </c>
      <c r="BS763" s="1" t="s">
        <v>7678</v>
      </c>
      <c r="BT763" s="1" t="str">
        <f>HYPERLINK("https%3A%2F%2Fwww.webofscience.com%2Fwos%2Fwoscc%2Ffull-record%2FWOS:000679901500001","View Full Record in Web of Science")</f>
        <v>View Full Record in Web of Science</v>
      </c>
    </row>
    <row r="764" ht="12.75" customHeight="1">
      <c r="A764" s="1" t="s">
        <v>207</v>
      </c>
      <c r="B764" s="1" t="s">
        <v>7679</v>
      </c>
      <c r="C764" s="1" t="s">
        <v>74</v>
      </c>
      <c r="D764" s="1" t="s">
        <v>74</v>
      </c>
      <c r="E764" s="1" t="s">
        <v>224</v>
      </c>
      <c r="F764" s="1" t="s">
        <v>7680</v>
      </c>
      <c r="G764" s="1" t="s">
        <v>74</v>
      </c>
      <c r="H764" s="1" t="s">
        <v>74</v>
      </c>
      <c r="I764" s="1" t="s">
        <v>7681</v>
      </c>
      <c r="J764" s="1" t="s">
        <v>5503</v>
      </c>
      <c r="K764" s="1" t="s">
        <v>74</v>
      </c>
      <c r="L764" s="1" t="s">
        <v>74</v>
      </c>
      <c r="M764" s="1" t="s">
        <v>74</v>
      </c>
      <c r="N764" s="1" t="s">
        <v>74</v>
      </c>
      <c r="O764" s="1" t="s">
        <v>5504</v>
      </c>
      <c r="P764" s="1" t="s">
        <v>5505</v>
      </c>
      <c r="Q764" s="1" t="s">
        <v>1799</v>
      </c>
      <c r="R764" s="1" t="s">
        <v>5506</v>
      </c>
      <c r="S764" s="1" t="s">
        <v>74</v>
      </c>
      <c r="T764" s="1" t="s">
        <v>74</v>
      </c>
      <c r="U764" s="1" t="s">
        <v>74</v>
      </c>
      <c r="V764" s="1" t="s">
        <v>7682</v>
      </c>
      <c r="W764" s="1" t="s">
        <v>74</v>
      </c>
      <c r="X764" s="1" t="s">
        <v>74</v>
      </c>
      <c r="Y764" s="1" t="s">
        <v>74</v>
      </c>
      <c r="Z764" s="1" t="s">
        <v>74</v>
      </c>
      <c r="AA764" s="1" t="s">
        <v>7683</v>
      </c>
      <c r="AB764" s="1" t="s">
        <v>7684</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74</v>
      </c>
      <c r="AP764" s="1" t="s">
        <v>74</v>
      </c>
      <c r="AQ764" s="1" t="s">
        <v>5510</v>
      </c>
      <c r="AR764" s="1" t="s">
        <v>74</v>
      </c>
      <c r="AS764" s="1" t="s">
        <v>74</v>
      </c>
      <c r="AT764" s="1" t="s">
        <v>74</v>
      </c>
      <c r="AU764" s="1">
        <v>2021.0</v>
      </c>
      <c r="AV764" s="1" t="s">
        <v>74</v>
      </c>
      <c r="AW764" s="1" t="s">
        <v>74</v>
      </c>
      <c r="AX764" s="1" t="s">
        <v>74</v>
      </c>
      <c r="AY764" s="1" t="s">
        <v>74</v>
      </c>
      <c r="AZ764" s="1" t="s">
        <v>74</v>
      </c>
      <c r="BA764" s="1" t="s">
        <v>74</v>
      </c>
      <c r="BB764" s="1">
        <v>187.0</v>
      </c>
      <c r="BC764" s="1">
        <v>191.0</v>
      </c>
      <c r="BD764" s="1" t="s">
        <v>74</v>
      </c>
      <c r="BE764" s="1" t="s">
        <v>7685</v>
      </c>
      <c r="BF764" s="2" t="str">
        <f>HYPERLINK("http://dx.doi.org/10.1109/CHILECON54041.2021.9703031","http://dx.doi.org/10.1109/CHILECON54041.2021.9703031")</f>
        <v>http://dx.doi.org/10.1109/CHILECON54041.2021.9703031</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7686</v>
      </c>
      <c r="BT764" s="1" t="str">
        <f>HYPERLINK("https%3A%2F%2Fwww.webofscience.com%2Fwos%2Fwoscc%2Ffull-record%2FWOS:000788072700032","View Full Record in Web of Science")</f>
        <v>View Full Record in Web of Science</v>
      </c>
    </row>
    <row r="765" ht="12.75" customHeight="1">
      <c r="A765" s="1" t="s">
        <v>72</v>
      </c>
      <c r="B765" s="1" t="s">
        <v>7687</v>
      </c>
      <c r="C765" s="1" t="s">
        <v>74</v>
      </c>
      <c r="D765" s="1" t="s">
        <v>74</v>
      </c>
      <c r="E765" s="1" t="s">
        <v>74</v>
      </c>
      <c r="F765" s="1" t="s">
        <v>7688</v>
      </c>
      <c r="G765" s="1" t="s">
        <v>74</v>
      </c>
      <c r="H765" s="1" t="s">
        <v>74</v>
      </c>
      <c r="I765" s="1" t="s">
        <v>7689</v>
      </c>
      <c r="J765" s="1" t="s">
        <v>7690</v>
      </c>
      <c r="K765" s="1" t="s">
        <v>74</v>
      </c>
      <c r="L765" s="1" t="s">
        <v>74</v>
      </c>
      <c r="M765" s="1" t="s">
        <v>74</v>
      </c>
      <c r="N765" s="1" t="s">
        <v>74</v>
      </c>
      <c r="O765" s="1" t="s">
        <v>74</v>
      </c>
      <c r="P765" s="1" t="s">
        <v>74</v>
      </c>
      <c r="Q765" s="1" t="s">
        <v>74</v>
      </c>
      <c r="R765" s="1" t="s">
        <v>74</v>
      </c>
      <c r="S765" s="1" t="s">
        <v>74</v>
      </c>
      <c r="T765" s="1" t="s">
        <v>74</v>
      </c>
      <c r="U765" s="1" t="s">
        <v>74</v>
      </c>
      <c r="V765" s="1" t="s">
        <v>7691</v>
      </c>
      <c r="W765" s="1" t="s">
        <v>74</v>
      </c>
      <c r="X765" s="1" t="s">
        <v>74</v>
      </c>
      <c r="Y765" s="1" t="s">
        <v>74</v>
      </c>
      <c r="Z765" s="1" t="s">
        <v>74</v>
      </c>
      <c r="AA765" s="1" t="s">
        <v>1287</v>
      </c>
      <c r="AB765" s="1" t="s">
        <v>7692</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7693</v>
      </c>
      <c r="AP765" s="1" t="s">
        <v>7694</v>
      </c>
      <c r="AQ765" s="1" t="s">
        <v>74</v>
      </c>
      <c r="AR765" s="1" t="s">
        <v>74</v>
      </c>
      <c r="AS765" s="1" t="s">
        <v>74</v>
      </c>
      <c r="AT765" s="1" t="s">
        <v>7695</v>
      </c>
      <c r="AU765" s="1">
        <v>2021.0</v>
      </c>
      <c r="AV765" s="1">
        <v>17.0</v>
      </c>
      <c r="AW765" s="1">
        <v>1.0</v>
      </c>
      <c r="AX765" s="1" t="s">
        <v>74</v>
      </c>
      <c r="AY765" s="1" t="s">
        <v>74</v>
      </c>
      <c r="AZ765" s="1" t="s">
        <v>569</v>
      </c>
      <c r="BA765" s="1" t="s">
        <v>74</v>
      </c>
      <c r="BB765" s="1">
        <v>81.0</v>
      </c>
      <c r="BC765" s="1">
        <v>94.0</v>
      </c>
      <c r="BD765" s="1" t="s">
        <v>74</v>
      </c>
      <c r="BE765" s="1" t="s">
        <v>7696</v>
      </c>
      <c r="BF765" s="2" t="str">
        <f>HYPERLINK("http://dx.doi.org/10.1108/IJPL-08-2020-0082","http://dx.doi.org/10.1108/IJPL-08-2020-0082")</f>
        <v>http://dx.doi.org/10.1108/IJPL-08-2020-0082</v>
      </c>
      <c r="BG765" s="1" t="s">
        <v>74</v>
      </c>
      <c r="BH765" s="1" t="s">
        <v>7697</v>
      </c>
      <c r="BI765" s="1" t="s">
        <v>74</v>
      </c>
      <c r="BJ765" s="1" t="s">
        <v>74</v>
      </c>
      <c r="BK765" s="1" t="s">
        <v>74</v>
      </c>
      <c r="BL765" s="1" t="s">
        <v>74</v>
      </c>
      <c r="BM765" s="1" t="s">
        <v>74</v>
      </c>
      <c r="BN765" s="1" t="s">
        <v>74</v>
      </c>
      <c r="BO765" s="1" t="s">
        <v>74</v>
      </c>
      <c r="BP765" s="1" t="s">
        <v>74</v>
      </c>
      <c r="BQ765" s="1" t="s">
        <v>74</v>
      </c>
      <c r="BR765" s="1" t="s">
        <v>74</v>
      </c>
      <c r="BS765" s="1" t="s">
        <v>7698</v>
      </c>
      <c r="BT765" s="1" t="str">
        <f>HYPERLINK("https%3A%2F%2Fwww.webofscience.com%2Fwos%2Fwoscc%2Ffull-record%2FWOS:000587786300001","View Full Record in Web of Science")</f>
        <v>View Full Record in Web of Science</v>
      </c>
    </row>
    <row r="766" ht="12.75" customHeight="1">
      <c r="A766" s="1" t="s">
        <v>72</v>
      </c>
      <c r="B766" s="1" t="s">
        <v>7699</v>
      </c>
      <c r="C766" s="1" t="s">
        <v>74</v>
      </c>
      <c r="D766" s="1" t="s">
        <v>74</v>
      </c>
      <c r="E766" s="1" t="s">
        <v>74</v>
      </c>
      <c r="F766" s="1" t="s">
        <v>7700</v>
      </c>
      <c r="G766" s="1" t="s">
        <v>74</v>
      </c>
      <c r="H766" s="1" t="s">
        <v>74</v>
      </c>
      <c r="I766" s="1" t="s">
        <v>7701</v>
      </c>
      <c r="J766" s="1" t="s">
        <v>4064</v>
      </c>
      <c r="K766" s="1" t="s">
        <v>74</v>
      </c>
      <c r="L766" s="1" t="s">
        <v>74</v>
      </c>
      <c r="M766" s="1" t="s">
        <v>74</v>
      </c>
      <c r="N766" s="1" t="s">
        <v>74</v>
      </c>
      <c r="O766" s="1" t="s">
        <v>74</v>
      </c>
      <c r="P766" s="1" t="s">
        <v>74</v>
      </c>
      <c r="Q766" s="1" t="s">
        <v>74</v>
      </c>
      <c r="R766" s="1" t="s">
        <v>74</v>
      </c>
      <c r="S766" s="1" t="s">
        <v>74</v>
      </c>
      <c r="T766" s="1" t="s">
        <v>74</v>
      </c>
      <c r="U766" s="1" t="s">
        <v>74</v>
      </c>
      <c r="V766" s="1" t="s">
        <v>7702</v>
      </c>
      <c r="W766" s="1" t="s">
        <v>74</v>
      </c>
      <c r="X766" s="1" t="s">
        <v>74</v>
      </c>
      <c r="Y766" s="1" t="s">
        <v>74</v>
      </c>
      <c r="Z766" s="1" t="s">
        <v>74</v>
      </c>
      <c r="AA766" s="1" t="s">
        <v>7703</v>
      </c>
      <c r="AB766" s="1" t="s">
        <v>7704</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4068</v>
      </c>
      <c r="AP766" s="1" t="s">
        <v>4069</v>
      </c>
      <c r="AQ766" s="1" t="s">
        <v>74</v>
      </c>
      <c r="AR766" s="1" t="s">
        <v>74</v>
      </c>
      <c r="AS766" s="1" t="s">
        <v>74</v>
      </c>
      <c r="AT766" s="1" t="s">
        <v>7705</v>
      </c>
      <c r="AU766" s="1">
        <v>2020.0</v>
      </c>
      <c r="AV766" s="1">
        <v>102.0</v>
      </c>
      <c r="AW766" s="1">
        <v>10.0</v>
      </c>
      <c r="AX766" s="1" t="s">
        <v>74</v>
      </c>
      <c r="AY766" s="1" t="s">
        <v>74</v>
      </c>
      <c r="AZ766" s="1" t="s">
        <v>74</v>
      </c>
      <c r="BA766" s="1" t="s">
        <v>74</v>
      </c>
      <c r="BB766" s="1" t="s">
        <v>74</v>
      </c>
      <c r="BC766" s="1" t="s">
        <v>74</v>
      </c>
      <c r="BD766" s="1">
        <v>104409.0</v>
      </c>
      <c r="BE766" s="1" t="s">
        <v>7706</v>
      </c>
      <c r="BF766" s="2" t="str">
        <f>HYPERLINK("http://dx.doi.org/10.1103/PhysRevB.102.104409","http://dx.doi.org/10.1103/PhysRevB.102.104409")</f>
        <v>http://dx.doi.org/10.1103/PhysRevB.102.104409</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7707</v>
      </c>
      <c r="BT766" s="1" t="str">
        <f>HYPERLINK("https%3A%2F%2Fwww.webofscience.com%2Fwos%2Fwoscc%2Ffull-record%2FWOS:000566887300005","View Full Record in Web of Science")</f>
        <v>View Full Record in Web of Science</v>
      </c>
    </row>
    <row r="767" ht="12.75" customHeight="1">
      <c r="A767" s="1" t="s">
        <v>72</v>
      </c>
      <c r="B767" s="1" t="s">
        <v>7708</v>
      </c>
      <c r="C767" s="1" t="s">
        <v>74</v>
      </c>
      <c r="D767" s="1" t="s">
        <v>74</v>
      </c>
      <c r="E767" s="1" t="s">
        <v>74</v>
      </c>
      <c r="F767" s="1" t="s">
        <v>7709</v>
      </c>
      <c r="G767" s="1" t="s">
        <v>74</v>
      </c>
      <c r="H767" s="1" t="s">
        <v>74</v>
      </c>
      <c r="I767" s="1" t="s">
        <v>7710</v>
      </c>
      <c r="J767" s="1" t="s">
        <v>7711</v>
      </c>
      <c r="K767" s="1" t="s">
        <v>74</v>
      </c>
      <c r="L767" s="1" t="s">
        <v>74</v>
      </c>
      <c r="M767" s="1" t="s">
        <v>74</v>
      </c>
      <c r="N767" s="1" t="s">
        <v>74</v>
      </c>
      <c r="O767" s="1" t="s">
        <v>7712</v>
      </c>
      <c r="P767" s="1" t="s">
        <v>7713</v>
      </c>
      <c r="Q767" s="1" t="s">
        <v>7714</v>
      </c>
      <c r="R767" s="1" t="s">
        <v>7715</v>
      </c>
      <c r="S767" s="1" t="s">
        <v>74</v>
      </c>
      <c r="T767" s="1" t="s">
        <v>74</v>
      </c>
      <c r="U767" s="1" t="s">
        <v>74</v>
      </c>
      <c r="V767" s="1" t="s">
        <v>74</v>
      </c>
      <c r="W767" s="1" t="s">
        <v>74</v>
      </c>
      <c r="X767" s="1" t="s">
        <v>74</v>
      </c>
      <c r="Y767" s="1" t="s">
        <v>74</v>
      </c>
      <c r="Z767" s="1" t="s">
        <v>74</v>
      </c>
      <c r="AA767" s="1" t="s">
        <v>7716</v>
      </c>
      <c r="AB767" s="1" t="s">
        <v>74</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7717</v>
      </c>
      <c r="AP767" s="1" t="s">
        <v>7718</v>
      </c>
      <c r="AQ767" s="1" t="s">
        <v>74</v>
      </c>
      <c r="AR767" s="1" t="s">
        <v>74</v>
      </c>
      <c r="AS767" s="1" t="s">
        <v>74</v>
      </c>
      <c r="AT767" s="1" t="s">
        <v>294</v>
      </c>
      <c r="AU767" s="1">
        <v>2020.0</v>
      </c>
      <c r="AV767" s="1">
        <v>145.0</v>
      </c>
      <c r="AW767" s="1">
        <v>2.0</v>
      </c>
      <c r="AX767" s="1" t="s">
        <v>74</v>
      </c>
      <c r="AY767" s="1" t="s">
        <v>311</v>
      </c>
      <c r="AZ767" s="1" t="s">
        <v>74</v>
      </c>
      <c r="BA767" s="1">
        <v>345.0</v>
      </c>
      <c r="BB767" s="1" t="s">
        <v>7719</v>
      </c>
      <c r="BC767" s="1" t="s">
        <v>7719</v>
      </c>
      <c r="BD767" s="1" t="s">
        <v>74</v>
      </c>
      <c r="BE767" s="1" t="s">
        <v>74</v>
      </c>
      <c r="BF767" s="1" t="s">
        <v>74</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7720</v>
      </c>
      <c r="BT767" s="1" t="str">
        <f>HYPERLINK("https%3A%2F%2Fwww.webofscience.com%2Fwos%2Fwoscc%2Ffull-record%2FWOS:000517092700344","View Full Record in Web of Science")</f>
        <v>View Full Record in Web of Science</v>
      </c>
    </row>
    <row r="768" ht="12.75" customHeight="1">
      <c r="A768" s="1" t="s">
        <v>72</v>
      </c>
      <c r="B768" s="1" t="s">
        <v>7721</v>
      </c>
      <c r="C768" s="1" t="s">
        <v>74</v>
      </c>
      <c r="D768" s="1" t="s">
        <v>74</v>
      </c>
      <c r="E768" s="1" t="s">
        <v>74</v>
      </c>
      <c r="F768" s="1" t="s">
        <v>7722</v>
      </c>
      <c r="G768" s="1" t="s">
        <v>74</v>
      </c>
      <c r="H768" s="1" t="s">
        <v>74</v>
      </c>
      <c r="I768" s="1" t="s">
        <v>7723</v>
      </c>
      <c r="J768" s="1" t="s">
        <v>7724</v>
      </c>
      <c r="K768" s="1" t="s">
        <v>74</v>
      </c>
      <c r="L768" s="1" t="s">
        <v>74</v>
      </c>
      <c r="M768" s="1" t="s">
        <v>74</v>
      </c>
      <c r="N768" s="1" t="s">
        <v>74</v>
      </c>
      <c r="O768" s="1" t="s">
        <v>74</v>
      </c>
      <c r="P768" s="1" t="s">
        <v>74</v>
      </c>
      <c r="Q768" s="1" t="s">
        <v>74</v>
      </c>
      <c r="R768" s="1" t="s">
        <v>74</v>
      </c>
      <c r="S768" s="1" t="s">
        <v>74</v>
      </c>
      <c r="T768" s="1" t="s">
        <v>74</v>
      </c>
      <c r="U768" s="1" t="s">
        <v>74</v>
      </c>
      <c r="V768" s="1" t="s">
        <v>7725</v>
      </c>
      <c r="W768" s="1" t="s">
        <v>74</v>
      </c>
      <c r="X768" s="1" t="s">
        <v>74</v>
      </c>
      <c r="Y768" s="1" t="s">
        <v>74</v>
      </c>
      <c r="Z768" s="1" t="s">
        <v>74</v>
      </c>
      <c r="AA768" s="1" t="s">
        <v>7726</v>
      </c>
      <c r="AB768" s="1" t="s">
        <v>7727</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7728</v>
      </c>
      <c r="AP768" s="1" t="s">
        <v>7729</v>
      </c>
      <c r="AQ768" s="1" t="s">
        <v>74</v>
      </c>
      <c r="AR768" s="1" t="s">
        <v>74</v>
      </c>
      <c r="AS768" s="1" t="s">
        <v>74</v>
      </c>
      <c r="AT768" s="1" t="s">
        <v>164</v>
      </c>
      <c r="AU768" s="1">
        <v>2019.0</v>
      </c>
      <c r="AV768" s="1">
        <v>51.0</v>
      </c>
      <c r="AW768" s="1">
        <v>2.0</v>
      </c>
      <c r="AX768" s="1" t="s">
        <v>74</v>
      </c>
      <c r="AY768" s="1" t="s">
        <v>74</v>
      </c>
      <c r="AZ768" s="1" t="s">
        <v>74</v>
      </c>
      <c r="BA768" s="1" t="s">
        <v>74</v>
      </c>
      <c r="BB768" s="1">
        <v>213.0</v>
      </c>
      <c r="BC768" s="1">
        <v>218.0</v>
      </c>
      <c r="BD768" s="1" t="s">
        <v>74</v>
      </c>
      <c r="BE768" s="1" t="s">
        <v>7730</v>
      </c>
      <c r="BF768" s="2" t="str">
        <f>HYPERLINK("http://dx.doi.org/10.26582/k.51.2.12","http://dx.doi.org/10.26582/k.51.2.12")</f>
        <v>http://dx.doi.org/10.26582/k.51.2.12</v>
      </c>
      <c r="BG768" s="1" t="s">
        <v>74</v>
      </c>
      <c r="BH768" s="1" t="s">
        <v>74</v>
      </c>
      <c r="BI768" s="1" t="s">
        <v>74</v>
      </c>
      <c r="BJ768" s="1" t="s">
        <v>74</v>
      </c>
      <c r="BK768" s="1" t="s">
        <v>74</v>
      </c>
      <c r="BL768" s="1" t="s">
        <v>74</v>
      </c>
      <c r="BM768" s="1" t="s">
        <v>74</v>
      </c>
      <c r="BN768" s="1" t="s">
        <v>74</v>
      </c>
      <c r="BO768" s="1" t="s">
        <v>74</v>
      </c>
      <c r="BP768" s="1" t="s">
        <v>74</v>
      </c>
      <c r="BQ768" s="1" t="s">
        <v>74</v>
      </c>
      <c r="BR768" s="1" t="s">
        <v>74</v>
      </c>
      <c r="BS768" s="1" t="s">
        <v>7731</v>
      </c>
      <c r="BT768" s="1" t="str">
        <f>HYPERLINK("https%3A%2F%2Fwww.webofscience.com%2Fwos%2Fwoscc%2Ffull-record%2FWOS:000505924000009","View Full Record in Web of Science")</f>
        <v>View Full Record in Web of Science</v>
      </c>
    </row>
    <row r="769" ht="12.75" customHeight="1">
      <c r="A769" s="1" t="s">
        <v>72</v>
      </c>
      <c r="B769" s="1" t="s">
        <v>7732</v>
      </c>
      <c r="C769" s="1" t="s">
        <v>74</v>
      </c>
      <c r="D769" s="1" t="s">
        <v>74</v>
      </c>
      <c r="E769" s="1" t="s">
        <v>74</v>
      </c>
      <c r="F769" s="1" t="s">
        <v>7733</v>
      </c>
      <c r="G769" s="1" t="s">
        <v>74</v>
      </c>
      <c r="H769" s="1" t="s">
        <v>74</v>
      </c>
      <c r="I769" s="1" t="s">
        <v>7734</v>
      </c>
      <c r="J769" s="1" t="s">
        <v>4530</v>
      </c>
      <c r="K769" s="1" t="s">
        <v>74</v>
      </c>
      <c r="L769" s="1" t="s">
        <v>74</v>
      </c>
      <c r="M769" s="1" t="s">
        <v>74</v>
      </c>
      <c r="N769" s="1" t="s">
        <v>74</v>
      </c>
      <c r="O769" s="1" t="s">
        <v>74</v>
      </c>
      <c r="P769" s="1" t="s">
        <v>74</v>
      </c>
      <c r="Q769" s="1" t="s">
        <v>74</v>
      </c>
      <c r="R769" s="1" t="s">
        <v>74</v>
      </c>
      <c r="S769" s="1" t="s">
        <v>74</v>
      </c>
      <c r="T769" s="1" t="s">
        <v>74</v>
      </c>
      <c r="U769" s="1" t="s">
        <v>74</v>
      </c>
      <c r="V769" s="1" t="s">
        <v>7735</v>
      </c>
      <c r="W769" s="1" t="s">
        <v>74</v>
      </c>
      <c r="X769" s="1" t="s">
        <v>74</v>
      </c>
      <c r="Y769" s="1" t="s">
        <v>74</v>
      </c>
      <c r="Z769" s="1" t="s">
        <v>74</v>
      </c>
      <c r="AA769" s="1" t="s">
        <v>4532</v>
      </c>
      <c r="AB769" s="1" t="s">
        <v>7736</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4534</v>
      </c>
      <c r="AP769" s="1" t="s">
        <v>4535</v>
      </c>
      <c r="AQ769" s="1" t="s">
        <v>74</v>
      </c>
      <c r="AR769" s="1" t="s">
        <v>74</v>
      </c>
      <c r="AS769" s="1" t="s">
        <v>74</v>
      </c>
      <c r="AT769" s="1" t="s">
        <v>374</v>
      </c>
      <c r="AU769" s="1">
        <v>2019.0</v>
      </c>
      <c r="AV769" s="1">
        <v>70.0</v>
      </c>
      <c r="AW769" s="1">
        <v>11.0</v>
      </c>
      <c r="AX769" s="1" t="s">
        <v>74</v>
      </c>
      <c r="AY769" s="1" t="s">
        <v>74</v>
      </c>
      <c r="AZ769" s="1" t="s">
        <v>74</v>
      </c>
      <c r="BA769" s="1" t="s">
        <v>74</v>
      </c>
      <c r="BB769" s="1">
        <v>1223.0</v>
      </c>
      <c r="BC769" s="1">
        <v>1235.0</v>
      </c>
      <c r="BD769" s="1" t="s">
        <v>74</v>
      </c>
      <c r="BE769" s="1" t="s">
        <v>7737</v>
      </c>
      <c r="BF769" s="2" t="str">
        <f>HYPERLINK("http://dx.doi.org/10.1002/asi.24202","http://dx.doi.org/10.1002/asi.24202")</f>
        <v>http://dx.doi.org/10.1002/asi.24202</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7738</v>
      </c>
      <c r="BT769" s="1" t="str">
        <f>HYPERLINK("https%3A%2F%2Fwww.webofscience.com%2Fwos%2Fwoscc%2Ffull-record%2FWOS:000491265100005","View Full Record in Web of Science")</f>
        <v>View Full Record in Web of Science</v>
      </c>
    </row>
    <row r="770" ht="12.75" customHeight="1">
      <c r="A770" s="1" t="s">
        <v>72</v>
      </c>
      <c r="B770" s="1" t="s">
        <v>7739</v>
      </c>
      <c r="C770" s="1" t="s">
        <v>74</v>
      </c>
      <c r="D770" s="1" t="s">
        <v>74</v>
      </c>
      <c r="E770" s="1" t="s">
        <v>74</v>
      </c>
      <c r="F770" s="1" t="s">
        <v>7740</v>
      </c>
      <c r="G770" s="1" t="s">
        <v>74</v>
      </c>
      <c r="H770" s="1" t="s">
        <v>74</v>
      </c>
      <c r="I770" s="1" t="s">
        <v>7741</v>
      </c>
      <c r="J770" s="1" t="s">
        <v>1959</v>
      </c>
      <c r="K770" s="1" t="s">
        <v>74</v>
      </c>
      <c r="L770" s="1" t="s">
        <v>74</v>
      </c>
      <c r="M770" s="1" t="s">
        <v>74</v>
      </c>
      <c r="N770" s="1" t="s">
        <v>74</v>
      </c>
      <c r="O770" s="1" t="s">
        <v>74</v>
      </c>
      <c r="P770" s="1" t="s">
        <v>74</v>
      </c>
      <c r="Q770" s="1" t="s">
        <v>74</v>
      </c>
      <c r="R770" s="1" t="s">
        <v>74</v>
      </c>
      <c r="S770" s="1" t="s">
        <v>74</v>
      </c>
      <c r="T770" s="1" t="s">
        <v>74</v>
      </c>
      <c r="U770" s="1" t="s">
        <v>74</v>
      </c>
      <c r="V770" s="1" t="s">
        <v>7742</v>
      </c>
      <c r="W770" s="1" t="s">
        <v>74</v>
      </c>
      <c r="X770" s="1" t="s">
        <v>74</v>
      </c>
      <c r="Y770" s="1" t="s">
        <v>74</v>
      </c>
      <c r="Z770" s="1" t="s">
        <v>74</v>
      </c>
      <c r="AA770" s="1" t="s">
        <v>7743</v>
      </c>
      <c r="AB770" s="1" t="s">
        <v>7744</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1963</v>
      </c>
      <c r="AP770" s="1" t="s">
        <v>74</v>
      </c>
      <c r="AQ770" s="1" t="s">
        <v>74</v>
      </c>
      <c r="AR770" s="1" t="s">
        <v>74</v>
      </c>
      <c r="AS770" s="1" t="s">
        <v>74</v>
      </c>
      <c r="AT770" s="1" t="s">
        <v>7745</v>
      </c>
      <c r="AU770" s="1">
        <v>2019.0</v>
      </c>
      <c r="AV770" s="1">
        <v>9.0</v>
      </c>
      <c r="AW770" s="1" t="s">
        <v>74</v>
      </c>
      <c r="AX770" s="1" t="s">
        <v>74</v>
      </c>
      <c r="AY770" s="1" t="s">
        <v>74</v>
      </c>
      <c r="AZ770" s="1" t="s">
        <v>74</v>
      </c>
      <c r="BA770" s="1" t="s">
        <v>74</v>
      </c>
      <c r="BB770" s="1" t="s">
        <v>74</v>
      </c>
      <c r="BC770" s="1" t="s">
        <v>74</v>
      </c>
      <c r="BD770" s="1">
        <v>14309.0</v>
      </c>
      <c r="BE770" s="1" t="s">
        <v>7746</v>
      </c>
      <c r="BF770" s="2" t="str">
        <f>HYPERLINK("http://dx.doi.org/10.1038/s41598-019-50395-7","http://dx.doi.org/10.1038/s41598-019-50395-7")</f>
        <v>http://dx.doi.org/10.1038/s41598-019-50395-7</v>
      </c>
      <c r="BG770" s="1" t="s">
        <v>74</v>
      </c>
      <c r="BH770" s="1" t="s">
        <v>74</v>
      </c>
      <c r="BI770" s="1" t="s">
        <v>74</v>
      </c>
      <c r="BJ770" s="1" t="s">
        <v>74</v>
      </c>
      <c r="BK770" s="1" t="s">
        <v>74</v>
      </c>
      <c r="BL770" s="1" t="s">
        <v>74</v>
      </c>
      <c r="BM770" s="1" t="s">
        <v>74</v>
      </c>
      <c r="BN770" s="1">
        <v>3.1586087E7</v>
      </c>
      <c r="BO770" s="1" t="s">
        <v>74</v>
      </c>
      <c r="BP770" s="1" t="s">
        <v>74</v>
      </c>
      <c r="BQ770" s="1" t="s">
        <v>74</v>
      </c>
      <c r="BR770" s="1" t="s">
        <v>74</v>
      </c>
      <c r="BS770" s="1" t="s">
        <v>7747</v>
      </c>
      <c r="BT770" s="1" t="str">
        <f>HYPERLINK("https%3A%2F%2Fwww.webofscience.com%2Fwos%2Fwoscc%2Ffull-record%2FWOS:000489011000017","View Full Record in Web of Science")</f>
        <v>View Full Record in Web of Science</v>
      </c>
    </row>
    <row r="771" ht="12.75" customHeight="1">
      <c r="A771" s="1" t="s">
        <v>72</v>
      </c>
      <c r="B771" s="1" t="s">
        <v>7748</v>
      </c>
      <c r="C771" s="1" t="s">
        <v>74</v>
      </c>
      <c r="D771" s="1" t="s">
        <v>74</v>
      </c>
      <c r="E771" s="1" t="s">
        <v>74</v>
      </c>
      <c r="F771" s="1" t="s">
        <v>7749</v>
      </c>
      <c r="G771" s="1" t="s">
        <v>74</v>
      </c>
      <c r="H771" s="1" t="s">
        <v>74</v>
      </c>
      <c r="I771" s="1" t="s">
        <v>7750</v>
      </c>
      <c r="J771" s="1" t="s">
        <v>3159</v>
      </c>
      <c r="K771" s="1" t="s">
        <v>74</v>
      </c>
      <c r="L771" s="1" t="s">
        <v>74</v>
      </c>
      <c r="M771" s="1" t="s">
        <v>74</v>
      </c>
      <c r="N771" s="1" t="s">
        <v>74</v>
      </c>
      <c r="O771" s="1" t="s">
        <v>74</v>
      </c>
      <c r="P771" s="1" t="s">
        <v>74</v>
      </c>
      <c r="Q771" s="1" t="s">
        <v>74</v>
      </c>
      <c r="R771" s="1" t="s">
        <v>74</v>
      </c>
      <c r="S771" s="1" t="s">
        <v>74</v>
      </c>
      <c r="T771" s="1" t="s">
        <v>74</v>
      </c>
      <c r="U771" s="1" t="s">
        <v>74</v>
      </c>
      <c r="V771" s="1" t="s">
        <v>7751</v>
      </c>
      <c r="W771" s="1" t="s">
        <v>74</v>
      </c>
      <c r="X771" s="1" t="s">
        <v>74</v>
      </c>
      <c r="Y771" s="1" t="s">
        <v>74</v>
      </c>
      <c r="Z771" s="1" t="s">
        <v>74</v>
      </c>
      <c r="AA771" s="1" t="s">
        <v>7752</v>
      </c>
      <c r="AB771" s="1" t="s">
        <v>7753</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3163</v>
      </c>
      <c r="AP771" s="1" t="s">
        <v>3164</v>
      </c>
      <c r="AQ771" s="1" t="s">
        <v>74</v>
      </c>
      <c r="AR771" s="1" t="s">
        <v>74</v>
      </c>
      <c r="AS771" s="1" t="s">
        <v>74</v>
      </c>
      <c r="AT771" s="1" t="s">
        <v>775</v>
      </c>
      <c r="AU771" s="1">
        <v>2019.0</v>
      </c>
      <c r="AV771" s="1">
        <v>279.0</v>
      </c>
      <c r="AW771" s="1" t="s">
        <v>74</v>
      </c>
      <c r="AX771" s="1" t="s">
        <v>74</v>
      </c>
      <c r="AY771" s="1" t="s">
        <v>74</v>
      </c>
      <c r="AZ771" s="1" t="s">
        <v>74</v>
      </c>
      <c r="BA771" s="1" t="s">
        <v>74</v>
      </c>
      <c r="BB771" s="1">
        <v>40.0</v>
      </c>
      <c r="BC771" s="1">
        <v>48.0</v>
      </c>
      <c r="BD771" s="1" t="s">
        <v>74</v>
      </c>
      <c r="BE771" s="1" t="s">
        <v>7754</v>
      </c>
      <c r="BF771" s="2" t="str">
        <f>HYPERLINK("http://dx.doi.org/10.1016/j.foodchem.2018.11.127","http://dx.doi.org/10.1016/j.foodchem.2018.11.127")</f>
        <v>http://dx.doi.org/10.1016/j.foodchem.2018.11.127</v>
      </c>
      <c r="BG771" s="1" t="s">
        <v>74</v>
      </c>
      <c r="BH771" s="1" t="s">
        <v>74</v>
      </c>
      <c r="BI771" s="1" t="s">
        <v>74</v>
      </c>
      <c r="BJ771" s="1" t="s">
        <v>74</v>
      </c>
      <c r="BK771" s="1" t="s">
        <v>74</v>
      </c>
      <c r="BL771" s="1" t="s">
        <v>74</v>
      </c>
      <c r="BM771" s="1" t="s">
        <v>74</v>
      </c>
      <c r="BN771" s="1">
        <v>3.0611506E7</v>
      </c>
      <c r="BO771" s="1" t="s">
        <v>74</v>
      </c>
      <c r="BP771" s="1" t="s">
        <v>74</v>
      </c>
      <c r="BQ771" s="1" t="s">
        <v>74</v>
      </c>
      <c r="BR771" s="1" t="s">
        <v>74</v>
      </c>
      <c r="BS771" s="1" t="s">
        <v>7755</v>
      </c>
      <c r="BT771" s="1" t="str">
        <f>HYPERLINK("https%3A%2F%2Fwww.webofscience.com%2Fwos%2Fwoscc%2Ffull-record%2FWOS:000454689200005","View Full Record in Web of Science")</f>
        <v>View Full Record in Web of Science</v>
      </c>
    </row>
    <row r="772" ht="12.75" customHeight="1">
      <c r="A772" s="1" t="s">
        <v>72</v>
      </c>
      <c r="B772" s="1" t="s">
        <v>3011</v>
      </c>
      <c r="C772" s="1" t="s">
        <v>74</v>
      </c>
      <c r="D772" s="1" t="s">
        <v>74</v>
      </c>
      <c r="E772" s="1" t="s">
        <v>74</v>
      </c>
      <c r="F772" s="1" t="s">
        <v>3012</v>
      </c>
      <c r="G772" s="1" t="s">
        <v>74</v>
      </c>
      <c r="H772" s="1" t="s">
        <v>74</v>
      </c>
      <c r="I772" s="1" t="s">
        <v>7756</v>
      </c>
      <c r="J772" s="1" t="s">
        <v>7757</v>
      </c>
      <c r="K772" s="1" t="s">
        <v>74</v>
      </c>
      <c r="L772" s="1" t="s">
        <v>74</v>
      </c>
      <c r="M772" s="1" t="s">
        <v>74</v>
      </c>
      <c r="N772" s="1" t="s">
        <v>74</v>
      </c>
      <c r="O772" s="1" t="s">
        <v>74</v>
      </c>
      <c r="P772" s="1" t="s">
        <v>74</v>
      </c>
      <c r="Q772" s="1" t="s">
        <v>74</v>
      </c>
      <c r="R772" s="1" t="s">
        <v>74</v>
      </c>
      <c r="S772" s="1" t="s">
        <v>74</v>
      </c>
      <c r="T772" s="1" t="s">
        <v>74</v>
      </c>
      <c r="U772" s="1" t="s">
        <v>74</v>
      </c>
      <c r="V772" s="1" t="s">
        <v>7758</v>
      </c>
      <c r="W772" s="1" t="s">
        <v>74</v>
      </c>
      <c r="X772" s="1" t="s">
        <v>74</v>
      </c>
      <c r="Y772" s="1" t="s">
        <v>74</v>
      </c>
      <c r="Z772" s="1" t="s">
        <v>74</v>
      </c>
      <c r="AA772" s="1" t="s">
        <v>74</v>
      </c>
      <c r="AB772" s="1" t="s">
        <v>7759</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7760</v>
      </c>
      <c r="AP772" s="1" t="s">
        <v>7761</v>
      </c>
      <c r="AQ772" s="1" t="s">
        <v>74</v>
      </c>
      <c r="AR772" s="1" t="s">
        <v>74</v>
      </c>
      <c r="AS772" s="1" t="s">
        <v>74</v>
      </c>
      <c r="AT772" s="1" t="s">
        <v>6146</v>
      </c>
      <c r="AU772" s="1">
        <v>2019.0</v>
      </c>
      <c r="AV772" s="1">
        <v>31.0</v>
      </c>
      <c r="AW772" s="1">
        <v>4.0</v>
      </c>
      <c r="AX772" s="1" t="s">
        <v>74</v>
      </c>
      <c r="AY772" s="1" t="s">
        <v>74</v>
      </c>
      <c r="AZ772" s="1" t="s">
        <v>569</v>
      </c>
      <c r="BA772" s="1" t="s">
        <v>74</v>
      </c>
      <c r="BB772" s="1" t="s">
        <v>74</v>
      </c>
      <c r="BC772" s="1" t="s">
        <v>74</v>
      </c>
      <c r="BD772" s="1" t="s">
        <v>74</v>
      </c>
      <c r="BE772" s="1" t="s">
        <v>7762</v>
      </c>
      <c r="BF772" s="2" t="str">
        <f>HYPERLINK("http://dx.doi.org/10.1080/09540253.2019.1583319","http://dx.doi.org/10.1080/09540253.2019.1583319")</f>
        <v>http://dx.doi.org/10.1080/09540253.2019.1583319</v>
      </c>
      <c r="BG772" s="1" t="s">
        <v>74</v>
      </c>
      <c r="BH772" s="1" t="s">
        <v>705</v>
      </c>
      <c r="BI772" s="1" t="s">
        <v>74</v>
      </c>
      <c r="BJ772" s="1" t="s">
        <v>74</v>
      </c>
      <c r="BK772" s="1" t="s">
        <v>74</v>
      </c>
      <c r="BL772" s="1" t="s">
        <v>74</v>
      </c>
      <c r="BM772" s="1" t="s">
        <v>74</v>
      </c>
      <c r="BN772" s="1" t="s">
        <v>74</v>
      </c>
      <c r="BO772" s="1" t="s">
        <v>74</v>
      </c>
      <c r="BP772" s="1" t="s">
        <v>74</v>
      </c>
      <c r="BQ772" s="1" t="s">
        <v>74</v>
      </c>
      <c r="BR772" s="1" t="s">
        <v>74</v>
      </c>
      <c r="BS772" s="1" t="s">
        <v>7763</v>
      </c>
      <c r="BT772" s="1" t="str">
        <f>HYPERLINK("https%3A%2F%2Fwww.webofscience.com%2Fwos%2Fwoscc%2Ffull-record%2FWOS:000463269800001","View Full Record in Web of Science")</f>
        <v>View Full Record in Web of Science</v>
      </c>
    </row>
    <row r="773" ht="12.75" customHeight="1">
      <c r="A773" s="1" t="s">
        <v>72</v>
      </c>
      <c r="B773" s="1" t="s">
        <v>7764</v>
      </c>
      <c r="C773" s="1" t="s">
        <v>74</v>
      </c>
      <c r="D773" s="1" t="s">
        <v>74</v>
      </c>
      <c r="E773" s="1" t="s">
        <v>74</v>
      </c>
      <c r="F773" s="1" t="s">
        <v>7765</v>
      </c>
      <c r="G773" s="1" t="s">
        <v>74</v>
      </c>
      <c r="H773" s="1" t="s">
        <v>74</v>
      </c>
      <c r="I773" s="1" t="s">
        <v>7766</v>
      </c>
      <c r="J773" s="1" t="s">
        <v>4594</v>
      </c>
      <c r="K773" s="1" t="s">
        <v>74</v>
      </c>
      <c r="L773" s="1" t="s">
        <v>74</v>
      </c>
      <c r="M773" s="1" t="s">
        <v>74</v>
      </c>
      <c r="N773" s="1" t="s">
        <v>74</v>
      </c>
      <c r="O773" s="1" t="s">
        <v>74</v>
      </c>
      <c r="P773" s="1" t="s">
        <v>74</v>
      </c>
      <c r="Q773" s="1" t="s">
        <v>74</v>
      </c>
      <c r="R773" s="1" t="s">
        <v>74</v>
      </c>
      <c r="S773" s="1" t="s">
        <v>74</v>
      </c>
      <c r="T773" s="1" t="s">
        <v>74</v>
      </c>
      <c r="U773" s="1" t="s">
        <v>74</v>
      </c>
      <c r="V773" s="1" t="s">
        <v>7767</v>
      </c>
      <c r="W773" s="1" t="s">
        <v>74</v>
      </c>
      <c r="X773" s="1" t="s">
        <v>74</v>
      </c>
      <c r="Y773" s="1" t="s">
        <v>74</v>
      </c>
      <c r="Z773" s="1" t="s">
        <v>74</v>
      </c>
      <c r="AA773" s="1" t="s">
        <v>7768</v>
      </c>
      <c r="AB773" s="1" t="s">
        <v>7769</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4598</v>
      </c>
      <c r="AP773" s="1" t="s">
        <v>4599</v>
      </c>
      <c r="AQ773" s="1" t="s">
        <v>74</v>
      </c>
      <c r="AR773" s="1" t="s">
        <v>74</v>
      </c>
      <c r="AS773" s="1" t="s">
        <v>74</v>
      </c>
      <c r="AT773" s="1" t="s">
        <v>745</v>
      </c>
      <c r="AU773" s="1">
        <v>2018.0</v>
      </c>
      <c r="AV773" s="1">
        <v>224.0</v>
      </c>
      <c r="AW773" s="1" t="s">
        <v>74</v>
      </c>
      <c r="AX773" s="1" t="s">
        <v>74</v>
      </c>
      <c r="AY773" s="1" t="s">
        <v>74</v>
      </c>
      <c r="AZ773" s="1" t="s">
        <v>74</v>
      </c>
      <c r="BA773" s="1" t="s">
        <v>74</v>
      </c>
      <c r="BB773" s="1">
        <v>165.0</v>
      </c>
      <c r="BC773" s="1">
        <v>173.0</v>
      </c>
      <c r="BD773" s="1" t="s">
        <v>74</v>
      </c>
      <c r="BE773" s="1" t="s">
        <v>7770</v>
      </c>
      <c r="BF773" s="2" t="str">
        <f>HYPERLINK("http://dx.doi.org/10.1016/j.jfoodeng.2018.01.001","http://dx.doi.org/10.1016/j.jfoodeng.2018.01.001")</f>
        <v>http://dx.doi.org/10.1016/j.jfoodeng.2018.01.001</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7771</v>
      </c>
      <c r="BT773" s="1" t="str">
        <f>HYPERLINK("https%3A%2F%2Fwww.webofscience.com%2Fwos%2Fwoscc%2Ffull-record%2FWOS:000424718600019","View Full Record in Web of Science")</f>
        <v>View Full Record in Web of Science</v>
      </c>
    </row>
    <row r="774" ht="12.75" customHeight="1">
      <c r="A774" s="1" t="s">
        <v>72</v>
      </c>
      <c r="B774" s="1" t="s">
        <v>7772</v>
      </c>
      <c r="C774" s="1" t="s">
        <v>74</v>
      </c>
      <c r="D774" s="1" t="s">
        <v>74</v>
      </c>
      <c r="E774" s="1" t="s">
        <v>74</v>
      </c>
      <c r="F774" s="1" t="s">
        <v>7773</v>
      </c>
      <c r="G774" s="1" t="s">
        <v>74</v>
      </c>
      <c r="H774" s="1" t="s">
        <v>74</v>
      </c>
      <c r="I774" s="1" t="s">
        <v>7774</v>
      </c>
      <c r="J774" s="1" t="s">
        <v>5820</v>
      </c>
      <c r="K774" s="1" t="s">
        <v>74</v>
      </c>
      <c r="L774" s="1" t="s">
        <v>74</v>
      </c>
      <c r="M774" s="1" t="s">
        <v>74</v>
      </c>
      <c r="N774" s="1" t="s">
        <v>74</v>
      </c>
      <c r="O774" s="1" t="s">
        <v>74</v>
      </c>
      <c r="P774" s="1" t="s">
        <v>74</v>
      </c>
      <c r="Q774" s="1" t="s">
        <v>74</v>
      </c>
      <c r="R774" s="1" t="s">
        <v>74</v>
      </c>
      <c r="S774" s="1" t="s">
        <v>74</v>
      </c>
      <c r="T774" s="1" t="s">
        <v>74</v>
      </c>
      <c r="U774" s="1" t="s">
        <v>74</v>
      </c>
      <c r="V774" s="1" t="s">
        <v>7775</v>
      </c>
      <c r="W774" s="1" t="s">
        <v>74</v>
      </c>
      <c r="X774" s="1" t="s">
        <v>74</v>
      </c>
      <c r="Y774" s="1" t="s">
        <v>74</v>
      </c>
      <c r="Z774" s="1" t="s">
        <v>74</v>
      </c>
      <c r="AA774" s="1" t="s">
        <v>7776</v>
      </c>
      <c r="AB774" s="1" t="s">
        <v>7777</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5824</v>
      </c>
      <c r="AP774" s="1" t="s">
        <v>74</v>
      </c>
      <c r="AQ774" s="1" t="s">
        <v>74</v>
      </c>
      <c r="AR774" s="1" t="s">
        <v>74</v>
      </c>
      <c r="AS774" s="1" t="s">
        <v>74</v>
      </c>
      <c r="AT774" s="1" t="s">
        <v>204</v>
      </c>
      <c r="AU774" s="1">
        <v>2017.0</v>
      </c>
      <c r="AV774" s="1">
        <v>173.0</v>
      </c>
      <c r="AW774" s="1" t="s">
        <v>74</v>
      </c>
      <c r="AX774" s="1" t="s">
        <v>74</v>
      </c>
      <c r="AY774" s="1" t="s">
        <v>74</v>
      </c>
      <c r="AZ774" s="1" t="s">
        <v>74</v>
      </c>
      <c r="BA774" s="1" t="s">
        <v>74</v>
      </c>
      <c r="BB774" s="1">
        <v>556.0</v>
      </c>
      <c r="BC774" s="1">
        <v>561.0</v>
      </c>
      <c r="BD774" s="1" t="s">
        <v>74</v>
      </c>
      <c r="BE774" s="1" t="s">
        <v>7778</v>
      </c>
      <c r="BF774" s="2" t="str">
        <f>HYPERLINK("http://dx.doi.org/10.1016/j.saa.2016.10.017","http://dx.doi.org/10.1016/j.saa.2016.10.017")</f>
        <v>http://dx.doi.org/10.1016/j.saa.2016.10.017</v>
      </c>
      <c r="BG774" s="1" t="s">
        <v>74</v>
      </c>
      <c r="BH774" s="1" t="s">
        <v>74</v>
      </c>
      <c r="BI774" s="1" t="s">
        <v>74</v>
      </c>
      <c r="BJ774" s="1" t="s">
        <v>74</v>
      </c>
      <c r="BK774" s="1" t="s">
        <v>74</v>
      </c>
      <c r="BL774" s="1" t="s">
        <v>74</v>
      </c>
      <c r="BM774" s="1" t="s">
        <v>74</v>
      </c>
      <c r="BN774" s="1">
        <v>2.7780125E7</v>
      </c>
      <c r="BO774" s="1" t="s">
        <v>74</v>
      </c>
      <c r="BP774" s="1" t="s">
        <v>74</v>
      </c>
      <c r="BQ774" s="1" t="s">
        <v>74</v>
      </c>
      <c r="BR774" s="1" t="s">
        <v>74</v>
      </c>
      <c r="BS774" s="1" t="s">
        <v>7779</v>
      </c>
      <c r="BT774" s="1" t="str">
        <f>HYPERLINK("https%3A%2F%2Fwww.webofscience.com%2Fwos%2Fwoscc%2Ffull-record%2FWOS:000390502900077","View Full Record in Web of Science")</f>
        <v>View Full Record in Web of Science</v>
      </c>
    </row>
    <row r="775" ht="12.75" customHeight="1">
      <c r="A775" s="1" t="s">
        <v>72</v>
      </c>
      <c r="B775" s="1" t="s">
        <v>7780</v>
      </c>
      <c r="C775" s="1" t="s">
        <v>74</v>
      </c>
      <c r="D775" s="1" t="s">
        <v>74</v>
      </c>
      <c r="E775" s="1" t="s">
        <v>74</v>
      </c>
      <c r="F775" s="1" t="s">
        <v>7781</v>
      </c>
      <c r="G775" s="1" t="s">
        <v>74</v>
      </c>
      <c r="H775" s="1" t="s">
        <v>74</v>
      </c>
      <c r="I775" s="1" t="s">
        <v>7782</v>
      </c>
      <c r="J775" s="1" t="s">
        <v>1081</v>
      </c>
      <c r="K775" s="1" t="s">
        <v>74</v>
      </c>
      <c r="L775" s="1" t="s">
        <v>74</v>
      </c>
      <c r="M775" s="1" t="s">
        <v>74</v>
      </c>
      <c r="N775" s="1" t="s">
        <v>74</v>
      </c>
      <c r="O775" s="1" t="s">
        <v>74</v>
      </c>
      <c r="P775" s="1" t="s">
        <v>74</v>
      </c>
      <c r="Q775" s="1" t="s">
        <v>74</v>
      </c>
      <c r="R775" s="1" t="s">
        <v>74</v>
      </c>
      <c r="S775" s="1" t="s">
        <v>74</v>
      </c>
      <c r="T775" s="1" t="s">
        <v>74</v>
      </c>
      <c r="U775" s="1" t="s">
        <v>74</v>
      </c>
      <c r="V775" s="1" t="s">
        <v>7783</v>
      </c>
      <c r="W775" s="1" t="s">
        <v>74</v>
      </c>
      <c r="X775" s="1" t="s">
        <v>74</v>
      </c>
      <c r="Y775" s="1" t="s">
        <v>74</v>
      </c>
      <c r="Z775" s="1" t="s">
        <v>74</v>
      </c>
      <c r="AA775" s="1" t="s">
        <v>3508</v>
      </c>
      <c r="AB775" s="1" t="s">
        <v>7784</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1085</v>
      </c>
      <c r="AP775" s="1" t="s">
        <v>74</v>
      </c>
      <c r="AQ775" s="1" t="s">
        <v>74</v>
      </c>
      <c r="AR775" s="1" t="s">
        <v>74</v>
      </c>
      <c r="AS775" s="1" t="s">
        <v>74</v>
      </c>
      <c r="AT775" s="1" t="s">
        <v>7785</v>
      </c>
      <c r="AU775" s="1">
        <v>2012.0</v>
      </c>
      <c r="AV775" s="1">
        <v>347.0</v>
      </c>
      <c r="AW775" s="1">
        <v>1.0</v>
      </c>
      <c r="AX775" s="1" t="s">
        <v>74</v>
      </c>
      <c r="AY775" s="1" t="s">
        <v>74</v>
      </c>
      <c r="AZ775" s="1" t="s">
        <v>74</v>
      </c>
      <c r="BA775" s="1" t="s">
        <v>74</v>
      </c>
      <c r="BB775" s="1">
        <v>114.0</v>
      </c>
      <c r="BC775" s="1">
        <v>120.0</v>
      </c>
      <c r="BD775" s="1" t="s">
        <v>74</v>
      </c>
      <c r="BE775" s="1" t="s">
        <v>7786</v>
      </c>
      <c r="BF775" s="2" t="str">
        <f>HYPERLINK("http://dx.doi.org/10.1016/j.carres.2011.11.014","http://dx.doi.org/10.1016/j.carres.2011.11.014")</f>
        <v>http://dx.doi.org/10.1016/j.carres.2011.11.014</v>
      </c>
      <c r="BG775" s="1" t="s">
        <v>74</v>
      </c>
      <c r="BH775" s="1" t="s">
        <v>74</v>
      </c>
      <c r="BI775" s="1" t="s">
        <v>74</v>
      </c>
      <c r="BJ775" s="1" t="s">
        <v>74</v>
      </c>
      <c r="BK775" s="1" t="s">
        <v>74</v>
      </c>
      <c r="BL775" s="1" t="s">
        <v>74</v>
      </c>
      <c r="BM775" s="1" t="s">
        <v>74</v>
      </c>
      <c r="BN775" s="1">
        <v>2.2169178E7</v>
      </c>
      <c r="BO775" s="1" t="s">
        <v>74</v>
      </c>
      <c r="BP775" s="1" t="s">
        <v>74</v>
      </c>
      <c r="BQ775" s="1" t="s">
        <v>74</v>
      </c>
      <c r="BR775" s="1" t="s">
        <v>74</v>
      </c>
      <c r="BS775" s="1" t="s">
        <v>7787</v>
      </c>
      <c r="BT775" s="1" t="str">
        <f>HYPERLINK("https%3A%2F%2Fwww.webofscience.com%2Fwos%2Fwoscc%2Ffull-record%2FWOS:000300130400015","View Full Record in Web of Science")</f>
        <v>View Full Record in Web of Science</v>
      </c>
    </row>
    <row r="776" ht="12.75" customHeight="1">
      <c r="A776" s="1" t="s">
        <v>72</v>
      </c>
      <c r="B776" s="1" t="s">
        <v>7788</v>
      </c>
      <c r="C776" s="1" t="s">
        <v>74</v>
      </c>
      <c r="D776" s="1" t="s">
        <v>74</v>
      </c>
      <c r="E776" s="1" t="s">
        <v>74</v>
      </c>
      <c r="F776" s="1" t="s">
        <v>7789</v>
      </c>
      <c r="G776" s="1" t="s">
        <v>74</v>
      </c>
      <c r="H776" s="1" t="s">
        <v>74</v>
      </c>
      <c r="I776" s="1" t="s">
        <v>7790</v>
      </c>
      <c r="J776" s="1" t="s">
        <v>7791</v>
      </c>
      <c r="K776" s="1" t="s">
        <v>74</v>
      </c>
      <c r="L776" s="1" t="s">
        <v>74</v>
      </c>
      <c r="M776" s="1" t="s">
        <v>74</v>
      </c>
      <c r="N776" s="1" t="s">
        <v>74</v>
      </c>
      <c r="O776" s="1" t="s">
        <v>74</v>
      </c>
      <c r="P776" s="1" t="s">
        <v>74</v>
      </c>
      <c r="Q776" s="1" t="s">
        <v>74</v>
      </c>
      <c r="R776" s="1" t="s">
        <v>74</v>
      </c>
      <c r="S776" s="1" t="s">
        <v>74</v>
      </c>
      <c r="T776" s="1" t="s">
        <v>74</v>
      </c>
      <c r="U776" s="1" t="s">
        <v>74</v>
      </c>
      <c r="V776" s="1" t="s">
        <v>7792</v>
      </c>
      <c r="W776" s="1" t="s">
        <v>74</v>
      </c>
      <c r="X776" s="1" t="s">
        <v>74</v>
      </c>
      <c r="Y776" s="1" t="s">
        <v>74</v>
      </c>
      <c r="Z776" s="1" t="s">
        <v>74</v>
      </c>
      <c r="AA776" s="1" t="s">
        <v>7793</v>
      </c>
      <c r="AB776" s="1" t="s">
        <v>7794</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7795</v>
      </c>
      <c r="AP776" s="1" t="s">
        <v>74</v>
      </c>
      <c r="AQ776" s="1" t="s">
        <v>74</v>
      </c>
      <c r="AR776" s="1" t="s">
        <v>74</v>
      </c>
      <c r="AS776" s="1" t="s">
        <v>74</v>
      </c>
      <c r="AT776" s="1" t="s">
        <v>94</v>
      </c>
      <c r="AU776" s="1">
        <v>2011.0</v>
      </c>
      <c r="AV776" s="1">
        <v>86.0</v>
      </c>
      <c r="AW776" s="1">
        <v>6.0</v>
      </c>
      <c r="AX776" s="1" t="s">
        <v>74</v>
      </c>
      <c r="AY776" s="1" t="s">
        <v>74</v>
      </c>
      <c r="AZ776" s="1" t="s">
        <v>74</v>
      </c>
      <c r="BA776" s="1" t="s">
        <v>74</v>
      </c>
      <c r="BB776" s="1">
        <v>666.0</v>
      </c>
      <c r="BC776" s="1">
        <v>669.0</v>
      </c>
      <c r="BD776" s="1" t="s">
        <v>74</v>
      </c>
      <c r="BE776" s="1" t="s">
        <v>7796</v>
      </c>
      <c r="BF776" s="2" t="str">
        <f>HYPERLINK("http://dx.doi.org/10.1007/s00128-011-0269-0","http://dx.doi.org/10.1007/s00128-011-0269-0")</f>
        <v>http://dx.doi.org/10.1007/s00128-011-0269-0</v>
      </c>
      <c r="BG776" s="1" t="s">
        <v>74</v>
      </c>
      <c r="BH776" s="1" t="s">
        <v>74</v>
      </c>
      <c r="BI776" s="1" t="s">
        <v>74</v>
      </c>
      <c r="BJ776" s="1" t="s">
        <v>74</v>
      </c>
      <c r="BK776" s="1" t="s">
        <v>74</v>
      </c>
      <c r="BL776" s="1" t="s">
        <v>74</v>
      </c>
      <c r="BM776" s="1" t="s">
        <v>74</v>
      </c>
      <c r="BN776" s="1">
        <v>2.1484519E7</v>
      </c>
      <c r="BO776" s="1" t="s">
        <v>74</v>
      </c>
      <c r="BP776" s="1" t="s">
        <v>74</v>
      </c>
      <c r="BQ776" s="1" t="s">
        <v>74</v>
      </c>
      <c r="BR776" s="1" t="s">
        <v>74</v>
      </c>
      <c r="BS776" s="1" t="s">
        <v>7797</v>
      </c>
      <c r="BT776" s="1" t="str">
        <f>HYPERLINK("https%3A%2F%2Fwww.webofscience.com%2Fwos%2Fwoscc%2Ffull-record%2FWOS:000290486900022","View Full Record in Web of Science")</f>
        <v>View Full Record in Web of Science</v>
      </c>
    </row>
    <row r="777" ht="12.75" customHeight="1">
      <c r="A777" s="1" t="s">
        <v>72</v>
      </c>
      <c r="B777" s="1" t="s">
        <v>7798</v>
      </c>
      <c r="C777" s="1" t="s">
        <v>74</v>
      </c>
      <c r="D777" s="1" t="s">
        <v>74</v>
      </c>
      <c r="E777" s="1" t="s">
        <v>74</v>
      </c>
      <c r="F777" s="1" t="s">
        <v>7799</v>
      </c>
      <c r="G777" s="1" t="s">
        <v>74</v>
      </c>
      <c r="H777" s="1" t="s">
        <v>74</v>
      </c>
      <c r="I777" s="1" t="s">
        <v>7800</v>
      </c>
      <c r="J777" s="1" t="s">
        <v>7801</v>
      </c>
      <c r="K777" s="1" t="s">
        <v>74</v>
      </c>
      <c r="L777" s="1" t="s">
        <v>74</v>
      </c>
      <c r="M777" s="1" t="s">
        <v>74</v>
      </c>
      <c r="N777" s="1" t="s">
        <v>74</v>
      </c>
      <c r="O777" s="1" t="s">
        <v>74</v>
      </c>
      <c r="P777" s="1" t="s">
        <v>74</v>
      </c>
      <c r="Q777" s="1" t="s">
        <v>74</v>
      </c>
      <c r="R777" s="1" t="s">
        <v>74</v>
      </c>
      <c r="S777" s="1" t="s">
        <v>74</v>
      </c>
      <c r="T777" s="1" t="s">
        <v>74</v>
      </c>
      <c r="U777" s="1" t="s">
        <v>74</v>
      </c>
      <c r="V777" s="1" t="s">
        <v>7802</v>
      </c>
      <c r="W777" s="1" t="s">
        <v>74</v>
      </c>
      <c r="X777" s="1" t="s">
        <v>74</v>
      </c>
      <c r="Y777" s="1" t="s">
        <v>74</v>
      </c>
      <c r="Z777" s="1" t="s">
        <v>74</v>
      </c>
      <c r="AA777" s="1" t="s">
        <v>3508</v>
      </c>
      <c r="AB777" s="1" t="s">
        <v>74</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7803</v>
      </c>
      <c r="AP777" s="1" t="s">
        <v>7804</v>
      </c>
      <c r="AQ777" s="1" t="s">
        <v>74</v>
      </c>
      <c r="AR777" s="1" t="s">
        <v>74</v>
      </c>
      <c r="AS777" s="1" t="s">
        <v>74</v>
      </c>
      <c r="AT777" s="1" t="s">
        <v>7805</v>
      </c>
      <c r="AU777" s="1">
        <v>2009.0</v>
      </c>
      <c r="AV777" s="1">
        <v>50.0</v>
      </c>
      <c r="AW777" s="1">
        <v>13.0</v>
      </c>
      <c r="AX777" s="1" t="s">
        <v>74</v>
      </c>
      <c r="AY777" s="1" t="s">
        <v>74</v>
      </c>
      <c r="AZ777" s="1" t="s">
        <v>74</v>
      </c>
      <c r="BA777" s="1" t="s">
        <v>74</v>
      </c>
      <c r="BB777" s="1">
        <v>2762.0</v>
      </c>
      <c r="BC777" s="1">
        <v>2767.0</v>
      </c>
      <c r="BD777" s="1" t="s">
        <v>74</v>
      </c>
      <c r="BE777" s="1" t="s">
        <v>7806</v>
      </c>
      <c r="BF777" s="2" t="str">
        <f>HYPERLINK("http://dx.doi.org/10.1016/j.polymer.2009.04.024","http://dx.doi.org/10.1016/j.polymer.2009.04.024")</f>
        <v>http://dx.doi.org/10.1016/j.polymer.2009.04.024</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7807</v>
      </c>
      <c r="BT777" s="1" t="str">
        <f>HYPERLINK("https%3A%2F%2Fwww.webofscience.com%2Fwos%2Fwoscc%2Ffull-record%2FWOS:000267415600003","View Full Record in Web of Science")</f>
        <v>View Full Record in Web of Science</v>
      </c>
    </row>
    <row r="778" ht="12.75" customHeight="1">
      <c r="A778" s="1" t="s">
        <v>72</v>
      </c>
      <c r="B778" s="1" t="s">
        <v>7808</v>
      </c>
      <c r="C778" s="1" t="s">
        <v>74</v>
      </c>
      <c r="D778" s="1" t="s">
        <v>74</v>
      </c>
      <c r="E778" s="1" t="s">
        <v>74</v>
      </c>
      <c r="F778" s="1" t="s">
        <v>7809</v>
      </c>
      <c r="G778" s="1" t="s">
        <v>74</v>
      </c>
      <c r="H778" s="1" t="s">
        <v>74</v>
      </c>
      <c r="I778" s="1" t="s">
        <v>7810</v>
      </c>
      <c r="J778" s="1" t="s">
        <v>7811</v>
      </c>
      <c r="K778" s="1" t="s">
        <v>74</v>
      </c>
      <c r="L778" s="1" t="s">
        <v>74</v>
      </c>
      <c r="M778" s="1" t="s">
        <v>74</v>
      </c>
      <c r="N778" s="1" t="s">
        <v>74</v>
      </c>
      <c r="O778" s="1" t="s">
        <v>74</v>
      </c>
      <c r="P778" s="1" t="s">
        <v>74</v>
      </c>
      <c r="Q778" s="1" t="s">
        <v>74</v>
      </c>
      <c r="R778" s="1" t="s">
        <v>74</v>
      </c>
      <c r="S778" s="1" t="s">
        <v>74</v>
      </c>
      <c r="T778" s="1" t="s">
        <v>74</v>
      </c>
      <c r="U778" s="1" t="s">
        <v>74</v>
      </c>
      <c r="V778" s="1" t="s">
        <v>7812</v>
      </c>
      <c r="W778" s="1" t="s">
        <v>74</v>
      </c>
      <c r="X778" s="1" t="s">
        <v>74</v>
      </c>
      <c r="Y778" s="1" t="s">
        <v>74</v>
      </c>
      <c r="Z778" s="1" t="s">
        <v>74</v>
      </c>
      <c r="AA778" s="1" t="s">
        <v>7813</v>
      </c>
      <c r="AB778" s="1" t="s">
        <v>7814</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7815</v>
      </c>
      <c r="AP778" s="1" t="s">
        <v>7816</v>
      </c>
      <c r="AQ778" s="1" t="s">
        <v>74</v>
      </c>
      <c r="AR778" s="1" t="s">
        <v>74</v>
      </c>
      <c r="AS778" s="1" t="s">
        <v>74</v>
      </c>
      <c r="AT778" s="1" t="s">
        <v>74</v>
      </c>
      <c r="AU778" s="1">
        <v>2008.0</v>
      </c>
      <c r="AV778" s="1">
        <v>38.0</v>
      </c>
      <c r="AW778" s="1">
        <v>6.0</v>
      </c>
      <c r="AX778" s="1" t="s">
        <v>74</v>
      </c>
      <c r="AY778" s="1" t="s">
        <v>74</v>
      </c>
      <c r="AZ778" s="1" t="s">
        <v>74</v>
      </c>
      <c r="BA778" s="1" t="s">
        <v>74</v>
      </c>
      <c r="BB778" s="1">
        <v>503.0</v>
      </c>
      <c r="BC778" s="1">
        <v>513.0</v>
      </c>
      <c r="BD778" s="1" t="s">
        <v>74</v>
      </c>
      <c r="BE778" s="1" t="s">
        <v>7817</v>
      </c>
      <c r="BF778" s="2" t="str">
        <f>HYPERLINK("http://dx.doi.org/10.1080/15533170802265145","http://dx.doi.org/10.1080/15533170802265145")</f>
        <v>http://dx.doi.org/10.1080/15533170802265145</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7818</v>
      </c>
      <c r="BT778" s="1" t="str">
        <f>HYPERLINK("https%3A%2F%2Fwww.webofscience.com%2Fwos%2Fwoscc%2Ffull-record%2FWOS:000258932400006","View Full Record in Web of Science")</f>
        <v>View Full Record in Web of Science</v>
      </c>
    </row>
    <row r="779" ht="12.75" customHeight="1">
      <c r="A779" s="1" t="s">
        <v>72</v>
      </c>
      <c r="B779" s="1" t="s">
        <v>7819</v>
      </c>
      <c r="C779" s="1" t="s">
        <v>74</v>
      </c>
      <c r="D779" s="1" t="s">
        <v>74</v>
      </c>
      <c r="E779" s="1" t="s">
        <v>74</v>
      </c>
      <c r="F779" s="1" t="s">
        <v>7819</v>
      </c>
      <c r="G779" s="1" t="s">
        <v>74</v>
      </c>
      <c r="H779" s="1" t="s">
        <v>74</v>
      </c>
      <c r="I779" s="1" t="s">
        <v>7820</v>
      </c>
      <c r="J779" s="1" t="s">
        <v>7821</v>
      </c>
      <c r="K779" s="1" t="s">
        <v>74</v>
      </c>
      <c r="L779" s="1" t="s">
        <v>74</v>
      </c>
      <c r="M779" s="1" t="s">
        <v>74</v>
      </c>
      <c r="N779" s="1" t="s">
        <v>74</v>
      </c>
      <c r="O779" s="1" t="s">
        <v>74</v>
      </c>
      <c r="P779" s="1" t="s">
        <v>74</v>
      </c>
      <c r="Q779" s="1" t="s">
        <v>74</v>
      </c>
      <c r="R779" s="1" t="s">
        <v>74</v>
      </c>
      <c r="S779" s="1" t="s">
        <v>74</v>
      </c>
      <c r="T779" s="1" t="s">
        <v>74</v>
      </c>
      <c r="U779" s="1" t="s">
        <v>74</v>
      </c>
      <c r="V779" s="1" t="s">
        <v>7822</v>
      </c>
      <c r="W779" s="1" t="s">
        <v>74</v>
      </c>
      <c r="X779" s="1" t="s">
        <v>74</v>
      </c>
      <c r="Y779" s="1" t="s">
        <v>74</v>
      </c>
      <c r="Z779" s="1" t="s">
        <v>74</v>
      </c>
      <c r="AA779" s="1" t="s">
        <v>7550</v>
      </c>
      <c r="AB779" s="1" t="s">
        <v>7823</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7824</v>
      </c>
      <c r="AP779" s="1" t="s">
        <v>74</v>
      </c>
      <c r="AQ779" s="1" t="s">
        <v>74</v>
      </c>
      <c r="AR779" s="1" t="s">
        <v>74</v>
      </c>
      <c r="AS779" s="1" t="s">
        <v>74</v>
      </c>
      <c r="AT779" s="1" t="s">
        <v>74</v>
      </c>
      <c r="AU779" s="1">
        <v>2002.0</v>
      </c>
      <c r="AV779" s="1">
        <v>12.0</v>
      </c>
      <c r="AW779" s="1">
        <v>1.0</v>
      </c>
      <c r="AX779" s="1" t="s">
        <v>74</v>
      </c>
      <c r="AY779" s="1" t="s">
        <v>74</v>
      </c>
      <c r="AZ779" s="1" t="s">
        <v>74</v>
      </c>
      <c r="BA779" s="1" t="s">
        <v>74</v>
      </c>
      <c r="BB779" s="1">
        <v>43.0</v>
      </c>
      <c r="BC779" s="1">
        <v>50.0</v>
      </c>
      <c r="BD779" s="1" t="s">
        <v>74</v>
      </c>
      <c r="BE779" s="1" t="s">
        <v>7825</v>
      </c>
      <c r="BF779" s="2" t="str">
        <f>HYPERLINK("http://dx.doi.org/10.1002/ima.10007","http://dx.doi.org/10.1002/ima.10007")</f>
        <v>http://dx.doi.org/10.1002/ima.10007</v>
      </c>
      <c r="BG779" s="1" t="s">
        <v>74</v>
      </c>
      <c r="BH779" s="1" t="s">
        <v>74</v>
      </c>
      <c r="BI779" s="1" t="s">
        <v>74</v>
      </c>
      <c r="BJ779" s="1" t="s">
        <v>74</v>
      </c>
      <c r="BK779" s="1" t="s">
        <v>74</v>
      </c>
      <c r="BL779" s="1" t="s">
        <v>74</v>
      </c>
      <c r="BM779" s="1" t="s">
        <v>74</v>
      </c>
      <c r="BN779" s="1" t="s">
        <v>74</v>
      </c>
      <c r="BO779" s="1" t="s">
        <v>74</v>
      </c>
      <c r="BP779" s="1" t="s">
        <v>74</v>
      </c>
      <c r="BQ779" s="1" t="s">
        <v>74</v>
      </c>
      <c r="BR779" s="1" t="s">
        <v>74</v>
      </c>
      <c r="BS779" s="1" t="s">
        <v>7826</v>
      </c>
      <c r="BT779" s="1" t="str">
        <f>HYPERLINK("https%3A%2F%2Fwww.webofscience.com%2Fwos%2Fwoscc%2Ffull-record%2FWOS:000173439900006","View Full Record in Web of Science")</f>
        <v>View Full Record in Web of Science</v>
      </c>
    </row>
    <row r="780" ht="12.75" customHeight="1">
      <c r="A780" s="1" t="s">
        <v>72</v>
      </c>
      <c r="B780" s="1" t="s">
        <v>7827</v>
      </c>
      <c r="C780" s="1" t="s">
        <v>74</v>
      </c>
      <c r="D780" s="1" t="s">
        <v>74</v>
      </c>
      <c r="E780" s="1" t="s">
        <v>74</v>
      </c>
      <c r="F780" s="1" t="s">
        <v>7827</v>
      </c>
      <c r="G780" s="1" t="s">
        <v>74</v>
      </c>
      <c r="H780" s="1" t="s">
        <v>74</v>
      </c>
      <c r="I780" s="1" t="s">
        <v>7828</v>
      </c>
      <c r="J780" s="1" t="s">
        <v>7829</v>
      </c>
      <c r="K780" s="1" t="s">
        <v>74</v>
      </c>
      <c r="L780" s="1" t="s">
        <v>74</v>
      </c>
      <c r="M780" s="1" t="s">
        <v>74</v>
      </c>
      <c r="N780" s="1" t="s">
        <v>74</v>
      </c>
      <c r="O780" s="1" t="s">
        <v>74</v>
      </c>
      <c r="P780" s="1" t="s">
        <v>74</v>
      </c>
      <c r="Q780" s="1" t="s">
        <v>74</v>
      </c>
      <c r="R780" s="1" t="s">
        <v>74</v>
      </c>
      <c r="S780" s="1" t="s">
        <v>74</v>
      </c>
      <c r="T780" s="1" t="s">
        <v>74</v>
      </c>
      <c r="U780" s="1" t="s">
        <v>74</v>
      </c>
      <c r="V780" s="1" t="s">
        <v>7830</v>
      </c>
      <c r="W780" s="1" t="s">
        <v>74</v>
      </c>
      <c r="X780" s="1" t="s">
        <v>74</v>
      </c>
      <c r="Y780" s="1" t="s">
        <v>74</v>
      </c>
      <c r="Z780" s="1" t="s">
        <v>74</v>
      </c>
      <c r="AA780" s="1" t="s">
        <v>7831</v>
      </c>
      <c r="AB780" s="1" t="s">
        <v>7832</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7833</v>
      </c>
      <c r="AP780" s="1" t="s">
        <v>74</v>
      </c>
      <c r="AQ780" s="1" t="s">
        <v>74</v>
      </c>
      <c r="AR780" s="1" t="s">
        <v>74</v>
      </c>
      <c r="AS780" s="1" t="s">
        <v>74</v>
      </c>
      <c r="AT780" s="1" t="s">
        <v>408</v>
      </c>
      <c r="AU780" s="1">
        <v>2001.0</v>
      </c>
      <c r="AV780" s="1">
        <v>18.0</v>
      </c>
      <c r="AW780" s="1">
        <v>1.0</v>
      </c>
      <c r="AX780" s="1" t="s">
        <v>74</v>
      </c>
      <c r="AY780" s="1" t="s">
        <v>74</v>
      </c>
      <c r="AZ780" s="1" t="s">
        <v>74</v>
      </c>
      <c r="BA780" s="1" t="s">
        <v>74</v>
      </c>
      <c r="BB780" s="1">
        <v>113.0</v>
      </c>
      <c r="BC780" s="1">
        <v>120.0</v>
      </c>
      <c r="BD780" s="1" t="s">
        <v>74</v>
      </c>
      <c r="BE780" s="1" t="s">
        <v>7834</v>
      </c>
      <c r="BF780" s="2" t="str">
        <f>HYPERLINK("http://dx.doi.org/10.1590/S0104-66322001000100010","http://dx.doi.org/10.1590/S0104-66322001000100010")</f>
        <v>http://dx.doi.org/10.1590/S0104-66322001000100010</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7835</v>
      </c>
      <c r="BT780" s="1" t="str">
        <f>HYPERLINK("https%3A%2F%2Fwww.webofscience.com%2Fwos%2Fwoscc%2Ffull-record%2FWOS:000168091800010","View Full Record in Web of Science")</f>
        <v>View Full Record in Web of Science</v>
      </c>
    </row>
    <row r="781" ht="12.75" customHeight="1">
      <c r="A781" s="1" t="s">
        <v>72</v>
      </c>
      <c r="B781" s="1" t="s">
        <v>7836</v>
      </c>
      <c r="C781" s="1" t="s">
        <v>74</v>
      </c>
      <c r="D781" s="1" t="s">
        <v>74</v>
      </c>
      <c r="E781" s="1" t="s">
        <v>74</v>
      </c>
      <c r="F781" s="1" t="s">
        <v>7836</v>
      </c>
      <c r="G781" s="1" t="s">
        <v>74</v>
      </c>
      <c r="H781" s="1" t="s">
        <v>74</v>
      </c>
      <c r="I781" s="1" t="s">
        <v>7837</v>
      </c>
      <c r="J781" s="1" t="s">
        <v>4604</v>
      </c>
      <c r="K781" s="1" t="s">
        <v>74</v>
      </c>
      <c r="L781" s="1" t="s">
        <v>74</v>
      </c>
      <c r="M781" s="1" t="s">
        <v>74</v>
      </c>
      <c r="N781" s="1" t="s">
        <v>74</v>
      </c>
      <c r="O781" s="1" t="s">
        <v>74</v>
      </c>
      <c r="P781" s="1" t="s">
        <v>74</v>
      </c>
      <c r="Q781" s="1" t="s">
        <v>74</v>
      </c>
      <c r="R781" s="1" t="s">
        <v>74</v>
      </c>
      <c r="S781" s="1" t="s">
        <v>74</v>
      </c>
      <c r="T781" s="1" t="s">
        <v>74</v>
      </c>
      <c r="U781" s="1" t="s">
        <v>74</v>
      </c>
      <c r="V781" s="1" t="s">
        <v>7838</v>
      </c>
      <c r="W781" s="1" t="s">
        <v>74</v>
      </c>
      <c r="X781" s="1" t="s">
        <v>74</v>
      </c>
      <c r="Y781" s="1" t="s">
        <v>74</v>
      </c>
      <c r="Z781" s="1" t="s">
        <v>74</v>
      </c>
      <c r="AA781" s="1" t="s">
        <v>7839</v>
      </c>
      <c r="AB781" s="1" t="s">
        <v>3682</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4607</v>
      </c>
      <c r="AP781" s="1" t="s">
        <v>74</v>
      </c>
      <c r="AQ781" s="1" t="s">
        <v>74</v>
      </c>
      <c r="AR781" s="1" t="s">
        <v>74</v>
      </c>
      <c r="AS781" s="1" t="s">
        <v>74</v>
      </c>
      <c r="AT781" s="1" t="s">
        <v>74</v>
      </c>
      <c r="AU781" s="1">
        <v>2001.0</v>
      </c>
      <c r="AV781" s="1">
        <v>31.0</v>
      </c>
      <c r="AW781" s="1">
        <v>4.0</v>
      </c>
      <c r="AX781" s="1" t="s">
        <v>74</v>
      </c>
      <c r="AY781" s="1" t="s">
        <v>74</v>
      </c>
      <c r="AZ781" s="1" t="s">
        <v>74</v>
      </c>
      <c r="BA781" s="1" t="s">
        <v>74</v>
      </c>
      <c r="BB781" s="1">
        <v>607.0</v>
      </c>
      <c r="BC781" s="1">
        <v>613.0</v>
      </c>
      <c r="BD781" s="1" t="s">
        <v>74</v>
      </c>
      <c r="BE781" s="1" t="s">
        <v>7840</v>
      </c>
      <c r="BF781" s="2" t="str">
        <f>HYPERLINK("http://dx.doi.org/10.1081/SCC-100000589","http://dx.doi.org/10.1081/SCC-100000589")</f>
        <v>http://dx.doi.org/10.1081/SCC-100000589</v>
      </c>
      <c r="BG781" s="1" t="s">
        <v>74</v>
      </c>
      <c r="BH781" s="1" t="s">
        <v>74</v>
      </c>
      <c r="BI781" s="1" t="s">
        <v>74</v>
      </c>
      <c r="BJ781" s="1" t="s">
        <v>74</v>
      </c>
      <c r="BK781" s="1" t="s">
        <v>74</v>
      </c>
      <c r="BL781" s="1" t="s">
        <v>74</v>
      </c>
      <c r="BM781" s="1" t="s">
        <v>74</v>
      </c>
      <c r="BN781" s="1" t="s">
        <v>74</v>
      </c>
      <c r="BO781" s="1" t="s">
        <v>74</v>
      </c>
      <c r="BP781" s="1" t="s">
        <v>74</v>
      </c>
      <c r="BQ781" s="1" t="s">
        <v>74</v>
      </c>
      <c r="BR781" s="1" t="s">
        <v>74</v>
      </c>
      <c r="BS781" s="1" t="s">
        <v>7841</v>
      </c>
      <c r="BT781" s="1" t="str">
        <f>HYPERLINK("https%3A%2F%2Fwww.webofscience.com%2Fwos%2Fwoscc%2Ffull-record%2FWOS:000170044800018","View Full Record in Web of Science")</f>
        <v>View Full Record in Web of Science</v>
      </c>
    </row>
    <row r="782" ht="12.75" customHeight="1">
      <c r="A782" s="1" t="s">
        <v>72</v>
      </c>
      <c r="B782" s="1" t="s">
        <v>7842</v>
      </c>
      <c r="C782" s="1" t="s">
        <v>74</v>
      </c>
      <c r="D782" s="1" t="s">
        <v>74</v>
      </c>
      <c r="E782" s="1" t="s">
        <v>74</v>
      </c>
      <c r="F782" s="1" t="s">
        <v>7842</v>
      </c>
      <c r="G782" s="1" t="s">
        <v>74</v>
      </c>
      <c r="H782" s="1" t="s">
        <v>7843</v>
      </c>
      <c r="I782" s="1" t="s">
        <v>7844</v>
      </c>
      <c r="J782" s="1" t="s">
        <v>7845</v>
      </c>
      <c r="K782" s="1" t="s">
        <v>74</v>
      </c>
      <c r="L782" s="1" t="s">
        <v>74</v>
      </c>
      <c r="M782" s="1" t="s">
        <v>74</v>
      </c>
      <c r="N782" s="1" t="s">
        <v>74</v>
      </c>
      <c r="O782" s="1" t="s">
        <v>74</v>
      </c>
      <c r="P782" s="1" t="s">
        <v>74</v>
      </c>
      <c r="Q782" s="1" t="s">
        <v>74</v>
      </c>
      <c r="R782" s="1" t="s">
        <v>74</v>
      </c>
      <c r="S782" s="1" t="s">
        <v>74</v>
      </c>
      <c r="T782" s="1" t="s">
        <v>74</v>
      </c>
      <c r="U782" s="1" t="s">
        <v>74</v>
      </c>
      <c r="V782" s="1" t="s">
        <v>7846</v>
      </c>
      <c r="W782" s="1" t="s">
        <v>74</v>
      </c>
      <c r="X782" s="1" t="s">
        <v>74</v>
      </c>
      <c r="Y782" s="1" t="s">
        <v>74</v>
      </c>
      <c r="Z782" s="1" t="s">
        <v>74</v>
      </c>
      <c r="AA782" s="1" t="s">
        <v>7847</v>
      </c>
      <c r="AB782" s="1" t="s">
        <v>7848</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7849</v>
      </c>
      <c r="AP782" s="1" t="s">
        <v>74</v>
      </c>
      <c r="AQ782" s="1" t="s">
        <v>74</v>
      </c>
      <c r="AR782" s="1" t="s">
        <v>74</v>
      </c>
      <c r="AS782" s="1" t="s">
        <v>74</v>
      </c>
      <c r="AT782" s="1" t="s">
        <v>164</v>
      </c>
      <c r="AU782" s="1">
        <v>2000.0</v>
      </c>
      <c r="AV782" s="1">
        <v>30.0</v>
      </c>
      <c r="AW782" s="1">
        <v>6.0</v>
      </c>
      <c r="AX782" s="1" t="s">
        <v>74</v>
      </c>
      <c r="AY782" s="1" t="s">
        <v>74</v>
      </c>
      <c r="AZ782" s="1" t="s">
        <v>74</v>
      </c>
      <c r="BA782" s="1" t="s">
        <v>74</v>
      </c>
      <c r="BB782" s="1">
        <v>439.0</v>
      </c>
      <c r="BC782" s="1">
        <v>444.0</v>
      </c>
      <c r="BD782" s="1" t="s">
        <v>74</v>
      </c>
      <c r="BE782" s="1" t="s">
        <v>7850</v>
      </c>
      <c r="BF782" s="2" t="str">
        <f>HYPERLINK("http://dx.doi.org/10.1002/1099-0496(200012)30:6&lt;439::AID-PPUL1&gt;3.3.CO;2-5","http://dx.doi.org/10.1002/1099-0496(200012)30:6&lt;439::AID-PPUL1&gt;3.3.CO;2-5")</f>
        <v>http://dx.doi.org/10.1002/1099-0496(200012)30:6&lt;439::AID-PPUL1&gt;3.3.CO;2-5</v>
      </c>
      <c r="BG782" s="1" t="s">
        <v>74</v>
      </c>
      <c r="BH782" s="1" t="s">
        <v>74</v>
      </c>
      <c r="BI782" s="1" t="s">
        <v>74</v>
      </c>
      <c r="BJ782" s="1" t="s">
        <v>74</v>
      </c>
      <c r="BK782" s="1" t="s">
        <v>74</v>
      </c>
      <c r="BL782" s="1" t="s">
        <v>74</v>
      </c>
      <c r="BM782" s="1" t="s">
        <v>74</v>
      </c>
      <c r="BN782" s="1">
        <v>1.1109054E7</v>
      </c>
      <c r="BO782" s="1" t="s">
        <v>74</v>
      </c>
      <c r="BP782" s="1" t="s">
        <v>74</v>
      </c>
      <c r="BQ782" s="1" t="s">
        <v>74</v>
      </c>
      <c r="BR782" s="1" t="s">
        <v>74</v>
      </c>
      <c r="BS782" s="1" t="s">
        <v>7851</v>
      </c>
      <c r="BT782" s="1" t="str">
        <f>HYPERLINK("https%3A%2F%2Fwww.webofscience.com%2Fwos%2Fwoscc%2Ffull-record%2FWOS:000165680900001","View Full Record in Web of Science")</f>
        <v>View Full Record in Web of Science</v>
      </c>
    </row>
    <row r="783" ht="12.75" customHeight="1">
      <c r="A783" s="1" t="s">
        <v>72</v>
      </c>
      <c r="B783" s="1" t="s">
        <v>7852</v>
      </c>
      <c r="C783" s="1" t="s">
        <v>74</v>
      </c>
      <c r="D783" s="1" t="s">
        <v>74</v>
      </c>
      <c r="E783" s="1" t="s">
        <v>74</v>
      </c>
      <c r="F783" s="1" t="s">
        <v>7852</v>
      </c>
      <c r="G783" s="1" t="s">
        <v>74</v>
      </c>
      <c r="H783" s="1" t="s">
        <v>74</v>
      </c>
      <c r="I783" s="1" t="s">
        <v>7853</v>
      </c>
      <c r="J783" s="1" t="s">
        <v>7854</v>
      </c>
      <c r="K783" s="1" t="s">
        <v>74</v>
      </c>
      <c r="L783" s="1" t="s">
        <v>74</v>
      </c>
      <c r="M783" s="1" t="s">
        <v>74</v>
      </c>
      <c r="N783" s="1" t="s">
        <v>74</v>
      </c>
      <c r="O783" s="1" t="s">
        <v>7855</v>
      </c>
      <c r="P783" s="1" t="s">
        <v>7856</v>
      </c>
      <c r="Q783" s="1" t="s">
        <v>7857</v>
      </c>
      <c r="R783" s="1" t="s">
        <v>7858</v>
      </c>
      <c r="S783" s="1" t="s">
        <v>74</v>
      </c>
      <c r="T783" s="1" t="s">
        <v>74</v>
      </c>
      <c r="U783" s="1" t="s">
        <v>74</v>
      </c>
      <c r="V783" s="1" t="s">
        <v>7859</v>
      </c>
      <c r="W783" s="1" t="s">
        <v>74</v>
      </c>
      <c r="X783" s="1" t="s">
        <v>74</v>
      </c>
      <c r="Y783" s="1" t="s">
        <v>74</v>
      </c>
      <c r="Z783" s="1" t="s">
        <v>74</v>
      </c>
      <c r="AA783" s="1" t="s">
        <v>7860</v>
      </c>
      <c r="AB783" s="1" t="s">
        <v>7861</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7862</v>
      </c>
      <c r="AP783" s="1" t="s">
        <v>74</v>
      </c>
      <c r="AQ783" s="1" t="s">
        <v>74</v>
      </c>
      <c r="AR783" s="1" t="s">
        <v>74</v>
      </c>
      <c r="AS783" s="1" t="s">
        <v>74</v>
      </c>
      <c r="AT783" s="1" t="s">
        <v>82</v>
      </c>
      <c r="AU783" s="1">
        <v>2000.0</v>
      </c>
      <c r="AV783" s="1">
        <v>101.0</v>
      </c>
      <c r="AW783" s="1" t="s">
        <v>409</v>
      </c>
      <c r="AX783" s="1" t="s">
        <v>74</v>
      </c>
      <c r="AY783" s="1" t="s">
        <v>74</v>
      </c>
      <c r="AZ783" s="1" t="s">
        <v>74</v>
      </c>
      <c r="BA783" s="1" t="s">
        <v>74</v>
      </c>
      <c r="BB783" s="1">
        <v>553.0</v>
      </c>
      <c r="BC783" s="1">
        <v>565.0</v>
      </c>
      <c r="BD783" s="1" t="s">
        <v>74</v>
      </c>
      <c r="BE783" s="1" t="s">
        <v>7863</v>
      </c>
      <c r="BF783" s="2" t="str">
        <f>HYPERLINK("http://dx.doi.org/10.1023/A:1026411510531","http://dx.doi.org/10.1023/A:1026411510531")</f>
        <v>http://dx.doi.org/10.1023/A:1026411510531</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7864</v>
      </c>
      <c r="BT783" s="1" t="str">
        <f>HYPERLINK("https%3A%2F%2Fwww.webofscience.com%2Fwos%2Fwoscc%2Ffull-record%2FWOS:000165958100034","View Full Record in Web of Science")</f>
        <v>View Full Record in Web of Science</v>
      </c>
    </row>
    <row r="784" ht="12.75" customHeight="1">
      <c r="A784" s="1" t="s">
        <v>72</v>
      </c>
      <c r="B784" s="1" t="s">
        <v>7865</v>
      </c>
      <c r="C784" s="1" t="s">
        <v>74</v>
      </c>
      <c r="D784" s="1" t="s">
        <v>74</v>
      </c>
      <c r="E784" s="1" t="s">
        <v>74</v>
      </c>
      <c r="F784" s="1" t="s">
        <v>7865</v>
      </c>
      <c r="G784" s="1" t="s">
        <v>74</v>
      </c>
      <c r="H784" s="1" t="s">
        <v>74</v>
      </c>
      <c r="I784" s="1" t="s">
        <v>7866</v>
      </c>
      <c r="J784" s="1" t="s">
        <v>7867</v>
      </c>
      <c r="K784" s="1" t="s">
        <v>74</v>
      </c>
      <c r="L784" s="1" t="s">
        <v>74</v>
      </c>
      <c r="M784" s="1" t="s">
        <v>74</v>
      </c>
      <c r="N784" s="1" t="s">
        <v>74</v>
      </c>
      <c r="O784" s="1" t="s">
        <v>74</v>
      </c>
      <c r="P784" s="1" t="s">
        <v>74</v>
      </c>
      <c r="Q784" s="1" t="s">
        <v>74</v>
      </c>
      <c r="R784" s="1" t="s">
        <v>74</v>
      </c>
      <c r="S784" s="1" t="s">
        <v>74</v>
      </c>
      <c r="T784" s="1" t="s">
        <v>74</v>
      </c>
      <c r="U784" s="1" t="s">
        <v>74</v>
      </c>
      <c r="V784" s="1" t="s">
        <v>7868</v>
      </c>
      <c r="W784" s="1" t="s">
        <v>74</v>
      </c>
      <c r="X784" s="1" t="s">
        <v>74</v>
      </c>
      <c r="Y784" s="1" t="s">
        <v>74</v>
      </c>
      <c r="Z784" s="1" t="s">
        <v>74</v>
      </c>
      <c r="AA784" s="1" t="s">
        <v>2085</v>
      </c>
      <c r="AB784" s="1" t="s">
        <v>2086</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7869</v>
      </c>
      <c r="AP784" s="1" t="s">
        <v>74</v>
      </c>
      <c r="AQ784" s="1" t="s">
        <v>74</v>
      </c>
      <c r="AR784" s="1" t="s">
        <v>74</v>
      </c>
      <c r="AS784" s="1" t="s">
        <v>74</v>
      </c>
      <c r="AT784" s="1" t="s">
        <v>177</v>
      </c>
      <c r="AU784" s="1">
        <v>1998.0</v>
      </c>
      <c r="AV784" s="1">
        <v>128.0</v>
      </c>
      <c r="AW784" s="1">
        <v>7.0</v>
      </c>
      <c r="AX784" s="1" t="s">
        <v>74</v>
      </c>
      <c r="AY784" s="1" t="s">
        <v>74</v>
      </c>
      <c r="AZ784" s="1" t="s">
        <v>74</v>
      </c>
      <c r="BA784" s="1" t="s">
        <v>74</v>
      </c>
      <c r="BB784" s="1">
        <v>1224.0</v>
      </c>
      <c r="BC784" s="1">
        <v>1231.0</v>
      </c>
      <c r="BD784" s="1" t="s">
        <v>74</v>
      </c>
      <c r="BE784" s="1" t="s">
        <v>7870</v>
      </c>
      <c r="BF784" s="2" t="str">
        <f>HYPERLINK("http://dx.doi.org/10.1093/jn/128.7.1224","http://dx.doi.org/10.1093/jn/128.7.1224")</f>
        <v>http://dx.doi.org/10.1093/jn/128.7.1224</v>
      </c>
      <c r="BG784" s="1" t="s">
        <v>74</v>
      </c>
      <c r="BH784" s="1" t="s">
        <v>74</v>
      </c>
      <c r="BI784" s="1" t="s">
        <v>74</v>
      </c>
      <c r="BJ784" s="1" t="s">
        <v>74</v>
      </c>
      <c r="BK784" s="1" t="s">
        <v>74</v>
      </c>
      <c r="BL784" s="1" t="s">
        <v>74</v>
      </c>
      <c r="BM784" s="1" t="s">
        <v>74</v>
      </c>
      <c r="BN784" s="1">
        <v>9649610.0</v>
      </c>
      <c r="BO784" s="1" t="s">
        <v>74</v>
      </c>
      <c r="BP784" s="1" t="s">
        <v>74</v>
      </c>
      <c r="BQ784" s="1" t="s">
        <v>74</v>
      </c>
      <c r="BR784" s="1" t="s">
        <v>74</v>
      </c>
      <c r="BS784" s="1" t="s">
        <v>7871</v>
      </c>
      <c r="BT784" s="1" t="str">
        <f>HYPERLINK("https%3A%2F%2Fwww.webofscience.com%2Fwos%2Fwoscc%2Ffull-record%2FWOS:000074605600025","View Full Record in Web of Science")</f>
        <v>View Full Record in Web of Science</v>
      </c>
    </row>
    <row r="785" ht="12.75" customHeight="1">
      <c r="A785" s="1" t="s">
        <v>72</v>
      </c>
      <c r="B785" s="1" t="s">
        <v>7872</v>
      </c>
      <c r="C785" s="1" t="s">
        <v>74</v>
      </c>
      <c r="D785" s="1" t="s">
        <v>74</v>
      </c>
      <c r="E785" s="1" t="s">
        <v>74</v>
      </c>
      <c r="F785" s="1" t="s">
        <v>7872</v>
      </c>
      <c r="G785" s="1" t="s">
        <v>74</v>
      </c>
      <c r="H785" s="1" t="s">
        <v>74</v>
      </c>
      <c r="I785" s="1" t="s">
        <v>7873</v>
      </c>
      <c r="J785" s="1" t="s">
        <v>7874</v>
      </c>
      <c r="K785" s="1" t="s">
        <v>74</v>
      </c>
      <c r="L785" s="1" t="s">
        <v>74</v>
      </c>
      <c r="M785" s="1" t="s">
        <v>74</v>
      </c>
      <c r="N785" s="1" t="s">
        <v>74</v>
      </c>
      <c r="O785" s="1" t="s">
        <v>74</v>
      </c>
      <c r="P785" s="1" t="s">
        <v>74</v>
      </c>
      <c r="Q785" s="1" t="s">
        <v>74</v>
      </c>
      <c r="R785" s="1" t="s">
        <v>74</v>
      </c>
      <c r="S785" s="1" t="s">
        <v>74</v>
      </c>
      <c r="T785" s="1" t="s">
        <v>74</v>
      </c>
      <c r="U785" s="1" t="s">
        <v>74</v>
      </c>
      <c r="V785" s="1" t="s">
        <v>7875</v>
      </c>
      <c r="W785" s="1" t="s">
        <v>74</v>
      </c>
      <c r="X785" s="1" t="s">
        <v>74</v>
      </c>
      <c r="Y785" s="1" t="s">
        <v>74</v>
      </c>
      <c r="Z785" s="1" t="s">
        <v>74</v>
      </c>
      <c r="AA785" s="1" t="s">
        <v>74</v>
      </c>
      <c r="AB785" s="1" t="s">
        <v>74</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7876</v>
      </c>
      <c r="AP785" s="1" t="s">
        <v>74</v>
      </c>
      <c r="AQ785" s="1" t="s">
        <v>74</v>
      </c>
      <c r="AR785" s="1" t="s">
        <v>74</v>
      </c>
      <c r="AS785" s="1" t="s">
        <v>74</v>
      </c>
      <c r="AT785" s="1" t="s">
        <v>1106</v>
      </c>
      <c r="AU785" s="1">
        <v>1995.0</v>
      </c>
      <c r="AV785" s="1">
        <v>104.0</v>
      </c>
      <c r="AW785" s="1">
        <v>1.0</v>
      </c>
      <c r="AX785" s="1" t="s">
        <v>74</v>
      </c>
      <c r="AY785" s="1" t="s">
        <v>74</v>
      </c>
      <c r="AZ785" s="1" t="s">
        <v>74</v>
      </c>
      <c r="BA785" s="1" t="s">
        <v>74</v>
      </c>
      <c r="BB785" s="1">
        <v>19.0</v>
      </c>
      <c r="BC785" s="1">
        <v>25.0</v>
      </c>
      <c r="BD785" s="1" t="s">
        <v>74</v>
      </c>
      <c r="BE785" s="1" t="s">
        <v>74</v>
      </c>
      <c r="BF785" s="1" t="s">
        <v>74</v>
      </c>
      <c r="BG785" s="1" t="s">
        <v>74</v>
      </c>
      <c r="BH785" s="1" t="s">
        <v>74</v>
      </c>
      <c r="BI785" s="1" t="s">
        <v>74</v>
      </c>
      <c r="BJ785" s="1" t="s">
        <v>74</v>
      </c>
      <c r="BK785" s="1" t="s">
        <v>74</v>
      </c>
      <c r="BL785" s="1" t="s">
        <v>74</v>
      </c>
      <c r="BM785" s="1" t="s">
        <v>74</v>
      </c>
      <c r="BN785" s="1" t="s">
        <v>74</v>
      </c>
      <c r="BO785" s="1" t="s">
        <v>74</v>
      </c>
      <c r="BP785" s="1" t="s">
        <v>74</v>
      </c>
      <c r="BQ785" s="1" t="s">
        <v>74</v>
      </c>
      <c r="BR785" s="1" t="s">
        <v>74</v>
      </c>
      <c r="BS785" s="1" t="s">
        <v>7877</v>
      </c>
      <c r="BT785" s="1" t="str">
        <f>HYPERLINK("https%3A%2F%2Fwww.webofscience.com%2Fwos%2Fwoscc%2Ffull-record%2FWOS:A1995QG66900004","View Full Record in Web of Science")</f>
        <v>View Full Record in Web of Science</v>
      </c>
    </row>
    <row r="786" ht="12.75" customHeight="1">
      <c r="A786" s="1" t="s">
        <v>72</v>
      </c>
      <c r="B786" s="1" t="s">
        <v>7878</v>
      </c>
      <c r="C786" s="1" t="s">
        <v>74</v>
      </c>
      <c r="D786" s="1" t="s">
        <v>74</v>
      </c>
      <c r="E786" s="1" t="s">
        <v>74</v>
      </c>
      <c r="F786" s="1" t="s">
        <v>7878</v>
      </c>
      <c r="G786" s="1" t="s">
        <v>74</v>
      </c>
      <c r="H786" s="1" t="s">
        <v>74</v>
      </c>
      <c r="I786" s="1" t="s">
        <v>7879</v>
      </c>
      <c r="J786" s="1" t="s">
        <v>855</v>
      </c>
      <c r="K786" s="1" t="s">
        <v>74</v>
      </c>
      <c r="L786" s="1" t="s">
        <v>74</v>
      </c>
      <c r="M786" s="1" t="s">
        <v>74</v>
      </c>
      <c r="N786" s="1" t="s">
        <v>74</v>
      </c>
      <c r="O786" s="1" t="s">
        <v>74</v>
      </c>
      <c r="P786" s="1" t="s">
        <v>74</v>
      </c>
      <c r="Q786" s="1" t="s">
        <v>74</v>
      </c>
      <c r="R786" s="1" t="s">
        <v>74</v>
      </c>
      <c r="S786" s="1" t="s">
        <v>74</v>
      </c>
      <c r="T786" s="1" t="s">
        <v>74</v>
      </c>
      <c r="U786" s="1" t="s">
        <v>74</v>
      </c>
      <c r="V786" s="1" t="s">
        <v>7880</v>
      </c>
      <c r="W786" s="1" t="s">
        <v>74</v>
      </c>
      <c r="X786" s="1" t="s">
        <v>74</v>
      </c>
      <c r="Y786" s="1" t="s">
        <v>74</v>
      </c>
      <c r="Z786" s="1" t="s">
        <v>74</v>
      </c>
      <c r="AA786" s="1" t="s">
        <v>74</v>
      </c>
      <c r="AB786" s="1" t="s">
        <v>74</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857</v>
      </c>
      <c r="AP786" s="1" t="s">
        <v>858</v>
      </c>
      <c r="AQ786" s="1" t="s">
        <v>74</v>
      </c>
      <c r="AR786" s="1" t="s">
        <v>74</v>
      </c>
      <c r="AS786" s="1" t="s">
        <v>74</v>
      </c>
      <c r="AT786" s="1" t="s">
        <v>74</v>
      </c>
      <c r="AU786" s="1">
        <v>1987.0</v>
      </c>
      <c r="AV786" s="1">
        <v>16.0</v>
      </c>
      <c r="AW786" s="1">
        <v>3.0</v>
      </c>
      <c r="AX786" s="1" t="s">
        <v>74</v>
      </c>
      <c r="AY786" s="1" t="s">
        <v>74</v>
      </c>
      <c r="AZ786" s="1" t="s">
        <v>74</v>
      </c>
      <c r="BA786" s="1" t="s">
        <v>74</v>
      </c>
      <c r="BB786" s="1">
        <v>183.0</v>
      </c>
      <c r="BC786" s="1">
        <v>185.0</v>
      </c>
      <c r="BD786" s="1" t="s">
        <v>74</v>
      </c>
      <c r="BE786" s="1" t="s">
        <v>7881</v>
      </c>
      <c r="BF786" s="2" t="str">
        <f>HYPERLINK("http://dx.doi.org/10.1108/eb005767","http://dx.doi.org/10.1108/eb005767")</f>
        <v>http://dx.doi.org/10.1108/eb005767</v>
      </c>
      <c r="BG786" s="1" t="s">
        <v>74</v>
      </c>
      <c r="BH786" s="1" t="s">
        <v>74</v>
      </c>
      <c r="BI786" s="1" t="s">
        <v>74</v>
      </c>
      <c r="BJ786" s="1" t="s">
        <v>74</v>
      </c>
      <c r="BK786" s="1" t="s">
        <v>74</v>
      </c>
      <c r="BL786" s="1" t="s">
        <v>74</v>
      </c>
      <c r="BM786" s="1" t="s">
        <v>74</v>
      </c>
      <c r="BN786" s="1" t="s">
        <v>74</v>
      </c>
      <c r="BO786" s="1" t="s">
        <v>74</v>
      </c>
      <c r="BP786" s="1" t="s">
        <v>74</v>
      </c>
      <c r="BQ786" s="1" t="s">
        <v>74</v>
      </c>
      <c r="BR786" s="1" t="s">
        <v>74</v>
      </c>
      <c r="BS786" s="1" t="s">
        <v>7882</v>
      </c>
      <c r="BT786" s="1" t="str">
        <f>HYPERLINK("https%3A%2F%2Fwww.webofscience.com%2Fwos%2Fwoscc%2Ffull-record%2FWOS:A1987J356700004","View Full Record in Web of Science")</f>
        <v>View Full Record in Web of Science</v>
      </c>
    </row>
    <row r="787" ht="12.75" customHeight="1">
      <c r="A787" s="1" t="s">
        <v>72</v>
      </c>
      <c r="B787" s="1" t="s">
        <v>7883</v>
      </c>
      <c r="C787" s="1" t="s">
        <v>74</v>
      </c>
      <c r="D787" s="1" t="s">
        <v>74</v>
      </c>
      <c r="E787" s="1" t="s">
        <v>74</v>
      </c>
      <c r="F787" s="1" t="s">
        <v>7884</v>
      </c>
      <c r="G787" s="1" t="s">
        <v>74</v>
      </c>
      <c r="H787" s="1" t="s">
        <v>74</v>
      </c>
      <c r="I787" s="1" t="s">
        <v>7885</v>
      </c>
      <c r="J787" s="1" t="s">
        <v>7886</v>
      </c>
      <c r="K787" s="1" t="s">
        <v>74</v>
      </c>
      <c r="L787" s="1" t="s">
        <v>74</v>
      </c>
      <c r="M787" s="1" t="s">
        <v>74</v>
      </c>
      <c r="N787" s="1" t="s">
        <v>74</v>
      </c>
      <c r="O787" s="1" t="s">
        <v>74</v>
      </c>
      <c r="P787" s="1" t="s">
        <v>74</v>
      </c>
      <c r="Q787" s="1" t="s">
        <v>74</v>
      </c>
      <c r="R787" s="1" t="s">
        <v>74</v>
      </c>
      <c r="S787" s="1" t="s">
        <v>74</v>
      </c>
      <c r="T787" s="1" t="s">
        <v>74</v>
      </c>
      <c r="U787" s="1" t="s">
        <v>74</v>
      </c>
      <c r="V787" s="1" t="s">
        <v>7887</v>
      </c>
      <c r="W787" s="1" t="s">
        <v>74</v>
      </c>
      <c r="X787" s="1" t="s">
        <v>74</v>
      </c>
      <c r="Y787" s="1" t="s">
        <v>74</v>
      </c>
      <c r="Z787" s="1" t="s">
        <v>74</v>
      </c>
      <c r="AA787" s="1" t="s">
        <v>7888</v>
      </c>
      <c r="AB787" s="1" t="s">
        <v>7889</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7890</v>
      </c>
      <c r="AP787" s="1" t="s">
        <v>7891</v>
      </c>
      <c r="AQ787" s="1" t="s">
        <v>74</v>
      </c>
      <c r="AR787" s="1" t="s">
        <v>74</v>
      </c>
      <c r="AS787" s="1" t="s">
        <v>74</v>
      </c>
      <c r="AT787" s="1" t="s">
        <v>204</v>
      </c>
      <c r="AU787" s="1">
        <v>2025.0</v>
      </c>
      <c r="AV787" s="1">
        <v>1322.0</v>
      </c>
      <c r="AW787" s="1" t="s">
        <v>74</v>
      </c>
      <c r="AX787" s="1">
        <v>4.0</v>
      </c>
      <c r="AY787" s="1" t="s">
        <v>74</v>
      </c>
      <c r="AZ787" s="1" t="s">
        <v>74</v>
      </c>
      <c r="BA787" s="1" t="s">
        <v>74</v>
      </c>
      <c r="BB787" s="1" t="s">
        <v>74</v>
      </c>
      <c r="BC787" s="1" t="s">
        <v>74</v>
      </c>
      <c r="BD787" s="1">
        <v>140612.0</v>
      </c>
      <c r="BE787" s="1" t="s">
        <v>7892</v>
      </c>
      <c r="BF787" s="2" t="str">
        <f>HYPERLINK("http://dx.doi.org/10.1016/j.molstruc.2024.140612","http://dx.doi.org/10.1016/j.molstruc.2024.140612")</f>
        <v>http://dx.doi.org/10.1016/j.molstruc.2024.140612</v>
      </c>
      <c r="BG787" s="1" t="s">
        <v>74</v>
      </c>
      <c r="BH787" s="1" t="s">
        <v>1120</v>
      </c>
      <c r="BI787" s="1" t="s">
        <v>74</v>
      </c>
      <c r="BJ787" s="1" t="s">
        <v>74</v>
      </c>
      <c r="BK787" s="1" t="s">
        <v>74</v>
      </c>
      <c r="BL787" s="1" t="s">
        <v>74</v>
      </c>
      <c r="BM787" s="1" t="s">
        <v>74</v>
      </c>
      <c r="BN787" s="1" t="s">
        <v>74</v>
      </c>
      <c r="BO787" s="1" t="s">
        <v>74</v>
      </c>
      <c r="BP787" s="1" t="s">
        <v>74</v>
      </c>
      <c r="BQ787" s="1" t="s">
        <v>74</v>
      </c>
      <c r="BR787" s="1" t="s">
        <v>74</v>
      </c>
      <c r="BS787" s="1" t="s">
        <v>7893</v>
      </c>
      <c r="BT787" s="1" t="str">
        <f>HYPERLINK("https%3A%2F%2Fwww.webofscience.com%2Fwos%2Fwoscc%2Ffull-record%2FWOS:001359351700001","View Full Record in Web of Science")</f>
        <v>View Full Record in Web of Science</v>
      </c>
    </row>
    <row r="788" ht="12.75" customHeight="1">
      <c r="A788" s="1" t="s">
        <v>72</v>
      </c>
      <c r="B788" s="1" t="s">
        <v>7894</v>
      </c>
      <c r="C788" s="1" t="s">
        <v>74</v>
      </c>
      <c r="D788" s="1" t="s">
        <v>74</v>
      </c>
      <c r="E788" s="1" t="s">
        <v>74</v>
      </c>
      <c r="F788" s="1" t="s">
        <v>7895</v>
      </c>
      <c r="G788" s="1" t="s">
        <v>74</v>
      </c>
      <c r="H788" s="1" t="s">
        <v>74</v>
      </c>
      <c r="I788" s="1" t="s">
        <v>7896</v>
      </c>
      <c r="J788" s="1" t="s">
        <v>7897</v>
      </c>
      <c r="K788" s="1" t="s">
        <v>74</v>
      </c>
      <c r="L788" s="1" t="s">
        <v>74</v>
      </c>
      <c r="M788" s="1" t="s">
        <v>74</v>
      </c>
      <c r="N788" s="1" t="s">
        <v>74</v>
      </c>
      <c r="O788" s="1" t="s">
        <v>74</v>
      </c>
      <c r="P788" s="1" t="s">
        <v>74</v>
      </c>
      <c r="Q788" s="1" t="s">
        <v>74</v>
      </c>
      <c r="R788" s="1" t="s">
        <v>74</v>
      </c>
      <c r="S788" s="1" t="s">
        <v>74</v>
      </c>
      <c r="T788" s="1" t="s">
        <v>74</v>
      </c>
      <c r="U788" s="1" t="s">
        <v>74</v>
      </c>
      <c r="V788" s="1" t="s">
        <v>7898</v>
      </c>
      <c r="W788" s="1" t="s">
        <v>74</v>
      </c>
      <c r="X788" s="1" t="s">
        <v>74</v>
      </c>
      <c r="Y788" s="1" t="s">
        <v>74</v>
      </c>
      <c r="Z788" s="1" t="s">
        <v>74</v>
      </c>
      <c r="AA788" s="1" t="s">
        <v>7899</v>
      </c>
      <c r="AB788" s="1" t="s">
        <v>7900</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74</v>
      </c>
      <c r="AP788" s="1" t="s">
        <v>7901</v>
      </c>
      <c r="AQ788" s="1" t="s">
        <v>74</v>
      </c>
      <c r="AR788" s="1" t="s">
        <v>74</v>
      </c>
      <c r="AS788" s="1" t="s">
        <v>74</v>
      </c>
      <c r="AT788" s="1" t="s">
        <v>7902</v>
      </c>
      <c r="AU788" s="1">
        <v>2024.0</v>
      </c>
      <c r="AV788" s="1">
        <v>24.0</v>
      </c>
      <c r="AW788" s="1">
        <v>1.0</v>
      </c>
      <c r="AX788" s="1" t="s">
        <v>74</v>
      </c>
      <c r="AY788" s="1" t="s">
        <v>74</v>
      </c>
      <c r="AZ788" s="1" t="s">
        <v>74</v>
      </c>
      <c r="BA788" s="1" t="s">
        <v>74</v>
      </c>
      <c r="BB788" s="1" t="s">
        <v>74</v>
      </c>
      <c r="BC788" s="1" t="s">
        <v>74</v>
      </c>
      <c r="BD788" s="1">
        <v>596.0</v>
      </c>
      <c r="BE788" s="1" t="s">
        <v>7903</v>
      </c>
      <c r="BF788" s="2" t="str">
        <f>HYPERLINK("http://dx.doi.org/10.1186/s12887-024-05079-1","http://dx.doi.org/10.1186/s12887-024-05079-1")</f>
        <v>http://dx.doi.org/10.1186/s12887-024-05079-1</v>
      </c>
      <c r="BG788" s="1" t="s">
        <v>74</v>
      </c>
      <c r="BH788" s="1" t="s">
        <v>74</v>
      </c>
      <c r="BI788" s="1" t="s">
        <v>74</v>
      </c>
      <c r="BJ788" s="1" t="s">
        <v>74</v>
      </c>
      <c r="BK788" s="1" t="s">
        <v>74</v>
      </c>
      <c r="BL788" s="1" t="s">
        <v>74</v>
      </c>
      <c r="BM788" s="1" t="s">
        <v>74</v>
      </c>
      <c r="BN788" s="1">
        <v>3.929466E7</v>
      </c>
      <c r="BO788" s="1" t="s">
        <v>74</v>
      </c>
      <c r="BP788" s="1" t="s">
        <v>74</v>
      </c>
      <c r="BQ788" s="1" t="s">
        <v>74</v>
      </c>
      <c r="BR788" s="1" t="s">
        <v>74</v>
      </c>
      <c r="BS788" s="1" t="s">
        <v>7904</v>
      </c>
      <c r="BT788" s="1" t="str">
        <f>HYPERLINK("https%3A%2F%2Fwww.webofscience.com%2Fwos%2Fwoscc%2Ffull-record%2FWOS:001315754800002","View Full Record in Web of Science")</f>
        <v>View Full Record in Web of Science</v>
      </c>
    </row>
    <row r="789" ht="12.75" customHeight="1">
      <c r="A789" s="1" t="s">
        <v>72</v>
      </c>
      <c r="B789" s="1" t="s">
        <v>7905</v>
      </c>
      <c r="C789" s="1" t="s">
        <v>74</v>
      </c>
      <c r="D789" s="1" t="s">
        <v>74</v>
      </c>
      <c r="E789" s="1" t="s">
        <v>74</v>
      </c>
      <c r="F789" s="1" t="s">
        <v>7906</v>
      </c>
      <c r="G789" s="1" t="s">
        <v>74</v>
      </c>
      <c r="H789" s="1" t="s">
        <v>74</v>
      </c>
      <c r="I789" s="1" t="s">
        <v>7907</v>
      </c>
      <c r="J789" s="1" t="s">
        <v>3170</v>
      </c>
      <c r="K789" s="1" t="s">
        <v>74</v>
      </c>
      <c r="L789" s="1" t="s">
        <v>74</v>
      </c>
      <c r="M789" s="1" t="s">
        <v>74</v>
      </c>
      <c r="N789" s="1" t="s">
        <v>74</v>
      </c>
      <c r="O789" s="1" t="s">
        <v>74</v>
      </c>
      <c r="P789" s="1" t="s">
        <v>74</v>
      </c>
      <c r="Q789" s="1" t="s">
        <v>74</v>
      </c>
      <c r="R789" s="1" t="s">
        <v>74</v>
      </c>
      <c r="S789" s="1" t="s">
        <v>74</v>
      </c>
      <c r="T789" s="1" t="s">
        <v>74</v>
      </c>
      <c r="U789" s="1" t="s">
        <v>74</v>
      </c>
      <c r="V789" s="1" t="s">
        <v>7908</v>
      </c>
      <c r="W789" s="1" t="s">
        <v>74</v>
      </c>
      <c r="X789" s="1" t="s">
        <v>74</v>
      </c>
      <c r="Y789" s="1" t="s">
        <v>74</v>
      </c>
      <c r="Z789" s="1" t="s">
        <v>74</v>
      </c>
      <c r="AA789" s="1" t="s">
        <v>7909</v>
      </c>
      <c r="AB789" s="1" t="s">
        <v>7910</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3174</v>
      </c>
      <c r="AP789" s="1" t="s">
        <v>74</v>
      </c>
      <c r="AQ789" s="1" t="s">
        <v>74</v>
      </c>
      <c r="AR789" s="1" t="s">
        <v>74</v>
      </c>
      <c r="AS789" s="1" t="s">
        <v>74</v>
      </c>
      <c r="AT789" s="1" t="s">
        <v>1279</v>
      </c>
      <c r="AU789" s="1">
        <v>2024.0</v>
      </c>
      <c r="AV789" s="1">
        <v>22.0</v>
      </c>
      <c r="AW789" s="1">
        <v>4.0</v>
      </c>
      <c r="AX789" s="1" t="s">
        <v>74</v>
      </c>
      <c r="AY789" s="1" t="s">
        <v>74</v>
      </c>
      <c r="AZ789" s="1" t="s">
        <v>74</v>
      </c>
      <c r="BA789" s="1" t="s">
        <v>74</v>
      </c>
      <c r="BB789" s="1">
        <v>339.0</v>
      </c>
      <c r="BC789" s="1">
        <v>351.0</v>
      </c>
      <c r="BD789" s="1" t="s">
        <v>74</v>
      </c>
      <c r="BE789" s="1" t="s">
        <v>7911</v>
      </c>
      <c r="BF789" s="2" t="str">
        <f>HYPERLINK("http://dx.doi.org/10.1109/TLA.2024.10472960","http://dx.doi.org/10.1109/TLA.2024.10472960")</f>
        <v>http://dx.doi.org/10.1109/TLA.2024.10472960</v>
      </c>
      <c r="BG789" s="1" t="s">
        <v>74</v>
      </c>
      <c r="BH789" s="1" t="s">
        <v>74</v>
      </c>
      <c r="BI789" s="1" t="s">
        <v>74</v>
      </c>
      <c r="BJ789" s="1" t="s">
        <v>74</v>
      </c>
      <c r="BK789" s="1" t="s">
        <v>74</v>
      </c>
      <c r="BL789" s="1" t="s">
        <v>74</v>
      </c>
      <c r="BM789" s="1" t="s">
        <v>74</v>
      </c>
      <c r="BN789" s="1" t="s">
        <v>74</v>
      </c>
      <c r="BO789" s="1" t="s">
        <v>74</v>
      </c>
      <c r="BP789" s="1" t="s">
        <v>74</v>
      </c>
      <c r="BQ789" s="1" t="s">
        <v>74</v>
      </c>
      <c r="BR789" s="1" t="s">
        <v>74</v>
      </c>
      <c r="BS789" s="1" t="s">
        <v>7912</v>
      </c>
      <c r="BT789" s="1" t="str">
        <f>HYPERLINK("https%3A%2F%2Fwww.webofscience.com%2Fwos%2Fwoscc%2Ffull-record%2FWOS:001185315900004","View Full Record in Web of Science")</f>
        <v>View Full Record in Web of Science</v>
      </c>
    </row>
    <row r="790" ht="12.75" customHeight="1">
      <c r="A790" s="1" t="s">
        <v>72</v>
      </c>
      <c r="B790" s="1" t="s">
        <v>7913</v>
      </c>
      <c r="C790" s="1" t="s">
        <v>74</v>
      </c>
      <c r="D790" s="1" t="s">
        <v>74</v>
      </c>
      <c r="E790" s="1" t="s">
        <v>74</v>
      </c>
      <c r="F790" s="1" t="s">
        <v>7914</v>
      </c>
      <c r="G790" s="1" t="s">
        <v>74</v>
      </c>
      <c r="H790" s="1" t="s">
        <v>74</v>
      </c>
      <c r="I790" s="1" t="s">
        <v>7915</v>
      </c>
      <c r="J790" s="1" t="s">
        <v>7916</v>
      </c>
      <c r="K790" s="1" t="s">
        <v>74</v>
      </c>
      <c r="L790" s="1" t="s">
        <v>74</v>
      </c>
      <c r="M790" s="1" t="s">
        <v>74</v>
      </c>
      <c r="N790" s="1" t="s">
        <v>74</v>
      </c>
      <c r="O790" s="1" t="s">
        <v>74</v>
      </c>
      <c r="P790" s="1" t="s">
        <v>74</v>
      </c>
      <c r="Q790" s="1" t="s">
        <v>74</v>
      </c>
      <c r="R790" s="1" t="s">
        <v>74</v>
      </c>
      <c r="S790" s="1" t="s">
        <v>74</v>
      </c>
      <c r="T790" s="1" t="s">
        <v>74</v>
      </c>
      <c r="U790" s="1" t="s">
        <v>74</v>
      </c>
      <c r="V790" s="1" t="s">
        <v>7917</v>
      </c>
      <c r="W790" s="1" t="s">
        <v>74</v>
      </c>
      <c r="X790" s="1" t="s">
        <v>74</v>
      </c>
      <c r="Y790" s="1" t="s">
        <v>74</v>
      </c>
      <c r="Z790" s="1" t="s">
        <v>74</v>
      </c>
      <c r="AA790" s="1" t="s">
        <v>7918</v>
      </c>
      <c r="AB790" s="1" t="s">
        <v>7919</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7920</v>
      </c>
      <c r="AP790" s="1" t="s">
        <v>7921</v>
      </c>
      <c r="AQ790" s="1" t="s">
        <v>74</v>
      </c>
      <c r="AR790" s="1" t="s">
        <v>74</v>
      </c>
      <c r="AS790" s="1" t="s">
        <v>74</v>
      </c>
      <c r="AT790" s="1" t="s">
        <v>374</v>
      </c>
      <c r="AU790" s="1">
        <v>2024.0</v>
      </c>
      <c r="AV790" s="1">
        <v>71.0</v>
      </c>
      <c r="AW790" s="1">
        <v>11.0</v>
      </c>
      <c r="AX790" s="1" t="s">
        <v>74</v>
      </c>
      <c r="AY790" s="1" t="s">
        <v>74</v>
      </c>
      <c r="AZ790" s="1" t="s">
        <v>74</v>
      </c>
      <c r="BA790" s="1" t="s">
        <v>74</v>
      </c>
      <c r="BB790" s="1">
        <v>13890.0</v>
      </c>
      <c r="BC790" s="1">
        <v>13900.0</v>
      </c>
      <c r="BD790" s="1" t="s">
        <v>74</v>
      </c>
      <c r="BE790" s="1" t="s">
        <v>7922</v>
      </c>
      <c r="BF790" s="2" t="str">
        <f>HYPERLINK("http://dx.doi.org/10.1109/TIE.2024.3357900","http://dx.doi.org/10.1109/TIE.2024.3357900")</f>
        <v>http://dx.doi.org/10.1109/TIE.2024.3357900</v>
      </c>
      <c r="BG790" s="1" t="s">
        <v>74</v>
      </c>
      <c r="BH790" s="1" t="s">
        <v>7923</v>
      </c>
      <c r="BI790" s="1" t="s">
        <v>74</v>
      </c>
      <c r="BJ790" s="1" t="s">
        <v>74</v>
      </c>
      <c r="BK790" s="1" t="s">
        <v>74</v>
      </c>
      <c r="BL790" s="1" t="s">
        <v>74</v>
      </c>
      <c r="BM790" s="1" t="s">
        <v>74</v>
      </c>
      <c r="BN790" s="1" t="s">
        <v>74</v>
      </c>
      <c r="BO790" s="1" t="s">
        <v>74</v>
      </c>
      <c r="BP790" s="1" t="s">
        <v>74</v>
      </c>
      <c r="BQ790" s="1" t="s">
        <v>74</v>
      </c>
      <c r="BR790" s="1" t="s">
        <v>74</v>
      </c>
      <c r="BS790" s="1" t="s">
        <v>7924</v>
      </c>
      <c r="BT790" s="1" t="str">
        <f>HYPERLINK("https%3A%2F%2Fwww.webofscience.com%2Fwos%2Fwoscc%2Ffull-record%2FWOS:001181555800001","View Full Record in Web of Science")</f>
        <v>View Full Record in Web of Science</v>
      </c>
    </row>
    <row r="791" ht="12.75" customHeight="1">
      <c r="A791" s="1" t="s">
        <v>72</v>
      </c>
      <c r="B791" s="1" t="s">
        <v>7925</v>
      </c>
      <c r="C791" s="1" t="s">
        <v>74</v>
      </c>
      <c r="D791" s="1" t="s">
        <v>74</v>
      </c>
      <c r="E791" s="1" t="s">
        <v>74</v>
      </c>
      <c r="F791" s="1" t="s">
        <v>7926</v>
      </c>
      <c r="G791" s="1" t="s">
        <v>74</v>
      </c>
      <c r="H791" s="1" t="s">
        <v>74</v>
      </c>
      <c r="I791" s="1" t="s">
        <v>7927</v>
      </c>
      <c r="J791" s="1" t="s">
        <v>541</v>
      </c>
      <c r="K791" s="1" t="s">
        <v>74</v>
      </c>
      <c r="L791" s="1" t="s">
        <v>74</v>
      </c>
      <c r="M791" s="1" t="s">
        <v>74</v>
      </c>
      <c r="N791" s="1" t="s">
        <v>74</v>
      </c>
      <c r="O791" s="1" t="s">
        <v>74</v>
      </c>
      <c r="P791" s="1" t="s">
        <v>74</v>
      </c>
      <c r="Q791" s="1" t="s">
        <v>74</v>
      </c>
      <c r="R791" s="1" t="s">
        <v>74</v>
      </c>
      <c r="S791" s="1" t="s">
        <v>74</v>
      </c>
      <c r="T791" s="1" t="s">
        <v>74</v>
      </c>
      <c r="U791" s="1" t="s">
        <v>74</v>
      </c>
      <c r="V791" s="1" t="s">
        <v>7928</v>
      </c>
      <c r="W791" s="1" t="s">
        <v>74</v>
      </c>
      <c r="X791" s="1" t="s">
        <v>74</v>
      </c>
      <c r="Y791" s="1" t="s">
        <v>74</v>
      </c>
      <c r="Z791" s="1" t="s">
        <v>74</v>
      </c>
      <c r="AA791" s="1" t="s">
        <v>7929</v>
      </c>
      <c r="AB791" s="1" t="s">
        <v>7930</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545</v>
      </c>
      <c r="AP791" s="1" t="s">
        <v>546</v>
      </c>
      <c r="AQ791" s="1" t="s">
        <v>74</v>
      </c>
      <c r="AR791" s="1" t="s">
        <v>74</v>
      </c>
      <c r="AS791" s="1" t="s">
        <v>74</v>
      </c>
      <c r="AT791" s="1" t="s">
        <v>977</v>
      </c>
      <c r="AU791" s="1">
        <v>2023.0</v>
      </c>
      <c r="AV791" s="1">
        <v>248.0</v>
      </c>
      <c r="AW791" s="1" t="s">
        <v>74</v>
      </c>
      <c r="AX791" s="1" t="s">
        <v>74</v>
      </c>
      <c r="AY791" s="1" t="s">
        <v>74</v>
      </c>
      <c r="AZ791" s="1" t="s">
        <v>74</v>
      </c>
      <c r="BA791" s="1" t="s">
        <v>74</v>
      </c>
      <c r="BB791" s="1" t="s">
        <v>74</v>
      </c>
      <c r="BC791" s="1" t="s">
        <v>74</v>
      </c>
      <c r="BD791" s="1">
        <v>125939.0</v>
      </c>
      <c r="BE791" s="1" t="s">
        <v>7931</v>
      </c>
      <c r="BF791" s="2" t="str">
        <f>HYPERLINK("http://dx.doi.org/10.1016/j.ijbiomac.2023.125939","http://dx.doi.org/10.1016/j.ijbiomac.2023.125939")</f>
        <v>http://dx.doi.org/10.1016/j.ijbiomac.2023.125939</v>
      </c>
      <c r="BG791" s="1" t="s">
        <v>74</v>
      </c>
      <c r="BH791" s="1" t="s">
        <v>4422</v>
      </c>
      <c r="BI791" s="1" t="s">
        <v>74</v>
      </c>
      <c r="BJ791" s="1" t="s">
        <v>74</v>
      </c>
      <c r="BK791" s="1" t="s">
        <v>74</v>
      </c>
      <c r="BL791" s="1" t="s">
        <v>74</v>
      </c>
      <c r="BM791" s="1" t="s">
        <v>74</v>
      </c>
      <c r="BN791" s="1">
        <v>3.7482162E7</v>
      </c>
      <c r="BO791" s="1" t="s">
        <v>74</v>
      </c>
      <c r="BP791" s="1" t="s">
        <v>74</v>
      </c>
      <c r="BQ791" s="1" t="s">
        <v>74</v>
      </c>
      <c r="BR791" s="1" t="s">
        <v>74</v>
      </c>
      <c r="BS791" s="1" t="s">
        <v>7932</v>
      </c>
      <c r="BT791" s="1" t="str">
        <f>HYPERLINK("https%3A%2F%2Fwww.webofscience.com%2Fwos%2Fwoscc%2Ffull-record%2FWOS:001058247600001","View Full Record in Web of Science")</f>
        <v>View Full Record in Web of Science</v>
      </c>
    </row>
    <row r="792" ht="12.75" customHeight="1">
      <c r="A792" s="1" t="s">
        <v>72</v>
      </c>
      <c r="B792" s="1" t="s">
        <v>7933</v>
      </c>
      <c r="C792" s="1" t="s">
        <v>74</v>
      </c>
      <c r="D792" s="1" t="s">
        <v>74</v>
      </c>
      <c r="E792" s="1" t="s">
        <v>74</v>
      </c>
      <c r="F792" s="1" t="s">
        <v>7934</v>
      </c>
      <c r="G792" s="1" t="s">
        <v>74</v>
      </c>
      <c r="H792" s="1" t="s">
        <v>74</v>
      </c>
      <c r="I792" s="1" t="s">
        <v>7935</v>
      </c>
      <c r="J792" s="1" t="s">
        <v>7936</v>
      </c>
      <c r="K792" s="1" t="s">
        <v>74</v>
      </c>
      <c r="L792" s="1" t="s">
        <v>74</v>
      </c>
      <c r="M792" s="1" t="s">
        <v>74</v>
      </c>
      <c r="N792" s="1" t="s">
        <v>74</v>
      </c>
      <c r="O792" s="1" t="s">
        <v>74</v>
      </c>
      <c r="P792" s="1" t="s">
        <v>74</v>
      </c>
      <c r="Q792" s="1" t="s">
        <v>74</v>
      </c>
      <c r="R792" s="1" t="s">
        <v>74</v>
      </c>
      <c r="S792" s="1" t="s">
        <v>74</v>
      </c>
      <c r="T792" s="1" t="s">
        <v>74</v>
      </c>
      <c r="U792" s="1" t="s">
        <v>74</v>
      </c>
      <c r="V792" s="1" t="s">
        <v>7937</v>
      </c>
      <c r="W792" s="1" t="s">
        <v>74</v>
      </c>
      <c r="X792" s="1" t="s">
        <v>74</v>
      </c>
      <c r="Y792" s="1" t="s">
        <v>74</v>
      </c>
      <c r="Z792" s="1" t="s">
        <v>74</v>
      </c>
      <c r="AA792" s="1" t="s">
        <v>7938</v>
      </c>
      <c r="AB792" s="1" t="s">
        <v>7939</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74</v>
      </c>
      <c r="AP792" s="1" t="s">
        <v>7940</v>
      </c>
      <c r="AQ792" s="1" t="s">
        <v>74</v>
      </c>
      <c r="AR792" s="1" t="s">
        <v>74</v>
      </c>
      <c r="AS792" s="1" t="s">
        <v>74</v>
      </c>
      <c r="AT792" s="1" t="s">
        <v>282</v>
      </c>
      <c r="AU792" s="1">
        <v>2022.0</v>
      </c>
      <c r="AV792" s="1">
        <v>8.0</v>
      </c>
      <c r="AW792" s="1">
        <v>8.0</v>
      </c>
      <c r="AX792" s="1" t="s">
        <v>74</v>
      </c>
      <c r="AY792" s="1" t="s">
        <v>74</v>
      </c>
      <c r="AZ792" s="1" t="s">
        <v>74</v>
      </c>
      <c r="BA792" s="1" t="s">
        <v>74</v>
      </c>
      <c r="BB792" s="1" t="s">
        <v>74</v>
      </c>
      <c r="BC792" s="1" t="s">
        <v>74</v>
      </c>
      <c r="BD792" s="1">
        <v>750.0</v>
      </c>
      <c r="BE792" s="1" t="s">
        <v>7941</v>
      </c>
      <c r="BF792" s="2" t="str">
        <f>HYPERLINK("http://dx.doi.org/10.3390/horticulturae8080750","http://dx.doi.org/10.3390/horticulturae8080750")</f>
        <v>http://dx.doi.org/10.3390/horticulturae8080750</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7942</v>
      </c>
      <c r="BT792" s="1" t="str">
        <f>HYPERLINK("https%3A%2F%2Fwww.webofscience.com%2Fwos%2Fwoscc%2Ffull-record%2FWOS:000845919400001","View Full Record in Web of Science")</f>
        <v>View Full Record in Web of Science</v>
      </c>
    </row>
    <row r="793" ht="12.75" customHeight="1">
      <c r="A793" s="1" t="s">
        <v>72</v>
      </c>
      <c r="B793" s="1" t="s">
        <v>7943</v>
      </c>
      <c r="C793" s="1" t="s">
        <v>74</v>
      </c>
      <c r="D793" s="1" t="s">
        <v>74</v>
      </c>
      <c r="E793" s="1" t="s">
        <v>74</v>
      </c>
      <c r="F793" s="1" t="s">
        <v>7944</v>
      </c>
      <c r="G793" s="1" t="s">
        <v>74</v>
      </c>
      <c r="H793" s="1" t="s">
        <v>74</v>
      </c>
      <c r="I793" s="1" t="s">
        <v>7945</v>
      </c>
      <c r="J793" s="1" t="s">
        <v>665</v>
      </c>
      <c r="K793" s="1" t="s">
        <v>74</v>
      </c>
      <c r="L793" s="1" t="s">
        <v>74</v>
      </c>
      <c r="M793" s="1" t="s">
        <v>74</v>
      </c>
      <c r="N793" s="1" t="s">
        <v>74</v>
      </c>
      <c r="O793" s="1" t="s">
        <v>74</v>
      </c>
      <c r="P793" s="1" t="s">
        <v>74</v>
      </c>
      <c r="Q793" s="1" t="s">
        <v>74</v>
      </c>
      <c r="R793" s="1" t="s">
        <v>74</v>
      </c>
      <c r="S793" s="1" t="s">
        <v>74</v>
      </c>
      <c r="T793" s="1" t="s">
        <v>74</v>
      </c>
      <c r="U793" s="1" t="s">
        <v>74</v>
      </c>
      <c r="V793" s="1" t="s">
        <v>7946</v>
      </c>
      <c r="W793" s="1" t="s">
        <v>74</v>
      </c>
      <c r="X793" s="1" t="s">
        <v>74</v>
      </c>
      <c r="Y793" s="1" t="s">
        <v>74</v>
      </c>
      <c r="Z793" s="1" t="s">
        <v>74</v>
      </c>
      <c r="AA793" s="1" t="s">
        <v>7947</v>
      </c>
      <c r="AB793" s="1" t="s">
        <v>7948</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74</v>
      </c>
      <c r="AP793" s="1" t="s">
        <v>669</v>
      </c>
      <c r="AQ793" s="1" t="s">
        <v>74</v>
      </c>
      <c r="AR793" s="1" t="s">
        <v>74</v>
      </c>
      <c r="AS793" s="1" t="s">
        <v>74</v>
      </c>
      <c r="AT793" s="1" t="s">
        <v>94</v>
      </c>
      <c r="AU793" s="1">
        <v>2022.0</v>
      </c>
      <c r="AV793" s="1">
        <v>27.0</v>
      </c>
      <c r="AW793" s="1">
        <v>11.0</v>
      </c>
      <c r="AX793" s="1" t="s">
        <v>74</v>
      </c>
      <c r="AY793" s="1" t="s">
        <v>74</v>
      </c>
      <c r="AZ793" s="1" t="s">
        <v>74</v>
      </c>
      <c r="BA793" s="1" t="s">
        <v>74</v>
      </c>
      <c r="BB793" s="1" t="s">
        <v>74</v>
      </c>
      <c r="BC793" s="1" t="s">
        <v>74</v>
      </c>
      <c r="BD793" s="1">
        <v>3640.0</v>
      </c>
      <c r="BE793" s="1" t="s">
        <v>7949</v>
      </c>
      <c r="BF793" s="2" t="str">
        <f>HYPERLINK("http://dx.doi.org/10.3390/molecules27113640","http://dx.doi.org/10.3390/molecules27113640")</f>
        <v>http://dx.doi.org/10.3390/molecules27113640</v>
      </c>
      <c r="BG793" s="1" t="s">
        <v>74</v>
      </c>
      <c r="BH793" s="1" t="s">
        <v>74</v>
      </c>
      <c r="BI793" s="1" t="s">
        <v>74</v>
      </c>
      <c r="BJ793" s="1" t="s">
        <v>74</v>
      </c>
      <c r="BK793" s="1" t="s">
        <v>74</v>
      </c>
      <c r="BL793" s="1" t="s">
        <v>74</v>
      </c>
      <c r="BM793" s="1" t="s">
        <v>74</v>
      </c>
      <c r="BN793" s="1">
        <v>3.5684575E7</v>
      </c>
      <c r="BO793" s="1" t="s">
        <v>74</v>
      </c>
      <c r="BP793" s="1" t="s">
        <v>74</v>
      </c>
      <c r="BQ793" s="1" t="s">
        <v>74</v>
      </c>
      <c r="BR793" s="1" t="s">
        <v>74</v>
      </c>
      <c r="BS793" s="1" t="s">
        <v>7950</v>
      </c>
      <c r="BT793" s="1" t="str">
        <f>HYPERLINK("https%3A%2F%2Fwww.webofscience.com%2Fwos%2Fwoscc%2Ffull-record%2FWOS:000809063200001","View Full Record in Web of Science")</f>
        <v>View Full Record in Web of Science</v>
      </c>
    </row>
    <row r="794" ht="12.75" customHeight="1">
      <c r="A794" s="1" t="s">
        <v>72</v>
      </c>
      <c r="B794" s="1" t="s">
        <v>7951</v>
      </c>
      <c r="C794" s="1" t="s">
        <v>74</v>
      </c>
      <c r="D794" s="1" t="s">
        <v>74</v>
      </c>
      <c r="E794" s="1" t="s">
        <v>74</v>
      </c>
      <c r="F794" s="1" t="s">
        <v>7952</v>
      </c>
      <c r="G794" s="1" t="s">
        <v>74</v>
      </c>
      <c r="H794" s="1" t="s">
        <v>74</v>
      </c>
      <c r="I794" s="1" t="s">
        <v>7953</v>
      </c>
      <c r="J794" s="1" t="s">
        <v>7954</v>
      </c>
      <c r="K794" s="1" t="s">
        <v>74</v>
      </c>
      <c r="L794" s="1" t="s">
        <v>74</v>
      </c>
      <c r="M794" s="1" t="s">
        <v>74</v>
      </c>
      <c r="N794" s="1" t="s">
        <v>74</v>
      </c>
      <c r="O794" s="1" t="s">
        <v>74</v>
      </c>
      <c r="P794" s="1" t="s">
        <v>74</v>
      </c>
      <c r="Q794" s="1" t="s">
        <v>74</v>
      </c>
      <c r="R794" s="1" t="s">
        <v>74</v>
      </c>
      <c r="S794" s="1" t="s">
        <v>74</v>
      </c>
      <c r="T794" s="1" t="s">
        <v>74</v>
      </c>
      <c r="U794" s="1" t="s">
        <v>74</v>
      </c>
      <c r="V794" s="1" t="s">
        <v>7955</v>
      </c>
      <c r="W794" s="1" t="s">
        <v>74</v>
      </c>
      <c r="X794" s="1" t="s">
        <v>74</v>
      </c>
      <c r="Y794" s="1" t="s">
        <v>74</v>
      </c>
      <c r="Z794" s="1" t="s">
        <v>74</v>
      </c>
      <c r="AA794" s="1" t="s">
        <v>7956</v>
      </c>
      <c r="AB794" s="1" t="s">
        <v>7957</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7958</v>
      </c>
      <c r="AP794" s="1" t="s">
        <v>74</v>
      </c>
      <c r="AQ794" s="1" t="s">
        <v>74</v>
      </c>
      <c r="AR794" s="1" t="s">
        <v>74</v>
      </c>
      <c r="AS794" s="1" t="s">
        <v>74</v>
      </c>
      <c r="AT794" s="1" t="s">
        <v>7959</v>
      </c>
      <c r="AU794" s="1">
        <v>2022.0</v>
      </c>
      <c r="AV794" s="1">
        <v>17.0</v>
      </c>
      <c r="AW794" s="1">
        <v>1.0</v>
      </c>
      <c r="AX794" s="1" t="s">
        <v>74</v>
      </c>
      <c r="AY794" s="1" t="s">
        <v>74</v>
      </c>
      <c r="AZ794" s="1" t="s">
        <v>74</v>
      </c>
      <c r="BA794" s="1" t="s">
        <v>74</v>
      </c>
      <c r="BB794" s="1">
        <v>19.0</v>
      </c>
      <c r="BC794" s="1">
        <v>37.0</v>
      </c>
      <c r="BD794" s="1" t="s">
        <v>74</v>
      </c>
      <c r="BE794" s="1" t="s">
        <v>7960</v>
      </c>
      <c r="BF794" s="2" t="str">
        <f>HYPERLINK("http://dx.doi.org/10.18002/rama.v17i1.7122","http://dx.doi.org/10.18002/rama.v17i1.7122")</f>
        <v>http://dx.doi.org/10.18002/rama.v17i1.7122</v>
      </c>
      <c r="BG794" s="1" t="s">
        <v>74</v>
      </c>
      <c r="BH794" s="1" t="s">
        <v>74</v>
      </c>
      <c r="BI794" s="1" t="s">
        <v>74</v>
      </c>
      <c r="BJ794" s="1" t="s">
        <v>74</v>
      </c>
      <c r="BK794" s="1" t="s">
        <v>74</v>
      </c>
      <c r="BL794" s="1" t="s">
        <v>74</v>
      </c>
      <c r="BM794" s="1" t="s">
        <v>74</v>
      </c>
      <c r="BN794" s="1" t="s">
        <v>74</v>
      </c>
      <c r="BO794" s="1" t="s">
        <v>74</v>
      </c>
      <c r="BP794" s="1" t="s">
        <v>74</v>
      </c>
      <c r="BQ794" s="1" t="s">
        <v>74</v>
      </c>
      <c r="BR794" s="1" t="s">
        <v>74</v>
      </c>
      <c r="BS794" s="1" t="s">
        <v>7961</v>
      </c>
      <c r="BT794" s="1" t="str">
        <f>HYPERLINK("https%3A%2F%2Fwww.webofscience.com%2Fwos%2Fwoscc%2Ffull-record%2FWOS:000740052000002","View Full Record in Web of Science")</f>
        <v>View Full Record in Web of Science</v>
      </c>
    </row>
    <row r="795" ht="12.75" customHeight="1">
      <c r="A795" s="1" t="s">
        <v>72</v>
      </c>
      <c r="B795" s="1" t="s">
        <v>7962</v>
      </c>
      <c r="C795" s="1" t="s">
        <v>74</v>
      </c>
      <c r="D795" s="1" t="s">
        <v>74</v>
      </c>
      <c r="E795" s="1" t="s">
        <v>74</v>
      </c>
      <c r="F795" s="1" t="s">
        <v>7963</v>
      </c>
      <c r="G795" s="1" t="s">
        <v>74</v>
      </c>
      <c r="H795" s="1" t="s">
        <v>74</v>
      </c>
      <c r="I795" s="1" t="s">
        <v>7964</v>
      </c>
      <c r="J795" s="1" t="s">
        <v>7965</v>
      </c>
      <c r="K795" s="1" t="s">
        <v>74</v>
      </c>
      <c r="L795" s="1" t="s">
        <v>74</v>
      </c>
      <c r="M795" s="1" t="s">
        <v>74</v>
      </c>
      <c r="N795" s="1" t="s">
        <v>74</v>
      </c>
      <c r="O795" s="1" t="s">
        <v>74</v>
      </c>
      <c r="P795" s="1" t="s">
        <v>74</v>
      </c>
      <c r="Q795" s="1" t="s">
        <v>74</v>
      </c>
      <c r="R795" s="1" t="s">
        <v>74</v>
      </c>
      <c r="S795" s="1" t="s">
        <v>74</v>
      </c>
      <c r="T795" s="1" t="s">
        <v>74</v>
      </c>
      <c r="U795" s="1" t="s">
        <v>74</v>
      </c>
      <c r="V795" s="1" t="s">
        <v>7966</v>
      </c>
      <c r="W795" s="1" t="s">
        <v>74</v>
      </c>
      <c r="X795" s="1" t="s">
        <v>74</v>
      </c>
      <c r="Y795" s="1" t="s">
        <v>74</v>
      </c>
      <c r="Z795" s="1" t="s">
        <v>74</v>
      </c>
      <c r="AA795" s="1" t="s">
        <v>7967</v>
      </c>
      <c r="AB795" s="1" t="s">
        <v>7968</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7969</v>
      </c>
      <c r="AP795" s="1" t="s">
        <v>7970</v>
      </c>
      <c r="AQ795" s="1" t="s">
        <v>74</v>
      </c>
      <c r="AR795" s="1" t="s">
        <v>74</v>
      </c>
      <c r="AS795" s="1" t="s">
        <v>74</v>
      </c>
      <c r="AT795" s="1" t="s">
        <v>7971</v>
      </c>
      <c r="AU795" s="1">
        <v>2021.0</v>
      </c>
      <c r="AV795" s="1">
        <v>52.0</v>
      </c>
      <c r="AW795" s="1">
        <v>13.0</v>
      </c>
      <c r="AX795" s="1" t="s">
        <v>74</v>
      </c>
      <c r="AY795" s="1" t="s">
        <v>74</v>
      </c>
      <c r="AZ795" s="1" t="s">
        <v>74</v>
      </c>
      <c r="BA795" s="1" t="s">
        <v>74</v>
      </c>
      <c r="BB795" s="1">
        <v>2660.0</v>
      </c>
      <c r="BC795" s="1">
        <v>2676.0</v>
      </c>
      <c r="BD795" s="1" t="s">
        <v>74</v>
      </c>
      <c r="BE795" s="1" t="s">
        <v>7972</v>
      </c>
      <c r="BF795" s="2" t="str">
        <f>HYPERLINK("http://dx.doi.org/10.1080/00207721.2021.1895357","http://dx.doi.org/10.1080/00207721.2021.1895357")</f>
        <v>http://dx.doi.org/10.1080/00207721.2021.1895357</v>
      </c>
      <c r="BG795" s="1" t="s">
        <v>74</v>
      </c>
      <c r="BH795" s="1" t="s">
        <v>2439</v>
      </c>
      <c r="BI795" s="1" t="s">
        <v>74</v>
      </c>
      <c r="BJ795" s="1" t="s">
        <v>74</v>
      </c>
      <c r="BK795" s="1" t="s">
        <v>74</v>
      </c>
      <c r="BL795" s="1" t="s">
        <v>74</v>
      </c>
      <c r="BM795" s="1" t="s">
        <v>74</v>
      </c>
      <c r="BN795" s="1" t="s">
        <v>74</v>
      </c>
      <c r="BO795" s="1" t="s">
        <v>74</v>
      </c>
      <c r="BP795" s="1" t="s">
        <v>74</v>
      </c>
      <c r="BQ795" s="1" t="s">
        <v>74</v>
      </c>
      <c r="BR795" s="1" t="s">
        <v>74</v>
      </c>
      <c r="BS795" s="1" t="s">
        <v>7973</v>
      </c>
      <c r="BT795" s="1" t="str">
        <f>HYPERLINK("https%3A%2F%2Fwww.webofscience.com%2Fwos%2Fwoscc%2Ffull-record%2FWOS:000625730600001","View Full Record in Web of Science")</f>
        <v>View Full Record in Web of Science</v>
      </c>
    </row>
    <row r="796" ht="12.75" customHeight="1">
      <c r="A796" s="1" t="s">
        <v>72</v>
      </c>
      <c r="B796" s="1" t="s">
        <v>7974</v>
      </c>
      <c r="C796" s="1" t="s">
        <v>74</v>
      </c>
      <c r="D796" s="1" t="s">
        <v>74</v>
      </c>
      <c r="E796" s="1" t="s">
        <v>74</v>
      </c>
      <c r="F796" s="1" t="s">
        <v>7975</v>
      </c>
      <c r="G796" s="1" t="s">
        <v>74</v>
      </c>
      <c r="H796" s="1" t="s">
        <v>74</v>
      </c>
      <c r="I796" s="1" t="s">
        <v>7976</v>
      </c>
      <c r="J796" s="1" t="s">
        <v>2805</v>
      </c>
      <c r="K796" s="1" t="s">
        <v>74</v>
      </c>
      <c r="L796" s="1" t="s">
        <v>74</v>
      </c>
      <c r="M796" s="1" t="s">
        <v>74</v>
      </c>
      <c r="N796" s="1" t="s">
        <v>74</v>
      </c>
      <c r="O796" s="1" t="s">
        <v>74</v>
      </c>
      <c r="P796" s="1" t="s">
        <v>74</v>
      </c>
      <c r="Q796" s="1" t="s">
        <v>74</v>
      </c>
      <c r="R796" s="1" t="s">
        <v>74</v>
      </c>
      <c r="S796" s="1" t="s">
        <v>74</v>
      </c>
      <c r="T796" s="1" t="s">
        <v>74</v>
      </c>
      <c r="U796" s="1" t="s">
        <v>74</v>
      </c>
      <c r="V796" s="1" t="s">
        <v>7977</v>
      </c>
      <c r="W796" s="1" t="s">
        <v>74</v>
      </c>
      <c r="X796" s="1" t="s">
        <v>74</v>
      </c>
      <c r="Y796" s="1" t="s">
        <v>74</v>
      </c>
      <c r="Z796" s="1" t="s">
        <v>74</v>
      </c>
      <c r="AA796" s="1" t="s">
        <v>7978</v>
      </c>
      <c r="AB796" s="1" t="s">
        <v>7979</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2809</v>
      </c>
      <c r="AP796" s="1" t="s">
        <v>7980</v>
      </c>
      <c r="AQ796" s="1" t="s">
        <v>74</v>
      </c>
      <c r="AR796" s="1" t="s">
        <v>74</v>
      </c>
      <c r="AS796" s="1" t="s">
        <v>74</v>
      </c>
      <c r="AT796" s="1" t="s">
        <v>74</v>
      </c>
      <c r="AU796" s="1">
        <v>2021.0</v>
      </c>
      <c r="AV796" s="1">
        <v>79.0</v>
      </c>
      <c r="AW796" s="1">
        <v>8.0</v>
      </c>
      <c r="AX796" s="1" t="s">
        <v>74</v>
      </c>
      <c r="AY796" s="1" t="s">
        <v>74</v>
      </c>
      <c r="AZ796" s="1" t="s">
        <v>74</v>
      </c>
      <c r="BA796" s="1" t="s">
        <v>74</v>
      </c>
      <c r="BB796" s="1">
        <v>666.0</v>
      </c>
      <c r="BC796" s="1">
        <v>675.0</v>
      </c>
      <c r="BD796" s="1" t="s">
        <v>74</v>
      </c>
      <c r="BE796" s="1" t="s">
        <v>7981</v>
      </c>
      <c r="BF796" s="2" t="str">
        <f>HYPERLINK("http://dx.doi.org/10.1590/0004-282X-ANP-2020-0162","http://dx.doi.org/10.1590/0004-282X-ANP-2020-0162")</f>
        <v>http://dx.doi.org/10.1590/0004-282X-ANP-2020-0162</v>
      </c>
      <c r="BG796" s="1" t="s">
        <v>74</v>
      </c>
      <c r="BH796" s="1" t="s">
        <v>74</v>
      </c>
      <c r="BI796" s="1" t="s">
        <v>74</v>
      </c>
      <c r="BJ796" s="1" t="s">
        <v>74</v>
      </c>
      <c r="BK796" s="1" t="s">
        <v>74</v>
      </c>
      <c r="BL796" s="1" t="s">
        <v>74</v>
      </c>
      <c r="BM796" s="1" t="s">
        <v>74</v>
      </c>
      <c r="BN796" s="1">
        <v>3.4550187E7</v>
      </c>
      <c r="BO796" s="1" t="s">
        <v>74</v>
      </c>
      <c r="BP796" s="1" t="s">
        <v>74</v>
      </c>
      <c r="BQ796" s="1" t="s">
        <v>74</v>
      </c>
      <c r="BR796" s="1" t="s">
        <v>74</v>
      </c>
      <c r="BS796" s="1" t="s">
        <v>7982</v>
      </c>
      <c r="BT796" s="1" t="str">
        <f>HYPERLINK("https%3A%2F%2Fwww.webofscience.com%2Fwos%2Fwoscc%2Ffull-record%2FWOS:000706741500003","View Full Record in Web of Science")</f>
        <v>View Full Record in Web of Science</v>
      </c>
    </row>
    <row r="797" ht="12.75" customHeight="1">
      <c r="A797" s="1" t="s">
        <v>72</v>
      </c>
      <c r="B797" s="1" t="s">
        <v>7983</v>
      </c>
      <c r="C797" s="1" t="s">
        <v>74</v>
      </c>
      <c r="D797" s="1" t="s">
        <v>74</v>
      </c>
      <c r="E797" s="1" t="s">
        <v>74</v>
      </c>
      <c r="F797" s="1" t="s">
        <v>7984</v>
      </c>
      <c r="G797" s="1" t="s">
        <v>74</v>
      </c>
      <c r="H797" s="1" t="s">
        <v>74</v>
      </c>
      <c r="I797" s="1" t="s">
        <v>7985</v>
      </c>
      <c r="J797" s="1" t="s">
        <v>7986</v>
      </c>
      <c r="K797" s="1" t="s">
        <v>74</v>
      </c>
      <c r="L797" s="1" t="s">
        <v>74</v>
      </c>
      <c r="M797" s="1" t="s">
        <v>74</v>
      </c>
      <c r="N797" s="1" t="s">
        <v>74</v>
      </c>
      <c r="O797" s="1" t="s">
        <v>74</v>
      </c>
      <c r="P797" s="1" t="s">
        <v>74</v>
      </c>
      <c r="Q797" s="1" t="s">
        <v>74</v>
      </c>
      <c r="R797" s="1" t="s">
        <v>74</v>
      </c>
      <c r="S797" s="1" t="s">
        <v>74</v>
      </c>
      <c r="T797" s="1" t="s">
        <v>74</v>
      </c>
      <c r="U797" s="1" t="s">
        <v>74</v>
      </c>
      <c r="V797" s="1" t="s">
        <v>7987</v>
      </c>
      <c r="W797" s="1" t="s">
        <v>74</v>
      </c>
      <c r="X797" s="1" t="s">
        <v>74</v>
      </c>
      <c r="Y797" s="1" t="s">
        <v>74</v>
      </c>
      <c r="Z797" s="1" t="s">
        <v>74</v>
      </c>
      <c r="AA797" s="1" t="s">
        <v>7988</v>
      </c>
      <c r="AB797" s="1" t="s">
        <v>7989</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7990</v>
      </c>
      <c r="AP797" s="1" t="s">
        <v>7991</v>
      </c>
      <c r="AQ797" s="1" t="s">
        <v>74</v>
      </c>
      <c r="AR797" s="1" t="s">
        <v>74</v>
      </c>
      <c r="AS797" s="1" t="s">
        <v>74</v>
      </c>
      <c r="AT797" s="1" t="s">
        <v>271</v>
      </c>
      <c r="AU797" s="1">
        <v>2020.0</v>
      </c>
      <c r="AV797" s="1">
        <v>1868.0</v>
      </c>
      <c r="AW797" s="1">
        <v>9.0</v>
      </c>
      <c r="AX797" s="1" t="s">
        <v>74</v>
      </c>
      <c r="AY797" s="1" t="s">
        <v>74</v>
      </c>
      <c r="AZ797" s="1" t="s">
        <v>74</v>
      </c>
      <c r="BA797" s="1" t="s">
        <v>74</v>
      </c>
      <c r="BB797" s="1" t="s">
        <v>74</v>
      </c>
      <c r="BC797" s="1" t="s">
        <v>74</v>
      </c>
      <c r="BD797" s="1">
        <v>140447.0</v>
      </c>
      <c r="BE797" s="1" t="s">
        <v>7992</v>
      </c>
      <c r="BF797" s="2" t="str">
        <f>HYPERLINK("http://dx.doi.org/10.1016/j.bbapap.2020.140447","http://dx.doi.org/10.1016/j.bbapap.2020.140447")</f>
        <v>http://dx.doi.org/10.1016/j.bbapap.2020.140447</v>
      </c>
      <c r="BG797" s="1" t="s">
        <v>74</v>
      </c>
      <c r="BH797" s="1" t="s">
        <v>74</v>
      </c>
      <c r="BI797" s="1" t="s">
        <v>74</v>
      </c>
      <c r="BJ797" s="1" t="s">
        <v>74</v>
      </c>
      <c r="BK797" s="1" t="s">
        <v>74</v>
      </c>
      <c r="BL797" s="1" t="s">
        <v>74</v>
      </c>
      <c r="BM797" s="1" t="s">
        <v>74</v>
      </c>
      <c r="BN797" s="1">
        <v>3.2442521E7</v>
      </c>
      <c r="BO797" s="1" t="s">
        <v>74</v>
      </c>
      <c r="BP797" s="1" t="s">
        <v>74</v>
      </c>
      <c r="BQ797" s="1" t="s">
        <v>74</v>
      </c>
      <c r="BR797" s="1" t="s">
        <v>74</v>
      </c>
      <c r="BS797" s="1" t="s">
        <v>7993</v>
      </c>
      <c r="BT797" s="1" t="str">
        <f>HYPERLINK("https%3A%2F%2Fwww.webofscience.com%2Fwos%2Fwoscc%2Ffull-record%2FWOS:000548146800004","View Full Record in Web of Science")</f>
        <v>View Full Record in Web of Science</v>
      </c>
    </row>
    <row r="798" ht="12.75" customHeight="1">
      <c r="A798" s="1" t="s">
        <v>72</v>
      </c>
      <c r="B798" s="1" t="s">
        <v>7994</v>
      </c>
      <c r="C798" s="1" t="s">
        <v>74</v>
      </c>
      <c r="D798" s="1" t="s">
        <v>74</v>
      </c>
      <c r="E798" s="1" t="s">
        <v>74</v>
      </c>
      <c r="F798" s="1" t="s">
        <v>7995</v>
      </c>
      <c r="G798" s="1" t="s">
        <v>74</v>
      </c>
      <c r="H798" s="1" t="s">
        <v>74</v>
      </c>
      <c r="I798" s="1" t="s">
        <v>7996</v>
      </c>
      <c r="J798" s="1" t="s">
        <v>7997</v>
      </c>
      <c r="K798" s="1" t="s">
        <v>74</v>
      </c>
      <c r="L798" s="1" t="s">
        <v>74</v>
      </c>
      <c r="M798" s="1" t="s">
        <v>74</v>
      </c>
      <c r="N798" s="1" t="s">
        <v>74</v>
      </c>
      <c r="O798" s="1" t="s">
        <v>74</v>
      </c>
      <c r="P798" s="1" t="s">
        <v>74</v>
      </c>
      <c r="Q798" s="1" t="s">
        <v>74</v>
      </c>
      <c r="R798" s="1" t="s">
        <v>74</v>
      </c>
      <c r="S798" s="1" t="s">
        <v>74</v>
      </c>
      <c r="T798" s="1" t="s">
        <v>74</v>
      </c>
      <c r="U798" s="1" t="s">
        <v>74</v>
      </c>
      <c r="V798" s="1" t="s">
        <v>7998</v>
      </c>
      <c r="W798" s="1" t="s">
        <v>74</v>
      </c>
      <c r="X798" s="1" t="s">
        <v>74</v>
      </c>
      <c r="Y798" s="1" t="s">
        <v>74</v>
      </c>
      <c r="Z798" s="1" t="s">
        <v>74</v>
      </c>
      <c r="AA798" s="1" t="s">
        <v>7999</v>
      </c>
      <c r="AB798" s="1" t="s">
        <v>74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8000</v>
      </c>
      <c r="AP798" s="1" t="s">
        <v>8001</v>
      </c>
      <c r="AQ798" s="1" t="s">
        <v>74</v>
      </c>
      <c r="AR798" s="1" t="s">
        <v>74</v>
      </c>
      <c r="AS798" s="1" t="s">
        <v>74</v>
      </c>
      <c r="AT798" s="1" t="s">
        <v>1106</v>
      </c>
      <c r="AU798" s="1">
        <v>2022.0</v>
      </c>
      <c r="AV798" s="1">
        <v>70.0</v>
      </c>
      <c r="AW798" s="1">
        <v>1.0</v>
      </c>
      <c r="AX798" s="1" t="s">
        <v>74</v>
      </c>
      <c r="AY798" s="1" t="s">
        <v>74</v>
      </c>
      <c r="AZ798" s="1" t="s">
        <v>74</v>
      </c>
      <c r="BA798" s="1" t="s">
        <v>74</v>
      </c>
      <c r="BB798" s="1">
        <v>77.0</v>
      </c>
      <c r="BC798" s="1">
        <v>99.0</v>
      </c>
      <c r="BD798" s="1">
        <v>1.1392120932953E13</v>
      </c>
      <c r="BE798" s="1" t="s">
        <v>8002</v>
      </c>
      <c r="BF798" s="2" t="str">
        <f>HYPERLINK("http://dx.doi.org/10.1177/0011392120932953","http://dx.doi.org/10.1177/0011392120932953")</f>
        <v>http://dx.doi.org/10.1177/0011392120932953</v>
      </c>
      <c r="BG798" s="1" t="s">
        <v>74</v>
      </c>
      <c r="BH798" s="1" t="s">
        <v>8003</v>
      </c>
      <c r="BI798" s="1" t="s">
        <v>74</v>
      </c>
      <c r="BJ798" s="1" t="s">
        <v>74</v>
      </c>
      <c r="BK798" s="1" t="s">
        <v>74</v>
      </c>
      <c r="BL798" s="1" t="s">
        <v>74</v>
      </c>
      <c r="BM798" s="1" t="s">
        <v>74</v>
      </c>
      <c r="BN798" s="1" t="s">
        <v>74</v>
      </c>
      <c r="BO798" s="1" t="s">
        <v>74</v>
      </c>
      <c r="BP798" s="1" t="s">
        <v>74</v>
      </c>
      <c r="BQ798" s="1" t="s">
        <v>74</v>
      </c>
      <c r="BR798" s="1" t="s">
        <v>74</v>
      </c>
      <c r="BS798" s="1" t="s">
        <v>8004</v>
      </c>
      <c r="BT798" s="1" t="str">
        <f>HYPERLINK("https%3A%2F%2Fwww.webofscience.com%2Fwos%2Fwoscc%2Ffull-record%2FWOS:000543758600001","View Full Record in Web of Science")</f>
        <v>View Full Record in Web of Science</v>
      </c>
    </row>
    <row r="799" ht="12.75" customHeight="1">
      <c r="A799" s="1" t="s">
        <v>72</v>
      </c>
      <c r="B799" s="1" t="s">
        <v>8005</v>
      </c>
      <c r="C799" s="1" t="s">
        <v>74</v>
      </c>
      <c r="D799" s="1" t="s">
        <v>74</v>
      </c>
      <c r="E799" s="1" t="s">
        <v>74</v>
      </c>
      <c r="F799" s="1" t="s">
        <v>8006</v>
      </c>
      <c r="G799" s="1" t="s">
        <v>74</v>
      </c>
      <c r="H799" s="1" t="s">
        <v>74</v>
      </c>
      <c r="I799" s="1" t="s">
        <v>8007</v>
      </c>
      <c r="J799" s="1" t="s">
        <v>2545</v>
      </c>
      <c r="K799" s="1" t="s">
        <v>74</v>
      </c>
      <c r="L799" s="1" t="s">
        <v>74</v>
      </c>
      <c r="M799" s="1" t="s">
        <v>74</v>
      </c>
      <c r="N799" s="1" t="s">
        <v>74</v>
      </c>
      <c r="O799" s="1" t="s">
        <v>74</v>
      </c>
      <c r="P799" s="1" t="s">
        <v>74</v>
      </c>
      <c r="Q799" s="1" t="s">
        <v>74</v>
      </c>
      <c r="R799" s="1" t="s">
        <v>74</v>
      </c>
      <c r="S799" s="1" t="s">
        <v>74</v>
      </c>
      <c r="T799" s="1" t="s">
        <v>74</v>
      </c>
      <c r="U799" s="1" t="s">
        <v>74</v>
      </c>
      <c r="V799" s="1" t="s">
        <v>8008</v>
      </c>
      <c r="W799" s="1" t="s">
        <v>74</v>
      </c>
      <c r="X799" s="1" t="s">
        <v>74</v>
      </c>
      <c r="Y799" s="1" t="s">
        <v>74</v>
      </c>
      <c r="Z799" s="1" t="s">
        <v>74</v>
      </c>
      <c r="AA799" s="1" t="s">
        <v>8009</v>
      </c>
      <c r="AB799" s="1" t="s">
        <v>8010</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2549</v>
      </c>
      <c r="AP799" s="1" t="s">
        <v>2550</v>
      </c>
      <c r="AQ799" s="1" t="s">
        <v>74</v>
      </c>
      <c r="AR799" s="1" t="s">
        <v>74</v>
      </c>
      <c r="AS799" s="1" t="s">
        <v>74</v>
      </c>
      <c r="AT799" s="1" t="s">
        <v>177</v>
      </c>
      <c r="AU799" s="1">
        <v>2019.0</v>
      </c>
      <c r="AV799" s="1">
        <v>121.0</v>
      </c>
      <c r="AW799" s="1" t="s">
        <v>74</v>
      </c>
      <c r="AX799" s="1" t="s">
        <v>74</v>
      </c>
      <c r="AY799" s="1" t="s">
        <v>74</v>
      </c>
      <c r="AZ799" s="1" t="s">
        <v>74</v>
      </c>
      <c r="BA799" s="1" t="s">
        <v>74</v>
      </c>
      <c r="BB799" s="1">
        <v>127.0</v>
      </c>
      <c r="BC799" s="1">
        <v>135.0</v>
      </c>
      <c r="BD799" s="1" t="s">
        <v>74</v>
      </c>
      <c r="BE799" s="1" t="s">
        <v>8011</v>
      </c>
      <c r="BF799" s="2" t="str">
        <f>HYPERLINK("http://dx.doi.org/10.1016/j.foodres.2019.03.026","http://dx.doi.org/10.1016/j.foodres.2019.03.026")</f>
        <v>http://dx.doi.org/10.1016/j.foodres.2019.03.026</v>
      </c>
      <c r="BG799" s="1" t="s">
        <v>74</v>
      </c>
      <c r="BH799" s="1" t="s">
        <v>74</v>
      </c>
      <c r="BI799" s="1" t="s">
        <v>74</v>
      </c>
      <c r="BJ799" s="1" t="s">
        <v>74</v>
      </c>
      <c r="BK799" s="1" t="s">
        <v>74</v>
      </c>
      <c r="BL799" s="1" t="s">
        <v>74</v>
      </c>
      <c r="BM799" s="1" t="s">
        <v>74</v>
      </c>
      <c r="BN799" s="1">
        <v>3.1108733E7</v>
      </c>
      <c r="BO799" s="1" t="s">
        <v>74</v>
      </c>
      <c r="BP799" s="1" t="s">
        <v>74</v>
      </c>
      <c r="BQ799" s="1" t="s">
        <v>74</v>
      </c>
      <c r="BR799" s="1" t="s">
        <v>74</v>
      </c>
      <c r="BS799" s="1" t="s">
        <v>8012</v>
      </c>
      <c r="BT799" s="1" t="str">
        <f>HYPERLINK("https%3A%2F%2Fwww.webofscience.com%2Fwos%2Fwoscc%2Ffull-record%2FWOS:000470048200014","View Full Record in Web of Science")</f>
        <v>View Full Record in Web of Science</v>
      </c>
    </row>
    <row r="800" ht="12.75" customHeight="1">
      <c r="A800" s="1" t="s">
        <v>72</v>
      </c>
      <c r="B800" s="1" t="s">
        <v>8013</v>
      </c>
      <c r="C800" s="1" t="s">
        <v>74</v>
      </c>
      <c r="D800" s="1" t="s">
        <v>74</v>
      </c>
      <c r="E800" s="1" t="s">
        <v>74</v>
      </c>
      <c r="F800" s="1" t="s">
        <v>8014</v>
      </c>
      <c r="G800" s="1" t="s">
        <v>74</v>
      </c>
      <c r="H800" s="1" t="s">
        <v>74</v>
      </c>
      <c r="I800" s="1" t="s">
        <v>8015</v>
      </c>
      <c r="J800" s="1" t="s">
        <v>1684</v>
      </c>
      <c r="K800" s="1" t="s">
        <v>74</v>
      </c>
      <c r="L800" s="1" t="s">
        <v>74</v>
      </c>
      <c r="M800" s="1" t="s">
        <v>74</v>
      </c>
      <c r="N800" s="1" t="s">
        <v>74</v>
      </c>
      <c r="O800" s="1" t="s">
        <v>74</v>
      </c>
      <c r="P800" s="1" t="s">
        <v>74</v>
      </c>
      <c r="Q800" s="1" t="s">
        <v>74</v>
      </c>
      <c r="R800" s="1" t="s">
        <v>74</v>
      </c>
      <c r="S800" s="1" t="s">
        <v>74</v>
      </c>
      <c r="T800" s="1" t="s">
        <v>74</v>
      </c>
      <c r="U800" s="1" t="s">
        <v>74</v>
      </c>
      <c r="V800" s="1" t="s">
        <v>8016</v>
      </c>
      <c r="W800" s="1" t="s">
        <v>74</v>
      </c>
      <c r="X800" s="1" t="s">
        <v>74</v>
      </c>
      <c r="Y800" s="1" t="s">
        <v>74</v>
      </c>
      <c r="Z800" s="1" t="s">
        <v>74</v>
      </c>
      <c r="AA800" s="1" t="s">
        <v>8017</v>
      </c>
      <c r="AB800" s="1" t="s">
        <v>8018</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1686</v>
      </c>
      <c r="AP800" s="1" t="s">
        <v>74</v>
      </c>
      <c r="AQ800" s="1" t="s">
        <v>74</v>
      </c>
      <c r="AR800" s="1" t="s">
        <v>74</v>
      </c>
      <c r="AS800" s="1" t="s">
        <v>74</v>
      </c>
      <c r="AT800" s="1" t="s">
        <v>1303</v>
      </c>
      <c r="AU800" s="1">
        <v>2018.0</v>
      </c>
      <c r="AV800" s="1">
        <v>9.0</v>
      </c>
      <c r="AW800" s="1" t="s">
        <v>74</v>
      </c>
      <c r="AX800" s="1" t="s">
        <v>74</v>
      </c>
      <c r="AY800" s="1" t="s">
        <v>74</v>
      </c>
      <c r="AZ800" s="1" t="s">
        <v>74</v>
      </c>
      <c r="BA800" s="1" t="s">
        <v>74</v>
      </c>
      <c r="BB800" s="1" t="s">
        <v>74</v>
      </c>
      <c r="BC800" s="1" t="s">
        <v>74</v>
      </c>
      <c r="BD800" s="1">
        <v>1485.0</v>
      </c>
      <c r="BE800" s="1" t="s">
        <v>8019</v>
      </c>
      <c r="BF800" s="2" t="str">
        <f>HYPERLINK("http://dx.doi.org/10.3389/fphar.2018.01485","http://dx.doi.org/10.3389/fphar.2018.01485")</f>
        <v>http://dx.doi.org/10.3389/fphar.2018.01485</v>
      </c>
      <c r="BG800" s="1" t="s">
        <v>74</v>
      </c>
      <c r="BH800" s="1" t="s">
        <v>74</v>
      </c>
      <c r="BI800" s="1" t="s">
        <v>74</v>
      </c>
      <c r="BJ800" s="1" t="s">
        <v>74</v>
      </c>
      <c r="BK800" s="1" t="s">
        <v>74</v>
      </c>
      <c r="BL800" s="1" t="s">
        <v>74</v>
      </c>
      <c r="BM800" s="1" t="s">
        <v>74</v>
      </c>
      <c r="BN800" s="1">
        <v>3.0618772E7</v>
      </c>
      <c r="BO800" s="1" t="s">
        <v>74</v>
      </c>
      <c r="BP800" s="1" t="s">
        <v>74</v>
      </c>
      <c r="BQ800" s="1" t="s">
        <v>74</v>
      </c>
      <c r="BR800" s="1" t="s">
        <v>74</v>
      </c>
      <c r="BS800" s="1" t="s">
        <v>8020</v>
      </c>
      <c r="BT800" s="1" t="str">
        <f>HYPERLINK("https%3A%2F%2Fwww.webofscience.com%2Fwos%2Fwoscc%2Ffull-record%2FWOS:000453861900001","View Full Record in Web of Science")</f>
        <v>View Full Record in Web of Science</v>
      </c>
    </row>
    <row r="801" ht="12.75" customHeight="1">
      <c r="A801" s="1" t="s">
        <v>72</v>
      </c>
      <c r="B801" s="1" t="s">
        <v>8021</v>
      </c>
      <c r="C801" s="1" t="s">
        <v>74</v>
      </c>
      <c r="D801" s="1" t="s">
        <v>74</v>
      </c>
      <c r="E801" s="1" t="s">
        <v>74</v>
      </c>
      <c r="F801" s="1" t="s">
        <v>8022</v>
      </c>
      <c r="G801" s="1" t="s">
        <v>74</v>
      </c>
      <c r="H801" s="1" t="s">
        <v>74</v>
      </c>
      <c r="I801" s="1" t="s">
        <v>8023</v>
      </c>
      <c r="J801" s="1" t="s">
        <v>8024</v>
      </c>
      <c r="K801" s="1" t="s">
        <v>74</v>
      </c>
      <c r="L801" s="1" t="s">
        <v>74</v>
      </c>
      <c r="M801" s="1" t="s">
        <v>74</v>
      </c>
      <c r="N801" s="1" t="s">
        <v>74</v>
      </c>
      <c r="O801" s="1" t="s">
        <v>74</v>
      </c>
      <c r="P801" s="1" t="s">
        <v>74</v>
      </c>
      <c r="Q801" s="1" t="s">
        <v>74</v>
      </c>
      <c r="R801" s="1" t="s">
        <v>74</v>
      </c>
      <c r="S801" s="1" t="s">
        <v>74</v>
      </c>
      <c r="T801" s="1" t="s">
        <v>74</v>
      </c>
      <c r="U801" s="1" t="s">
        <v>74</v>
      </c>
      <c r="V801" s="1" t="s">
        <v>8025</v>
      </c>
      <c r="W801" s="1" t="s">
        <v>74</v>
      </c>
      <c r="X801" s="1" t="s">
        <v>74</v>
      </c>
      <c r="Y801" s="1" t="s">
        <v>74</v>
      </c>
      <c r="Z801" s="1" t="s">
        <v>74</v>
      </c>
      <c r="AA801" s="1" t="s">
        <v>8026</v>
      </c>
      <c r="AB801" s="1" t="s">
        <v>8027</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8028</v>
      </c>
      <c r="AP801" s="1" t="s">
        <v>8029</v>
      </c>
      <c r="AQ801" s="1" t="s">
        <v>74</v>
      </c>
      <c r="AR801" s="1" t="s">
        <v>74</v>
      </c>
      <c r="AS801" s="1" t="s">
        <v>74</v>
      </c>
      <c r="AT801" s="1" t="s">
        <v>271</v>
      </c>
      <c r="AU801" s="1">
        <v>2017.0</v>
      </c>
      <c r="AV801" s="1">
        <v>121.0</v>
      </c>
      <c r="AW801" s="1">
        <v>9.0</v>
      </c>
      <c r="AX801" s="1" t="s">
        <v>74</v>
      </c>
      <c r="AY801" s="1" t="s">
        <v>74</v>
      </c>
      <c r="AZ801" s="1" t="s">
        <v>74</v>
      </c>
      <c r="BA801" s="1" t="s">
        <v>74</v>
      </c>
      <c r="BB801" s="1">
        <v>754.0</v>
      </c>
      <c r="BC801" s="1">
        <v>762.0</v>
      </c>
      <c r="BD801" s="1" t="s">
        <v>74</v>
      </c>
      <c r="BE801" s="1" t="s">
        <v>8030</v>
      </c>
      <c r="BF801" s="2" t="str">
        <f>HYPERLINK("http://dx.doi.org/10.1016/j.funbio.2017.05.007","http://dx.doi.org/10.1016/j.funbio.2017.05.007")</f>
        <v>http://dx.doi.org/10.1016/j.funbio.2017.05.007</v>
      </c>
      <c r="BG801" s="1" t="s">
        <v>74</v>
      </c>
      <c r="BH801" s="1" t="s">
        <v>74</v>
      </c>
      <c r="BI801" s="1" t="s">
        <v>74</v>
      </c>
      <c r="BJ801" s="1" t="s">
        <v>74</v>
      </c>
      <c r="BK801" s="1" t="s">
        <v>74</v>
      </c>
      <c r="BL801" s="1" t="s">
        <v>74</v>
      </c>
      <c r="BM801" s="1" t="s">
        <v>74</v>
      </c>
      <c r="BN801" s="1">
        <v>2.8800847E7</v>
      </c>
      <c r="BO801" s="1" t="s">
        <v>74</v>
      </c>
      <c r="BP801" s="1" t="s">
        <v>74</v>
      </c>
      <c r="BQ801" s="1" t="s">
        <v>74</v>
      </c>
      <c r="BR801" s="1" t="s">
        <v>74</v>
      </c>
      <c r="BS801" s="1" t="s">
        <v>8031</v>
      </c>
      <c r="BT801" s="1" t="str">
        <f>HYPERLINK("https%3A%2F%2Fwww.webofscience.com%2Fwos%2Fwoscc%2Ffull-record%2FWOS:000419930600002","View Full Record in Web of Science")</f>
        <v>View Full Record in Web of Science</v>
      </c>
    </row>
    <row r="802" ht="12.75" customHeight="1">
      <c r="A802" s="1" t="s">
        <v>72</v>
      </c>
      <c r="B802" s="1" t="s">
        <v>8032</v>
      </c>
      <c r="C802" s="1" t="s">
        <v>74</v>
      </c>
      <c r="D802" s="1" t="s">
        <v>74</v>
      </c>
      <c r="E802" s="1" t="s">
        <v>74</v>
      </c>
      <c r="F802" s="1" t="s">
        <v>8033</v>
      </c>
      <c r="G802" s="1" t="s">
        <v>74</v>
      </c>
      <c r="H802" s="1" t="s">
        <v>74</v>
      </c>
      <c r="I802" s="1" t="s">
        <v>8034</v>
      </c>
      <c r="J802" s="1" t="s">
        <v>3727</v>
      </c>
      <c r="K802" s="1" t="s">
        <v>74</v>
      </c>
      <c r="L802" s="1" t="s">
        <v>74</v>
      </c>
      <c r="M802" s="1" t="s">
        <v>74</v>
      </c>
      <c r="N802" s="1" t="s">
        <v>74</v>
      </c>
      <c r="O802" s="1" t="s">
        <v>74</v>
      </c>
      <c r="P802" s="1" t="s">
        <v>74</v>
      </c>
      <c r="Q802" s="1" t="s">
        <v>74</v>
      </c>
      <c r="R802" s="1" t="s">
        <v>74</v>
      </c>
      <c r="S802" s="1" t="s">
        <v>74</v>
      </c>
      <c r="T802" s="1" t="s">
        <v>74</v>
      </c>
      <c r="U802" s="1" t="s">
        <v>74</v>
      </c>
      <c r="V802" s="1" t="s">
        <v>8035</v>
      </c>
      <c r="W802" s="1" t="s">
        <v>74</v>
      </c>
      <c r="X802" s="1" t="s">
        <v>74</v>
      </c>
      <c r="Y802" s="1" t="s">
        <v>74</v>
      </c>
      <c r="Z802" s="1" t="s">
        <v>74</v>
      </c>
      <c r="AA802" s="1" t="s">
        <v>5629</v>
      </c>
      <c r="AB802" s="1" t="s">
        <v>8036</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3731</v>
      </c>
      <c r="AP802" s="1" t="s">
        <v>3732</v>
      </c>
      <c r="AQ802" s="1" t="s">
        <v>74</v>
      </c>
      <c r="AR802" s="1" t="s">
        <v>74</v>
      </c>
      <c r="AS802" s="1" t="s">
        <v>74</v>
      </c>
      <c r="AT802" s="1" t="s">
        <v>74</v>
      </c>
      <c r="AU802" s="1">
        <v>2016.0</v>
      </c>
      <c r="AV802" s="1">
        <v>51.0</v>
      </c>
      <c r="AW802" s="1">
        <v>8.0</v>
      </c>
      <c r="AX802" s="1" t="s">
        <v>74</v>
      </c>
      <c r="AY802" s="1" t="s">
        <v>74</v>
      </c>
      <c r="AZ802" s="1" t="s">
        <v>74</v>
      </c>
      <c r="BA802" s="1" t="s">
        <v>74</v>
      </c>
      <c r="BB802" s="1">
        <v>650.0</v>
      </c>
      <c r="BC802" s="1">
        <v>655.0</v>
      </c>
      <c r="BD802" s="1" t="s">
        <v>74</v>
      </c>
      <c r="BE802" s="1" t="s">
        <v>8037</v>
      </c>
      <c r="BF802" s="2" t="str">
        <f>HYPERLINK("http://dx.doi.org/10.1080/10934529.2016.1159875","http://dx.doi.org/10.1080/10934529.2016.1159875")</f>
        <v>http://dx.doi.org/10.1080/10934529.2016.1159875</v>
      </c>
      <c r="BG802" s="1" t="s">
        <v>74</v>
      </c>
      <c r="BH802" s="1" t="s">
        <v>74</v>
      </c>
      <c r="BI802" s="1" t="s">
        <v>74</v>
      </c>
      <c r="BJ802" s="1" t="s">
        <v>74</v>
      </c>
      <c r="BK802" s="1" t="s">
        <v>74</v>
      </c>
      <c r="BL802" s="1" t="s">
        <v>74</v>
      </c>
      <c r="BM802" s="1" t="s">
        <v>74</v>
      </c>
      <c r="BN802" s="1">
        <v>2.709322E7</v>
      </c>
      <c r="BO802" s="1" t="s">
        <v>74</v>
      </c>
      <c r="BP802" s="1" t="s">
        <v>74</v>
      </c>
      <c r="BQ802" s="1" t="s">
        <v>74</v>
      </c>
      <c r="BR802" s="1" t="s">
        <v>74</v>
      </c>
      <c r="BS802" s="1" t="s">
        <v>8038</v>
      </c>
      <c r="BT802" s="1" t="str">
        <f>HYPERLINK("https%3A%2F%2Fwww.webofscience.com%2Fwos%2Fwoscc%2Ffull-record%2FWOS:000375849900007","View Full Record in Web of Science")</f>
        <v>View Full Record in Web of Science</v>
      </c>
    </row>
    <row r="803" ht="12.75" customHeight="1">
      <c r="A803" s="1" t="s">
        <v>72</v>
      </c>
      <c r="B803" s="1" t="s">
        <v>8039</v>
      </c>
      <c r="C803" s="1" t="s">
        <v>74</v>
      </c>
      <c r="D803" s="1" t="s">
        <v>74</v>
      </c>
      <c r="E803" s="1" t="s">
        <v>74</v>
      </c>
      <c r="F803" s="1" t="s">
        <v>8040</v>
      </c>
      <c r="G803" s="1" t="s">
        <v>74</v>
      </c>
      <c r="H803" s="1" t="s">
        <v>74</v>
      </c>
      <c r="I803" s="1" t="s">
        <v>8041</v>
      </c>
      <c r="J803" s="1" t="s">
        <v>1937</v>
      </c>
      <c r="K803" s="1" t="s">
        <v>74</v>
      </c>
      <c r="L803" s="1" t="s">
        <v>74</v>
      </c>
      <c r="M803" s="1" t="s">
        <v>74</v>
      </c>
      <c r="N803" s="1" t="s">
        <v>74</v>
      </c>
      <c r="O803" s="1" t="s">
        <v>74</v>
      </c>
      <c r="P803" s="1" t="s">
        <v>74</v>
      </c>
      <c r="Q803" s="1" t="s">
        <v>74</v>
      </c>
      <c r="R803" s="1" t="s">
        <v>74</v>
      </c>
      <c r="S803" s="1" t="s">
        <v>74</v>
      </c>
      <c r="T803" s="1" t="s">
        <v>74</v>
      </c>
      <c r="U803" s="1" t="s">
        <v>74</v>
      </c>
      <c r="V803" s="1" t="s">
        <v>8042</v>
      </c>
      <c r="W803" s="1" t="s">
        <v>74</v>
      </c>
      <c r="X803" s="1" t="s">
        <v>74</v>
      </c>
      <c r="Y803" s="1" t="s">
        <v>74</v>
      </c>
      <c r="Z803" s="1" t="s">
        <v>74</v>
      </c>
      <c r="AA803" s="1" t="s">
        <v>8043</v>
      </c>
      <c r="AB803" s="1" t="s">
        <v>8044</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1941</v>
      </c>
      <c r="AP803" s="1" t="s">
        <v>74</v>
      </c>
      <c r="AQ803" s="1" t="s">
        <v>74</v>
      </c>
      <c r="AR803" s="1" t="s">
        <v>74</v>
      </c>
      <c r="AS803" s="1" t="s">
        <v>74</v>
      </c>
      <c r="AT803" s="1" t="s">
        <v>8045</v>
      </c>
      <c r="AU803" s="1">
        <v>2015.0</v>
      </c>
      <c r="AV803" s="1">
        <v>6.0</v>
      </c>
      <c r="AW803" s="1" t="s">
        <v>74</v>
      </c>
      <c r="AX803" s="1" t="s">
        <v>74</v>
      </c>
      <c r="AY803" s="1" t="s">
        <v>74</v>
      </c>
      <c r="AZ803" s="1" t="s">
        <v>74</v>
      </c>
      <c r="BA803" s="1" t="s">
        <v>74</v>
      </c>
      <c r="BB803" s="1" t="s">
        <v>74</v>
      </c>
      <c r="BC803" s="1" t="s">
        <v>74</v>
      </c>
      <c r="BD803" s="1">
        <v>903.0</v>
      </c>
      <c r="BE803" s="1" t="s">
        <v>8046</v>
      </c>
      <c r="BF803" s="2" t="str">
        <f>HYPERLINK("http://dx.doi.org/10.3389/fmicb.2015.00903","http://dx.doi.org/10.3389/fmicb.2015.00903")</f>
        <v>http://dx.doi.org/10.3389/fmicb.2015.00903</v>
      </c>
      <c r="BG803" s="1" t="s">
        <v>74</v>
      </c>
      <c r="BH803" s="1" t="s">
        <v>74</v>
      </c>
      <c r="BI803" s="1" t="s">
        <v>74</v>
      </c>
      <c r="BJ803" s="1" t="s">
        <v>74</v>
      </c>
      <c r="BK803" s="1" t="s">
        <v>74</v>
      </c>
      <c r="BL803" s="1" t="s">
        <v>74</v>
      </c>
      <c r="BM803" s="1" t="s">
        <v>74</v>
      </c>
      <c r="BN803" s="1">
        <v>2.6441853E7</v>
      </c>
      <c r="BO803" s="1" t="s">
        <v>74</v>
      </c>
      <c r="BP803" s="1" t="s">
        <v>74</v>
      </c>
      <c r="BQ803" s="1" t="s">
        <v>74</v>
      </c>
      <c r="BR803" s="1" t="s">
        <v>74</v>
      </c>
      <c r="BS803" s="1" t="s">
        <v>8047</v>
      </c>
      <c r="BT803" s="1" t="str">
        <f>HYPERLINK("https%3A%2F%2Fwww.webofscience.com%2Fwos%2Fwoscc%2Ffull-record%2FWOS:000361157000001","View Full Record in Web of Science")</f>
        <v>View Full Record in Web of Science</v>
      </c>
    </row>
    <row r="804" ht="12.75" customHeight="1">
      <c r="A804" s="1" t="s">
        <v>72</v>
      </c>
      <c r="B804" s="1" t="s">
        <v>8048</v>
      </c>
      <c r="C804" s="1" t="s">
        <v>74</v>
      </c>
      <c r="D804" s="1" t="s">
        <v>74</v>
      </c>
      <c r="E804" s="1" t="s">
        <v>74</v>
      </c>
      <c r="F804" s="1" t="s">
        <v>8049</v>
      </c>
      <c r="G804" s="1" t="s">
        <v>74</v>
      </c>
      <c r="H804" s="1" t="s">
        <v>74</v>
      </c>
      <c r="I804" s="1" t="s">
        <v>8050</v>
      </c>
      <c r="J804" s="1" t="s">
        <v>2789</v>
      </c>
      <c r="K804" s="1" t="s">
        <v>74</v>
      </c>
      <c r="L804" s="1" t="s">
        <v>74</v>
      </c>
      <c r="M804" s="1" t="s">
        <v>74</v>
      </c>
      <c r="N804" s="1" t="s">
        <v>74</v>
      </c>
      <c r="O804" s="1" t="s">
        <v>74</v>
      </c>
      <c r="P804" s="1" t="s">
        <v>74</v>
      </c>
      <c r="Q804" s="1" t="s">
        <v>74</v>
      </c>
      <c r="R804" s="1" t="s">
        <v>74</v>
      </c>
      <c r="S804" s="1" t="s">
        <v>74</v>
      </c>
      <c r="T804" s="1" t="s">
        <v>74</v>
      </c>
      <c r="U804" s="1" t="s">
        <v>74</v>
      </c>
      <c r="V804" s="1" t="s">
        <v>8051</v>
      </c>
      <c r="W804" s="1" t="s">
        <v>74</v>
      </c>
      <c r="X804" s="1" t="s">
        <v>74</v>
      </c>
      <c r="Y804" s="1" t="s">
        <v>74</v>
      </c>
      <c r="Z804" s="1" t="s">
        <v>74</v>
      </c>
      <c r="AA804" s="1" t="s">
        <v>8052</v>
      </c>
      <c r="AB804" s="1" t="s">
        <v>8053</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2793</v>
      </c>
      <c r="AP804" s="1" t="s">
        <v>8054</v>
      </c>
      <c r="AQ804" s="1" t="s">
        <v>74</v>
      </c>
      <c r="AR804" s="1" t="s">
        <v>74</v>
      </c>
      <c r="AS804" s="1" t="s">
        <v>74</v>
      </c>
      <c r="AT804" s="1" t="s">
        <v>2112</v>
      </c>
      <c r="AU804" s="1">
        <v>2014.0</v>
      </c>
      <c r="AV804" s="1">
        <v>104.0</v>
      </c>
      <c r="AW804" s="1">
        <v>12.0</v>
      </c>
      <c r="AX804" s="1" t="s">
        <v>74</v>
      </c>
      <c r="AY804" s="1" t="s">
        <v>74</v>
      </c>
      <c r="AZ804" s="1" t="s">
        <v>74</v>
      </c>
      <c r="BA804" s="1" t="s">
        <v>74</v>
      </c>
      <c r="BB804" s="1" t="s">
        <v>74</v>
      </c>
      <c r="BC804" s="1" t="s">
        <v>74</v>
      </c>
      <c r="BD804" s="1">
        <v>123102.0</v>
      </c>
      <c r="BE804" s="1" t="s">
        <v>8055</v>
      </c>
      <c r="BF804" s="2" t="str">
        <f>HYPERLINK("http://dx.doi.org/10.1063/1.4869549","http://dx.doi.org/10.1063/1.4869549")</f>
        <v>http://dx.doi.org/10.1063/1.4869549</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8056</v>
      </c>
      <c r="BT804" s="1" t="str">
        <f>HYPERLINK("https%3A%2F%2Fwww.webofscience.com%2Fwos%2Fwoscc%2Ffull-record%2FWOS:000334078500061","View Full Record in Web of Science")</f>
        <v>View Full Record in Web of Science</v>
      </c>
    </row>
    <row r="805" ht="12.75" customHeight="1">
      <c r="A805" s="1" t="s">
        <v>72</v>
      </c>
      <c r="B805" s="1" t="s">
        <v>8057</v>
      </c>
      <c r="C805" s="1" t="s">
        <v>74</v>
      </c>
      <c r="D805" s="1" t="s">
        <v>74</v>
      </c>
      <c r="E805" s="1" t="s">
        <v>74</v>
      </c>
      <c r="F805" s="1" t="s">
        <v>8058</v>
      </c>
      <c r="G805" s="1" t="s">
        <v>74</v>
      </c>
      <c r="H805" s="1" t="s">
        <v>74</v>
      </c>
      <c r="I805" s="1" t="s">
        <v>8059</v>
      </c>
      <c r="J805" s="1" t="s">
        <v>8060</v>
      </c>
      <c r="K805" s="1" t="s">
        <v>74</v>
      </c>
      <c r="L805" s="1" t="s">
        <v>74</v>
      </c>
      <c r="M805" s="1" t="s">
        <v>74</v>
      </c>
      <c r="N805" s="1" t="s">
        <v>74</v>
      </c>
      <c r="O805" s="1" t="s">
        <v>74</v>
      </c>
      <c r="P805" s="1" t="s">
        <v>74</v>
      </c>
      <c r="Q805" s="1" t="s">
        <v>74</v>
      </c>
      <c r="R805" s="1" t="s">
        <v>74</v>
      </c>
      <c r="S805" s="1" t="s">
        <v>74</v>
      </c>
      <c r="T805" s="1" t="s">
        <v>74</v>
      </c>
      <c r="U805" s="1" t="s">
        <v>74</v>
      </c>
      <c r="V805" s="1" t="s">
        <v>8061</v>
      </c>
      <c r="W805" s="1" t="s">
        <v>74</v>
      </c>
      <c r="X805" s="1" t="s">
        <v>74</v>
      </c>
      <c r="Y805" s="1" t="s">
        <v>74</v>
      </c>
      <c r="Z805" s="1" t="s">
        <v>74</v>
      </c>
      <c r="AA805" s="1" t="s">
        <v>8062</v>
      </c>
      <c r="AB805" s="1" t="s">
        <v>8063</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8064</v>
      </c>
      <c r="AP805" s="1" t="s">
        <v>8065</v>
      </c>
      <c r="AQ805" s="1" t="s">
        <v>74</v>
      </c>
      <c r="AR805" s="1" t="s">
        <v>74</v>
      </c>
      <c r="AS805" s="1" t="s">
        <v>74</v>
      </c>
      <c r="AT805" s="1" t="s">
        <v>192</v>
      </c>
      <c r="AU805" s="1">
        <v>2013.0</v>
      </c>
      <c r="AV805" s="1">
        <v>51.0</v>
      </c>
      <c r="AW805" s="1">
        <v>10.0</v>
      </c>
      <c r="AX805" s="1" t="s">
        <v>74</v>
      </c>
      <c r="AY805" s="1" t="s">
        <v>74</v>
      </c>
      <c r="AZ805" s="1" t="s">
        <v>74</v>
      </c>
      <c r="BA805" s="1" t="s">
        <v>74</v>
      </c>
      <c r="BB805" s="1">
        <v>1934.0</v>
      </c>
      <c r="BC805" s="1">
        <v>1941.0</v>
      </c>
      <c r="BD805" s="1" t="s">
        <v>74</v>
      </c>
      <c r="BE805" s="1" t="s">
        <v>8066</v>
      </c>
      <c r="BF805" s="2" t="str">
        <f>HYPERLINK("http://dx.doi.org/10.1016/j.asr.2012.04.004","http://dx.doi.org/10.1016/j.asr.2012.04.004")</f>
        <v>http://dx.doi.org/10.1016/j.asr.2012.04.004</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8067</v>
      </c>
      <c r="BT805" s="1" t="str">
        <f>HYPERLINK("https%3A%2F%2Fwww.webofscience.com%2Fwos%2Fwoscc%2Ffull-record%2FWOS:000318745800015","View Full Record in Web of Science")</f>
        <v>View Full Record in Web of Science</v>
      </c>
    </row>
    <row r="806" ht="12.75" customHeight="1">
      <c r="A806" s="1" t="s">
        <v>72</v>
      </c>
      <c r="B806" s="1" t="s">
        <v>8068</v>
      </c>
      <c r="C806" s="1" t="s">
        <v>74</v>
      </c>
      <c r="D806" s="1" t="s">
        <v>74</v>
      </c>
      <c r="E806" s="1" t="s">
        <v>74</v>
      </c>
      <c r="F806" s="1" t="s">
        <v>8069</v>
      </c>
      <c r="G806" s="1" t="s">
        <v>74</v>
      </c>
      <c r="H806" s="1" t="s">
        <v>74</v>
      </c>
      <c r="I806" s="1" t="s">
        <v>8070</v>
      </c>
      <c r="J806" s="1" t="s">
        <v>8071</v>
      </c>
      <c r="K806" s="1" t="s">
        <v>74</v>
      </c>
      <c r="L806" s="1" t="s">
        <v>74</v>
      </c>
      <c r="M806" s="1" t="s">
        <v>74</v>
      </c>
      <c r="N806" s="1" t="s">
        <v>74</v>
      </c>
      <c r="O806" s="1" t="s">
        <v>74</v>
      </c>
      <c r="P806" s="1" t="s">
        <v>74</v>
      </c>
      <c r="Q806" s="1" t="s">
        <v>74</v>
      </c>
      <c r="R806" s="1" t="s">
        <v>74</v>
      </c>
      <c r="S806" s="1" t="s">
        <v>74</v>
      </c>
      <c r="T806" s="1" t="s">
        <v>74</v>
      </c>
      <c r="U806" s="1" t="s">
        <v>74</v>
      </c>
      <c r="V806" s="1" t="s">
        <v>8072</v>
      </c>
      <c r="W806" s="1" t="s">
        <v>74</v>
      </c>
      <c r="X806" s="1" t="s">
        <v>74</v>
      </c>
      <c r="Y806" s="1" t="s">
        <v>74</v>
      </c>
      <c r="Z806" s="1" t="s">
        <v>74</v>
      </c>
      <c r="AA806" s="1" t="s">
        <v>888</v>
      </c>
      <c r="AB806" s="1" t="s">
        <v>966</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8073</v>
      </c>
      <c r="AP806" s="1" t="s">
        <v>8074</v>
      </c>
      <c r="AQ806" s="1" t="s">
        <v>74</v>
      </c>
      <c r="AR806" s="1" t="s">
        <v>74</v>
      </c>
      <c r="AS806" s="1" t="s">
        <v>74</v>
      </c>
      <c r="AT806" s="1" t="s">
        <v>74</v>
      </c>
      <c r="AU806" s="1">
        <v>2011.0</v>
      </c>
      <c r="AV806" s="1">
        <v>27.0</v>
      </c>
      <c r="AW806" s="1">
        <v>3.0</v>
      </c>
      <c r="AX806" s="1" t="s">
        <v>74</v>
      </c>
      <c r="AY806" s="1" t="s">
        <v>74</v>
      </c>
      <c r="AZ806" s="1" t="s">
        <v>74</v>
      </c>
      <c r="BA806" s="1" t="s">
        <v>74</v>
      </c>
      <c r="BB806" s="1">
        <v>179.0</v>
      </c>
      <c r="BC806" s="1">
        <v>185.0</v>
      </c>
      <c r="BD806" s="1" t="s">
        <v>74</v>
      </c>
      <c r="BE806" s="1" t="s">
        <v>8075</v>
      </c>
      <c r="BF806" s="2" t="str">
        <f>HYPERLINK("http://dx.doi.org/10.1027/1015-5759/a000065","http://dx.doi.org/10.1027/1015-5759/a000065")</f>
        <v>http://dx.doi.org/10.1027/1015-5759/a000065</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8076</v>
      </c>
      <c r="BT806" s="1" t="str">
        <f>HYPERLINK("https%3A%2F%2Fwww.webofscience.com%2Fwos%2Fwoscc%2Ffull-record%2FWOS:000293384900007","View Full Record in Web of Science")</f>
        <v>View Full Record in Web of Science</v>
      </c>
    </row>
    <row r="807" ht="12.75" customHeight="1">
      <c r="A807" s="1" t="s">
        <v>72</v>
      </c>
      <c r="B807" s="1" t="s">
        <v>8077</v>
      </c>
      <c r="C807" s="1" t="s">
        <v>74</v>
      </c>
      <c r="D807" s="1" t="s">
        <v>74</v>
      </c>
      <c r="E807" s="1" t="s">
        <v>74</v>
      </c>
      <c r="F807" s="1" t="s">
        <v>8078</v>
      </c>
      <c r="G807" s="1" t="s">
        <v>74</v>
      </c>
      <c r="H807" s="1" t="s">
        <v>74</v>
      </c>
      <c r="I807" s="1" t="s">
        <v>8079</v>
      </c>
      <c r="J807" s="1" t="s">
        <v>8080</v>
      </c>
      <c r="K807" s="1" t="s">
        <v>74</v>
      </c>
      <c r="L807" s="1" t="s">
        <v>74</v>
      </c>
      <c r="M807" s="1" t="s">
        <v>74</v>
      </c>
      <c r="N807" s="1" t="s">
        <v>74</v>
      </c>
      <c r="O807" s="1" t="s">
        <v>74</v>
      </c>
      <c r="P807" s="1" t="s">
        <v>74</v>
      </c>
      <c r="Q807" s="1" t="s">
        <v>74</v>
      </c>
      <c r="R807" s="1" t="s">
        <v>74</v>
      </c>
      <c r="S807" s="1" t="s">
        <v>74</v>
      </c>
      <c r="T807" s="1" t="s">
        <v>74</v>
      </c>
      <c r="U807" s="1" t="s">
        <v>74</v>
      </c>
      <c r="V807" s="1" t="s">
        <v>8081</v>
      </c>
      <c r="W807" s="1" t="s">
        <v>74</v>
      </c>
      <c r="X807" s="1" t="s">
        <v>74</v>
      </c>
      <c r="Y807" s="1" t="s">
        <v>74</v>
      </c>
      <c r="Z807" s="1" t="s">
        <v>74</v>
      </c>
      <c r="AA807" s="1" t="s">
        <v>8082</v>
      </c>
      <c r="AB807" s="1" t="s">
        <v>8083</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8084</v>
      </c>
      <c r="AP807" s="1" t="s">
        <v>74</v>
      </c>
      <c r="AQ807" s="1" t="s">
        <v>74</v>
      </c>
      <c r="AR807" s="1" t="s">
        <v>74</v>
      </c>
      <c r="AS807" s="1" t="s">
        <v>74</v>
      </c>
      <c r="AT807" s="1" t="s">
        <v>177</v>
      </c>
      <c r="AU807" s="1">
        <v>2010.0</v>
      </c>
      <c r="AV807" s="1">
        <v>76.0</v>
      </c>
      <c r="AW807" s="1">
        <v>14.0</v>
      </c>
      <c r="AX807" s="1" t="s">
        <v>74</v>
      </c>
      <c r="AY807" s="1" t="s">
        <v>74</v>
      </c>
      <c r="AZ807" s="1" t="s">
        <v>74</v>
      </c>
      <c r="BA807" s="1" t="s">
        <v>74</v>
      </c>
      <c r="BB807" s="1">
        <v>4901.0</v>
      </c>
      <c r="BC807" s="1">
        <v>4904.0</v>
      </c>
      <c r="BD807" s="1" t="s">
        <v>74</v>
      </c>
      <c r="BE807" s="1" t="s">
        <v>8085</v>
      </c>
      <c r="BF807" s="2" t="str">
        <f>HYPERLINK("http://dx.doi.org/10.1128/AEM.00598-10","http://dx.doi.org/10.1128/AEM.00598-10")</f>
        <v>http://dx.doi.org/10.1128/AEM.00598-10</v>
      </c>
      <c r="BG807" s="1" t="s">
        <v>74</v>
      </c>
      <c r="BH807" s="1" t="s">
        <v>74</v>
      </c>
      <c r="BI807" s="1" t="s">
        <v>74</v>
      </c>
      <c r="BJ807" s="1" t="s">
        <v>74</v>
      </c>
      <c r="BK807" s="1" t="s">
        <v>74</v>
      </c>
      <c r="BL807" s="1" t="s">
        <v>74</v>
      </c>
      <c r="BM807" s="1" t="s">
        <v>74</v>
      </c>
      <c r="BN807" s="1">
        <v>2.0525868E7</v>
      </c>
      <c r="BO807" s="1" t="s">
        <v>74</v>
      </c>
      <c r="BP807" s="1" t="s">
        <v>74</v>
      </c>
      <c r="BQ807" s="1" t="s">
        <v>74</v>
      </c>
      <c r="BR807" s="1" t="s">
        <v>74</v>
      </c>
      <c r="BS807" s="1" t="s">
        <v>8086</v>
      </c>
      <c r="BT807" s="1" t="str">
        <f>HYPERLINK("https%3A%2F%2Fwww.webofscience.com%2Fwos%2Fwoscc%2Ffull-record%2FWOS:000279611500042","View Full Record in Web of Science")</f>
        <v>View Full Record in Web of Science</v>
      </c>
    </row>
    <row r="808" ht="12.75" customHeight="1">
      <c r="A808" s="1" t="s">
        <v>72</v>
      </c>
      <c r="B808" s="1" t="s">
        <v>8087</v>
      </c>
      <c r="C808" s="1" t="s">
        <v>74</v>
      </c>
      <c r="D808" s="1" t="s">
        <v>74</v>
      </c>
      <c r="E808" s="1" t="s">
        <v>74</v>
      </c>
      <c r="F808" s="1" t="s">
        <v>8088</v>
      </c>
      <c r="G808" s="1" t="s">
        <v>74</v>
      </c>
      <c r="H808" s="1" t="s">
        <v>74</v>
      </c>
      <c r="I808" s="1" t="s">
        <v>8089</v>
      </c>
      <c r="J808" s="1" t="s">
        <v>253</v>
      </c>
      <c r="K808" s="1" t="s">
        <v>74</v>
      </c>
      <c r="L808" s="1" t="s">
        <v>74</v>
      </c>
      <c r="M808" s="1" t="s">
        <v>74</v>
      </c>
      <c r="N808" s="1" t="s">
        <v>74</v>
      </c>
      <c r="O808" s="1" t="s">
        <v>74</v>
      </c>
      <c r="P808" s="1" t="s">
        <v>74</v>
      </c>
      <c r="Q808" s="1" t="s">
        <v>74</v>
      </c>
      <c r="R808" s="1" t="s">
        <v>74</v>
      </c>
      <c r="S808" s="1" t="s">
        <v>74</v>
      </c>
      <c r="T808" s="1" t="s">
        <v>74</v>
      </c>
      <c r="U808" s="1" t="s">
        <v>74</v>
      </c>
      <c r="V808" s="1" t="s">
        <v>8090</v>
      </c>
      <c r="W808" s="1" t="s">
        <v>74</v>
      </c>
      <c r="X808" s="1" t="s">
        <v>74</v>
      </c>
      <c r="Y808" s="1" t="s">
        <v>74</v>
      </c>
      <c r="Z808" s="1" t="s">
        <v>74</v>
      </c>
      <c r="AA808" s="1" t="s">
        <v>8091</v>
      </c>
      <c r="AB808" s="1" t="s">
        <v>8092</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257</v>
      </c>
      <c r="AP808" s="1" t="s">
        <v>258</v>
      </c>
      <c r="AQ808" s="1" t="s">
        <v>74</v>
      </c>
      <c r="AR808" s="1" t="s">
        <v>74</v>
      </c>
      <c r="AS808" s="1" t="s">
        <v>74</v>
      </c>
      <c r="AT808" s="1" t="s">
        <v>1106</v>
      </c>
      <c r="AU808" s="1">
        <v>2007.0</v>
      </c>
      <c r="AV808" s="1">
        <v>308.0</v>
      </c>
      <c r="AW808" s="1">
        <v>2.0</v>
      </c>
      <c r="AX808" s="1" t="s">
        <v>74</v>
      </c>
      <c r="AY808" s="1" t="s">
        <v>74</v>
      </c>
      <c r="AZ808" s="1" t="s">
        <v>74</v>
      </c>
      <c r="BA808" s="1" t="s">
        <v>74</v>
      </c>
      <c r="BB808" s="1">
        <v>233.0</v>
      </c>
      <c r="BC808" s="1">
        <v>237.0</v>
      </c>
      <c r="BD808" s="1" t="s">
        <v>74</v>
      </c>
      <c r="BE808" s="1" t="s">
        <v>8093</v>
      </c>
      <c r="BF808" s="2" t="str">
        <f>HYPERLINK("http://dx.doi.org/10.1016/j.jmmm.2006.05.019","http://dx.doi.org/10.1016/j.jmmm.2006.05.019")</f>
        <v>http://dx.doi.org/10.1016/j.jmmm.2006.05.019</v>
      </c>
      <c r="BG808" s="1" t="s">
        <v>74</v>
      </c>
      <c r="BH808" s="1" t="s">
        <v>74</v>
      </c>
      <c r="BI808" s="1" t="s">
        <v>74</v>
      </c>
      <c r="BJ808" s="1" t="s">
        <v>74</v>
      </c>
      <c r="BK808" s="1" t="s">
        <v>74</v>
      </c>
      <c r="BL808" s="1" t="s">
        <v>74</v>
      </c>
      <c r="BM808" s="1" t="s">
        <v>74</v>
      </c>
      <c r="BN808" s="1" t="s">
        <v>74</v>
      </c>
      <c r="BO808" s="1" t="s">
        <v>74</v>
      </c>
      <c r="BP808" s="1" t="s">
        <v>74</v>
      </c>
      <c r="BQ808" s="1" t="s">
        <v>74</v>
      </c>
      <c r="BR808" s="1" t="s">
        <v>74</v>
      </c>
      <c r="BS808" s="1" t="s">
        <v>8094</v>
      </c>
      <c r="BT808" s="1" t="str">
        <f>HYPERLINK("https%3A%2F%2Fwww.webofscience.com%2Fwos%2Fwoscc%2Ffull-record%2FWOS:000241713600009","View Full Record in Web of Science")</f>
        <v>View Full Record in Web of Science</v>
      </c>
    </row>
    <row r="809" ht="12.75" customHeight="1">
      <c r="A809" s="1" t="s">
        <v>72</v>
      </c>
      <c r="B809" s="1" t="s">
        <v>8095</v>
      </c>
      <c r="C809" s="1" t="s">
        <v>74</v>
      </c>
      <c r="D809" s="1" t="s">
        <v>74</v>
      </c>
      <c r="E809" s="1" t="s">
        <v>74</v>
      </c>
      <c r="F809" s="1" t="s">
        <v>8096</v>
      </c>
      <c r="G809" s="1" t="s">
        <v>74</v>
      </c>
      <c r="H809" s="1" t="s">
        <v>74</v>
      </c>
      <c r="I809" s="1" t="s">
        <v>8097</v>
      </c>
      <c r="J809" s="1" t="s">
        <v>3323</v>
      </c>
      <c r="K809" s="1" t="s">
        <v>74</v>
      </c>
      <c r="L809" s="1" t="s">
        <v>74</v>
      </c>
      <c r="M809" s="1" t="s">
        <v>74</v>
      </c>
      <c r="N809" s="1" t="s">
        <v>74</v>
      </c>
      <c r="O809" s="1" t="s">
        <v>74</v>
      </c>
      <c r="P809" s="1" t="s">
        <v>74</v>
      </c>
      <c r="Q809" s="1" t="s">
        <v>74</v>
      </c>
      <c r="R809" s="1" t="s">
        <v>74</v>
      </c>
      <c r="S809" s="1" t="s">
        <v>74</v>
      </c>
      <c r="T809" s="1" t="s">
        <v>74</v>
      </c>
      <c r="U809" s="1" t="s">
        <v>74</v>
      </c>
      <c r="V809" s="1" t="s">
        <v>8098</v>
      </c>
      <c r="W809" s="1" t="s">
        <v>74</v>
      </c>
      <c r="X809" s="1" t="s">
        <v>74</v>
      </c>
      <c r="Y809" s="1" t="s">
        <v>74</v>
      </c>
      <c r="Z809" s="1" t="s">
        <v>74</v>
      </c>
      <c r="AA809" s="1" t="s">
        <v>74</v>
      </c>
      <c r="AB809" s="1" t="s">
        <v>8099</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3325</v>
      </c>
      <c r="AP809" s="1" t="s">
        <v>3326</v>
      </c>
      <c r="AQ809" s="1" t="s">
        <v>74</v>
      </c>
      <c r="AR809" s="1" t="s">
        <v>74</v>
      </c>
      <c r="AS809" s="1" t="s">
        <v>74</v>
      </c>
      <c r="AT809" s="1" t="s">
        <v>94</v>
      </c>
      <c r="AU809" s="1">
        <v>2006.0</v>
      </c>
      <c r="AV809" s="1">
        <v>73.0</v>
      </c>
      <c r="AW809" s="1">
        <v>12.0</v>
      </c>
      <c r="AX809" s="1" t="s">
        <v>74</v>
      </c>
      <c r="AY809" s="1" t="s">
        <v>74</v>
      </c>
      <c r="AZ809" s="1" t="s">
        <v>74</v>
      </c>
      <c r="BA809" s="1" t="s">
        <v>74</v>
      </c>
      <c r="BB809" s="1" t="s">
        <v>74</v>
      </c>
      <c r="BC809" s="1" t="s">
        <v>74</v>
      </c>
      <c r="BD809" s="1">
        <v>125007.0</v>
      </c>
      <c r="BE809" s="1" t="s">
        <v>8100</v>
      </c>
      <c r="BF809" s="2" t="str">
        <f>HYPERLINK("http://dx.doi.org/10.1103/PhysRevD.73.125007","http://dx.doi.org/10.1103/PhysRevD.73.125007")</f>
        <v>http://dx.doi.org/10.1103/PhysRevD.73.125007</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8101</v>
      </c>
      <c r="BT809" s="1" t="str">
        <f>HYPERLINK("https%3A%2F%2Fwww.webofscience.com%2Fwos%2Fwoscc%2Ffull-record%2FWOS:000238698900087","View Full Record in Web of Science")</f>
        <v>View Full Record in Web of Science</v>
      </c>
    </row>
    <row r="810" ht="12.75" customHeight="1">
      <c r="A810" s="1" t="s">
        <v>72</v>
      </c>
      <c r="B810" s="1" t="s">
        <v>8102</v>
      </c>
      <c r="C810" s="1" t="s">
        <v>74</v>
      </c>
      <c r="D810" s="1" t="s">
        <v>74</v>
      </c>
      <c r="E810" s="1" t="s">
        <v>74</v>
      </c>
      <c r="F810" s="1" t="s">
        <v>8102</v>
      </c>
      <c r="G810" s="1" t="s">
        <v>74</v>
      </c>
      <c r="H810" s="1" t="s">
        <v>74</v>
      </c>
      <c r="I810" s="1" t="s">
        <v>8103</v>
      </c>
      <c r="J810" s="1" t="s">
        <v>8104</v>
      </c>
      <c r="K810" s="1" t="s">
        <v>74</v>
      </c>
      <c r="L810" s="1" t="s">
        <v>74</v>
      </c>
      <c r="M810" s="1" t="s">
        <v>74</v>
      </c>
      <c r="N810" s="1" t="s">
        <v>74</v>
      </c>
      <c r="O810" s="1" t="s">
        <v>74</v>
      </c>
      <c r="P810" s="1" t="s">
        <v>74</v>
      </c>
      <c r="Q810" s="1" t="s">
        <v>74</v>
      </c>
      <c r="R810" s="1" t="s">
        <v>74</v>
      </c>
      <c r="S810" s="1" t="s">
        <v>74</v>
      </c>
      <c r="T810" s="1" t="s">
        <v>74</v>
      </c>
      <c r="U810" s="1" t="s">
        <v>74</v>
      </c>
      <c r="V810" s="1" t="s">
        <v>8105</v>
      </c>
      <c r="W810" s="1" t="s">
        <v>74</v>
      </c>
      <c r="X810" s="1" t="s">
        <v>74</v>
      </c>
      <c r="Y810" s="1" t="s">
        <v>74</v>
      </c>
      <c r="Z810" s="1" t="s">
        <v>74</v>
      </c>
      <c r="AA810" s="1" t="s">
        <v>74</v>
      </c>
      <c r="AB810" s="1" t="s">
        <v>8106</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8107</v>
      </c>
      <c r="AP810" s="1" t="s">
        <v>8108</v>
      </c>
      <c r="AQ810" s="1" t="s">
        <v>74</v>
      </c>
      <c r="AR810" s="1" t="s">
        <v>74</v>
      </c>
      <c r="AS810" s="1" t="s">
        <v>74</v>
      </c>
      <c r="AT810" s="1" t="s">
        <v>164</v>
      </c>
      <c r="AU810" s="1">
        <v>2004.0</v>
      </c>
      <c r="AV810" s="1">
        <v>78.0</v>
      </c>
      <c r="AW810" s="1">
        <v>24.0</v>
      </c>
      <c r="AX810" s="1" t="s">
        <v>74</v>
      </c>
      <c r="AY810" s="1" t="s">
        <v>74</v>
      </c>
      <c r="AZ810" s="1" t="s">
        <v>74</v>
      </c>
      <c r="BA810" s="1" t="s">
        <v>74</v>
      </c>
      <c r="BB810" s="1">
        <v>13829.0</v>
      </c>
      <c r="BC810" s="1">
        <v>13838.0</v>
      </c>
      <c r="BD810" s="1" t="s">
        <v>74</v>
      </c>
      <c r="BE810" s="1" t="s">
        <v>8109</v>
      </c>
      <c r="BF810" s="2" t="str">
        <f>HYPERLINK("http://dx.doi.org/10.1128/JVI.78.24.13829-13838.2004","http://dx.doi.org/10.1128/JVI.78.24.13829-13838.2004")</f>
        <v>http://dx.doi.org/10.1128/JVI.78.24.13829-13838.2004</v>
      </c>
      <c r="BG810" s="1" t="s">
        <v>74</v>
      </c>
      <c r="BH810" s="1" t="s">
        <v>74</v>
      </c>
      <c r="BI810" s="1" t="s">
        <v>74</v>
      </c>
      <c r="BJ810" s="1" t="s">
        <v>74</v>
      </c>
      <c r="BK810" s="1" t="s">
        <v>74</v>
      </c>
      <c r="BL810" s="1" t="s">
        <v>74</v>
      </c>
      <c r="BM810" s="1" t="s">
        <v>74</v>
      </c>
      <c r="BN810" s="1">
        <v>1.5564491E7</v>
      </c>
      <c r="BO810" s="1" t="s">
        <v>74</v>
      </c>
      <c r="BP810" s="1" t="s">
        <v>74</v>
      </c>
      <c r="BQ810" s="1" t="s">
        <v>74</v>
      </c>
      <c r="BR810" s="1" t="s">
        <v>74</v>
      </c>
      <c r="BS810" s="1" t="s">
        <v>8110</v>
      </c>
      <c r="BT810" s="1" t="str">
        <f>HYPERLINK("https%3A%2F%2Fwww.webofscience.com%2Fwos%2Fwoscc%2Ffull-record%2FWOS:000225409900042","View Full Record in Web of Science")</f>
        <v>View Full Record in Web of Science</v>
      </c>
    </row>
    <row r="811" ht="12.75" customHeight="1">
      <c r="A811" s="1" t="s">
        <v>72</v>
      </c>
      <c r="B811" s="1" t="s">
        <v>8111</v>
      </c>
      <c r="C811" s="1" t="s">
        <v>74</v>
      </c>
      <c r="D811" s="1" t="s">
        <v>74</v>
      </c>
      <c r="E811" s="1" t="s">
        <v>74</v>
      </c>
      <c r="F811" s="1" t="s">
        <v>8111</v>
      </c>
      <c r="G811" s="1" t="s">
        <v>74</v>
      </c>
      <c r="H811" s="1" t="s">
        <v>74</v>
      </c>
      <c r="I811" s="1" t="s">
        <v>8112</v>
      </c>
      <c r="J811" s="1" t="s">
        <v>4334</v>
      </c>
      <c r="K811" s="1" t="s">
        <v>74</v>
      </c>
      <c r="L811" s="1" t="s">
        <v>74</v>
      </c>
      <c r="M811" s="1" t="s">
        <v>74</v>
      </c>
      <c r="N811" s="1" t="s">
        <v>74</v>
      </c>
      <c r="O811" s="1" t="s">
        <v>74</v>
      </c>
      <c r="P811" s="1" t="s">
        <v>74</v>
      </c>
      <c r="Q811" s="1" t="s">
        <v>74</v>
      </c>
      <c r="R811" s="1" t="s">
        <v>74</v>
      </c>
      <c r="S811" s="1" t="s">
        <v>74</v>
      </c>
      <c r="T811" s="1" t="s">
        <v>74</v>
      </c>
      <c r="U811" s="1" t="s">
        <v>74</v>
      </c>
      <c r="V811" s="1" t="s">
        <v>8113</v>
      </c>
      <c r="W811" s="1" t="s">
        <v>74</v>
      </c>
      <c r="X811" s="1" t="s">
        <v>74</v>
      </c>
      <c r="Y811" s="1" t="s">
        <v>74</v>
      </c>
      <c r="Z811" s="1" t="s">
        <v>74</v>
      </c>
      <c r="AA811" s="1" t="s">
        <v>8114</v>
      </c>
      <c r="AB811" s="1" t="s">
        <v>8115</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4336</v>
      </c>
      <c r="AP811" s="1" t="s">
        <v>4337</v>
      </c>
      <c r="AQ811" s="1" t="s">
        <v>74</v>
      </c>
      <c r="AR811" s="1" t="s">
        <v>74</v>
      </c>
      <c r="AS811" s="1" t="s">
        <v>74</v>
      </c>
      <c r="AT811" s="1" t="s">
        <v>408</v>
      </c>
      <c r="AU811" s="1">
        <v>2003.0</v>
      </c>
      <c r="AV811" s="1">
        <v>67.0</v>
      </c>
      <c r="AW811" s="1">
        <v>3.0</v>
      </c>
      <c r="AX811" s="1">
        <v>2.0</v>
      </c>
      <c r="AY811" s="1" t="s">
        <v>74</v>
      </c>
      <c r="AZ811" s="1" t="s">
        <v>74</v>
      </c>
      <c r="BA811" s="1" t="s">
        <v>74</v>
      </c>
      <c r="BB811" s="1" t="s">
        <v>74</v>
      </c>
      <c r="BC811" s="1" t="s">
        <v>74</v>
      </c>
      <c r="BD811" s="1">
        <v>36610.0</v>
      </c>
      <c r="BE811" s="1" t="s">
        <v>8116</v>
      </c>
      <c r="BF811" s="2" t="str">
        <f>HYPERLINK("http://dx.doi.org/10.1103/PhysRevE.67.036610","http://dx.doi.org/10.1103/PhysRevE.67.036610")</f>
        <v>http://dx.doi.org/10.1103/PhysRevE.67.036610</v>
      </c>
      <c r="BG811" s="1" t="s">
        <v>74</v>
      </c>
      <c r="BH811" s="1" t="s">
        <v>74</v>
      </c>
      <c r="BI811" s="1" t="s">
        <v>74</v>
      </c>
      <c r="BJ811" s="1" t="s">
        <v>74</v>
      </c>
      <c r="BK811" s="1" t="s">
        <v>74</v>
      </c>
      <c r="BL811" s="1" t="s">
        <v>74</v>
      </c>
      <c r="BM811" s="1" t="s">
        <v>74</v>
      </c>
      <c r="BN811" s="1">
        <v>1.2689182E7</v>
      </c>
      <c r="BO811" s="1" t="s">
        <v>74</v>
      </c>
      <c r="BP811" s="1" t="s">
        <v>74</v>
      </c>
      <c r="BQ811" s="1" t="s">
        <v>74</v>
      </c>
      <c r="BR811" s="1" t="s">
        <v>74</v>
      </c>
      <c r="BS811" s="1" t="s">
        <v>8117</v>
      </c>
      <c r="BT811" s="1" t="str">
        <f>HYPERLINK("https%3A%2F%2Fwww.webofscience.com%2Fwos%2Fwoscc%2Ffull-record%2FWOS:000182020900064","View Full Record in Web of Science")</f>
        <v>View Full Record in Web of Science</v>
      </c>
    </row>
    <row r="812" ht="12.75" customHeight="1">
      <c r="A812" s="1" t="s">
        <v>72</v>
      </c>
      <c r="B812" s="1" t="s">
        <v>8118</v>
      </c>
      <c r="C812" s="1" t="s">
        <v>74</v>
      </c>
      <c r="D812" s="1" t="s">
        <v>74</v>
      </c>
      <c r="E812" s="1" t="s">
        <v>74</v>
      </c>
      <c r="F812" s="1" t="s">
        <v>8119</v>
      </c>
      <c r="G812" s="1" t="s">
        <v>74</v>
      </c>
      <c r="H812" s="1" t="s">
        <v>74</v>
      </c>
      <c r="I812" s="1" t="s">
        <v>8120</v>
      </c>
      <c r="J812" s="1" t="s">
        <v>8121</v>
      </c>
      <c r="K812" s="1" t="s">
        <v>74</v>
      </c>
      <c r="L812" s="1" t="s">
        <v>74</v>
      </c>
      <c r="M812" s="1" t="s">
        <v>74</v>
      </c>
      <c r="N812" s="1" t="s">
        <v>74</v>
      </c>
      <c r="O812" s="1" t="s">
        <v>74</v>
      </c>
      <c r="P812" s="1" t="s">
        <v>74</v>
      </c>
      <c r="Q812" s="1" t="s">
        <v>74</v>
      </c>
      <c r="R812" s="1" t="s">
        <v>74</v>
      </c>
      <c r="S812" s="1" t="s">
        <v>74</v>
      </c>
      <c r="T812" s="1" t="s">
        <v>74</v>
      </c>
      <c r="U812" s="1" t="s">
        <v>74</v>
      </c>
      <c r="V812" s="1" t="s">
        <v>8122</v>
      </c>
      <c r="W812" s="1" t="s">
        <v>74</v>
      </c>
      <c r="X812" s="1" t="s">
        <v>74</v>
      </c>
      <c r="Y812" s="1" t="s">
        <v>74</v>
      </c>
      <c r="Z812" s="1" t="s">
        <v>74</v>
      </c>
      <c r="AA812" s="1" t="s">
        <v>74</v>
      </c>
      <c r="AB812" s="1" t="s">
        <v>74</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74</v>
      </c>
      <c r="AP812" s="1" t="s">
        <v>8123</v>
      </c>
      <c r="AQ812" s="1" t="s">
        <v>74</v>
      </c>
      <c r="AR812" s="1" t="s">
        <v>74</v>
      </c>
      <c r="AS812" s="1" t="s">
        <v>74</v>
      </c>
      <c r="AT812" s="1" t="s">
        <v>5497</v>
      </c>
      <c r="AU812" s="1">
        <v>2025.0</v>
      </c>
      <c r="AV812" s="1">
        <v>15.0</v>
      </c>
      <c r="AW812" s="1">
        <v>4.0</v>
      </c>
      <c r="AX812" s="1" t="s">
        <v>74</v>
      </c>
      <c r="AY812" s="1" t="s">
        <v>74</v>
      </c>
      <c r="AZ812" s="1" t="s">
        <v>74</v>
      </c>
      <c r="BA812" s="1" t="s">
        <v>74</v>
      </c>
      <c r="BB812" s="1" t="s">
        <v>74</v>
      </c>
      <c r="BC812" s="1" t="s">
        <v>74</v>
      </c>
      <c r="BD812" s="1">
        <v>119.0</v>
      </c>
      <c r="BE812" s="1" t="s">
        <v>8124</v>
      </c>
      <c r="BF812" s="2" t="str">
        <f>HYPERLINK("http://dx.doi.org/10.3390/admsci15040119","http://dx.doi.org/10.3390/admsci15040119")</f>
        <v>http://dx.doi.org/10.3390/admsci15040119</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8125</v>
      </c>
      <c r="BT812" s="1" t="str">
        <f>HYPERLINK("https%3A%2F%2Fwww.webofscience.com%2Fwos%2Fwoscc%2Ffull-record%2FWOS:001474651000001","View Full Record in Web of Science")</f>
        <v>View Full Record in Web of Science</v>
      </c>
    </row>
    <row r="813" ht="12.75" customHeight="1">
      <c r="A813" s="1" t="s">
        <v>72</v>
      </c>
      <c r="B813" s="1" t="s">
        <v>8126</v>
      </c>
      <c r="C813" s="1" t="s">
        <v>74</v>
      </c>
      <c r="D813" s="1" t="s">
        <v>74</v>
      </c>
      <c r="E813" s="1" t="s">
        <v>74</v>
      </c>
      <c r="F813" s="1" t="s">
        <v>8127</v>
      </c>
      <c r="G813" s="1" t="s">
        <v>74</v>
      </c>
      <c r="H813" s="1" t="s">
        <v>74</v>
      </c>
      <c r="I813" s="1" t="s">
        <v>8128</v>
      </c>
      <c r="J813" s="1" t="s">
        <v>7653</v>
      </c>
      <c r="K813" s="1" t="s">
        <v>74</v>
      </c>
      <c r="L813" s="1" t="s">
        <v>74</v>
      </c>
      <c r="M813" s="1" t="s">
        <v>74</v>
      </c>
      <c r="N813" s="1" t="s">
        <v>74</v>
      </c>
      <c r="O813" s="1" t="s">
        <v>74</v>
      </c>
      <c r="P813" s="1" t="s">
        <v>74</v>
      </c>
      <c r="Q813" s="1" t="s">
        <v>74</v>
      </c>
      <c r="R813" s="1" t="s">
        <v>74</v>
      </c>
      <c r="S813" s="1" t="s">
        <v>74</v>
      </c>
      <c r="T813" s="1" t="s">
        <v>74</v>
      </c>
      <c r="U813" s="1" t="s">
        <v>74</v>
      </c>
      <c r="V813" s="1" t="s">
        <v>8129</v>
      </c>
      <c r="W813" s="1" t="s">
        <v>74</v>
      </c>
      <c r="X813" s="1" t="s">
        <v>74</v>
      </c>
      <c r="Y813" s="1" t="s">
        <v>74</v>
      </c>
      <c r="Z813" s="1" t="s">
        <v>74</v>
      </c>
      <c r="AA813" s="1" t="s">
        <v>7655</v>
      </c>
      <c r="AB813" s="1" t="s">
        <v>7656</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74</v>
      </c>
      <c r="AP813" s="1" t="s">
        <v>7657</v>
      </c>
      <c r="AQ813" s="1" t="s">
        <v>74</v>
      </c>
      <c r="AR813" s="1" t="s">
        <v>74</v>
      </c>
      <c r="AS813" s="1" t="s">
        <v>74</v>
      </c>
      <c r="AT813" s="1" t="s">
        <v>374</v>
      </c>
      <c r="AU813" s="1">
        <v>2024.0</v>
      </c>
      <c r="AV813" s="1">
        <v>13.0</v>
      </c>
      <c r="AW813" s="1">
        <v>11.0</v>
      </c>
      <c r="AX813" s="1" t="s">
        <v>74</v>
      </c>
      <c r="AY813" s="1" t="s">
        <v>74</v>
      </c>
      <c r="AZ813" s="1" t="s">
        <v>74</v>
      </c>
      <c r="BA813" s="1" t="s">
        <v>74</v>
      </c>
      <c r="BB813" s="1" t="s">
        <v>74</v>
      </c>
      <c r="BC813" s="1" t="s">
        <v>74</v>
      </c>
      <c r="BD813" s="1">
        <v>749.0</v>
      </c>
      <c r="BE813" s="1" t="s">
        <v>8130</v>
      </c>
      <c r="BF813" s="2" t="str">
        <f>HYPERLINK("http://dx.doi.org/10.3390/axioms13110749","http://dx.doi.org/10.3390/axioms13110749")</f>
        <v>http://dx.doi.org/10.3390/axioms13110749</v>
      </c>
      <c r="BG813" s="1" t="s">
        <v>74</v>
      </c>
      <c r="BH813" s="1" t="s">
        <v>74</v>
      </c>
      <c r="BI813" s="1" t="s">
        <v>74</v>
      </c>
      <c r="BJ813" s="1" t="s">
        <v>74</v>
      </c>
      <c r="BK813" s="1" t="s">
        <v>74</v>
      </c>
      <c r="BL813" s="1" t="s">
        <v>74</v>
      </c>
      <c r="BM813" s="1" t="s">
        <v>74</v>
      </c>
      <c r="BN813" s="1" t="s">
        <v>74</v>
      </c>
      <c r="BO813" s="1" t="s">
        <v>74</v>
      </c>
      <c r="BP813" s="1" t="s">
        <v>74</v>
      </c>
      <c r="BQ813" s="1" t="s">
        <v>74</v>
      </c>
      <c r="BR813" s="1" t="s">
        <v>74</v>
      </c>
      <c r="BS813" s="1" t="s">
        <v>8131</v>
      </c>
      <c r="BT813" s="1" t="str">
        <f>HYPERLINK("https%3A%2F%2Fwww.webofscience.com%2Fwos%2Fwoscc%2Ffull-record%2FWOS:001366683100001","View Full Record in Web of Science")</f>
        <v>View Full Record in Web of Science</v>
      </c>
    </row>
    <row r="814" ht="12.75" customHeight="1">
      <c r="A814" s="1" t="s">
        <v>72</v>
      </c>
      <c r="B814" s="1" t="s">
        <v>8132</v>
      </c>
      <c r="C814" s="1" t="s">
        <v>74</v>
      </c>
      <c r="D814" s="1" t="s">
        <v>74</v>
      </c>
      <c r="E814" s="1" t="s">
        <v>74</v>
      </c>
      <c r="F814" s="1" t="s">
        <v>8133</v>
      </c>
      <c r="G814" s="1" t="s">
        <v>74</v>
      </c>
      <c r="H814" s="1" t="s">
        <v>74</v>
      </c>
      <c r="I814" s="1" t="s">
        <v>8134</v>
      </c>
      <c r="J814" s="1" t="s">
        <v>3159</v>
      </c>
      <c r="K814" s="1" t="s">
        <v>74</v>
      </c>
      <c r="L814" s="1" t="s">
        <v>74</v>
      </c>
      <c r="M814" s="1" t="s">
        <v>74</v>
      </c>
      <c r="N814" s="1" t="s">
        <v>74</v>
      </c>
      <c r="O814" s="1" t="s">
        <v>74</v>
      </c>
      <c r="P814" s="1" t="s">
        <v>74</v>
      </c>
      <c r="Q814" s="1" t="s">
        <v>74</v>
      </c>
      <c r="R814" s="1" t="s">
        <v>74</v>
      </c>
      <c r="S814" s="1" t="s">
        <v>74</v>
      </c>
      <c r="T814" s="1" t="s">
        <v>74</v>
      </c>
      <c r="U814" s="1" t="s">
        <v>74</v>
      </c>
      <c r="V814" s="1" t="s">
        <v>74</v>
      </c>
      <c r="W814" s="1" t="s">
        <v>74</v>
      </c>
      <c r="X814" s="1" t="s">
        <v>74</v>
      </c>
      <c r="Y814" s="1" t="s">
        <v>74</v>
      </c>
      <c r="Z814" s="1" t="s">
        <v>74</v>
      </c>
      <c r="AA814" s="1" t="s">
        <v>8135</v>
      </c>
      <c r="AB814" s="1" t="s">
        <v>74</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3163</v>
      </c>
      <c r="AP814" s="1" t="s">
        <v>3164</v>
      </c>
      <c r="AQ814" s="1" t="s">
        <v>74</v>
      </c>
      <c r="AR814" s="1" t="s">
        <v>74</v>
      </c>
      <c r="AS814" s="1" t="s">
        <v>74</v>
      </c>
      <c r="AT814" s="1" t="s">
        <v>6646</v>
      </c>
      <c r="AU814" s="1">
        <v>2024.0</v>
      </c>
      <c r="AV814" s="1">
        <v>447.0</v>
      </c>
      <c r="AW814" s="1" t="s">
        <v>74</v>
      </c>
      <c r="AX814" s="1" t="s">
        <v>74</v>
      </c>
      <c r="AY814" s="1" t="s">
        <v>74</v>
      </c>
      <c r="AZ814" s="1" t="s">
        <v>74</v>
      </c>
      <c r="BA814" s="1" t="s">
        <v>74</v>
      </c>
      <c r="BB814" s="1" t="s">
        <v>74</v>
      </c>
      <c r="BC814" s="1" t="s">
        <v>74</v>
      </c>
      <c r="BD814" s="1">
        <v>139040.0</v>
      </c>
      <c r="BE814" s="1" t="s">
        <v>8136</v>
      </c>
      <c r="BF814" s="2" t="str">
        <f>HYPERLINK("http://dx.doi.org/10.1016/j.foodchem.2024.139040","http://dx.doi.org/10.1016/j.foodchem.2024.139040")</f>
        <v>http://dx.doi.org/10.1016/j.foodchem.2024.139040</v>
      </c>
      <c r="BG814" s="1" t="s">
        <v>74</v>
      </c>
      <c r="BH814" s="1" t="s">
        <v>571</v>
      </c>
      <c r="BI814" s="1" t="s">
        <v>74</v>
      </c>
      <c r="BJ814" s="1" t="s">
        <v>74</v>
      </c>
      <c r="BK814" s="1" t="s">
        <v>74</v>
      </c>
      <c r="BL814" s="1" t="s">
        <v>74</v>
      </c>
      <c r="BM814" s="1" t="s">
        <v>74</v>
      </c>
      <c r="BN814" s="1">
        <v>3.8523033E7</v>
      </c>
      <c r="BO814" s="1" t="s">
        <v>74</v>
      </c>
      <c r="BP814" s="1" t="s">
        <v>74</v>
      </c>
      <c r="BQ814" s="1" t="s">
        <v>74</v>
      </c>
      <c r="BR814" s="1" t="s">
        <v>74</v>
      </c>
      <c r="BS814" s="1" t="s">
        <v>8137</v>
      </c>
      <c r="BT814" s="1" t="str">
        <f>HYPERLINK("https%3A%2F%2Fwww.webofscience.com%2Fwos%2Fwoscc%2Ffull-record%2FWOS:001223313800001","View Full Record in Web of Science")</f>
        <v>View Full Record in Web of Science</v>
      </c>
    </row>
    <row r="815" ht="12.75" customHeight="1">
      <c r="A815" s="1" t="s">
        <v>72</v>
      </c>
      <c r="B815" s="1" t="s">
        <v>8138</v>
      </c>
      <c r="C815" s="1" t="s">
        <v>74</v>
      </c>
      <c r="D815" s="1" t="s">
        <v>74</v>
      </c>
      <c r="E815" s="1" t="s">
        <v>74</v>
      </c>
      <c r="F815" s="1" t="s">
        <v>8139</v>
      </c>
      <c r="G815" s="1" t="s">
        <v>74</v>
      </c>
      <c r="H815" s="1" t="s">
        <v>74</v>
      </c>
      <c r="I815" s="1" t="s">
        <v>8140</v>
      </c>
      <c r="J815" s="1" t="s">
        <v>8141</v>
      </c>
      <c r="K815" s="1" t="s">
        <v>74</v>
      </c>
      <c r="L815" s="1" t="s">
        <v>74</v>
      </c>
      <c r="M815" s="1" t="s">
        <v>74</v>
      </c>
      <c r="N815" s="1" t="s">
        <v>74</v>
      </c>
      <c r="O815" s="1" t="s">
        <v>74</v>
      </c>
      <c r="P815" s="1" t="s">
        <v>74</v>
      </c>
      <c r="Q815" s="1" t="s">
        <v>74</v>
      </c>
      <c r="R815" s="1" t="s">
        <v>74</v>
      </c>
      <c r="S815" s="1" t="s">
        <v>74</v>
      </c>
      <c r="T815" s="1" t="s">
        <v>74</v>
      </c>
      <c r="U815" s="1" t="s">
        <v>74</v>
      </c>
      <c r="V815" s="1" t="s">
        <v>8142</v>
      </c>
      <c r="W815" s="1" t="s">
        <v>74</v>
      </c>
      <c r="X815" s="1" t="s">
        <v>74</v>
      </c>
      <c r="Y815" s="1" t="s">
        <v>74</v>
      </c>
      <c r="Z815" s="1" t="s">
        <v>74</v>
      </c>
      <c r="AA815" s="1" t="s">
        <v>8143</v>
      </c>
      <c r="AB815" s="1" t="s">
        <v>8144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8145</v>
      </c>
      <c r="AP815" s="1" t="s">
        <v>8146</v>
      </c>
      <c r="AQ815" s="1" t="s">
        <v>74</v>
      </c>
      <c r="AR815" s="1" t="s">
        <v>74</v>
      </c>
      <c r="AS815" s="1" t="s">
        <v>74</v>
      </c>
      <c r="AT815" s="1" t="s">
        <v>8147</v>
      </c>
      <c r="AU815" s="1">
        <v>2024.0</v>
      </c>
      <c r="AV815" s="1" t="s">
        <v>74</v>
      </c>
      <c r="AW815" s="1" t="s">
        <v>74</v>
      </c>
      <c r="AX815" s="1" t="s">
        <v>74</v>
      </c>
      <c r="AY815" s="1" t="s">
        <v>74</v>
      </c>
      <c r="AZ815" s="1" t="s">
        <v>74</v>
      </c>
      <c r="BA815" s="1" t="s">
        <v>74</v>
      </c>
      <c r="BB815" s="1" t="s">
        <v>74</v>
      </c>
      <c r="BC815" s="1" t="s">
        <v>74</v>
      </c>
      <c r="BD815" s="1" t="s">
        <v>74</v>
      </c>
      <c r="BE815" s="1" t="s">
        <v>8148</v>
      </c>
      <c r="BF815" s="2" t="str">
        <f>HYPERLINK("http://dx.doi.org/10.1080/14742837.2024.2330582","http://dx.doi.org/10.1080/14742837.2024.2330582")</f>
        <v>http://dx.doi.org/10.1080/14742837.2024.2330582</v>
      </c>
      <c r="BG815" s="1" t="s">
        <v>74</v>
      </c>
      <c r="BH815" s="1" t="s">
        <v>7923</v>
      </c>
      <c r="BI815" s="1" t="s">
        <v>74</v>
      </c>
      <c r="BJ815" s="1" t="s">
        <v>74</v>
      </c>
      <c r="BK815" s="1" t="s">
        <v>74</v>
      </c>
      <c r="BL815" s="1" t="s">
        <v>74</v>
      </c>
      <c r="BM815" s="1" t="s">
        <v>74</v>
      </c>
      <c r="BN815" s="1" t="s">
        <v>74</v>
      </c>
      <c r="BO815" s="1" t="s">
        <v>74</v>
      </c>
      <c r="BP815" s="1" t="s">
        <v>74</v>
      </c>
      <c r="BQ815" s="1" t="s">
        <v>74</v>
      </c>
      <c r="BR815" s="1" t="s">
        <v>74</v>
      </c>
      <c r="BS815" s="1" t="s">
        <v>8149</v>
      </c>
      <c r="BT815" s="1" t="str">
        <f>HYPERLINK("https%3A%2F%2Fwww.webofscience.com%2Fwos%2Fwoscc%2Ffull-record%2FWOS:001187239700001","View Full Record in Web of Science")</f>
        <v>View Full Record in Web of Science</v>
      </c>
    </row>
    <row r="816" ht="12.75" customHeight="1">
      <c r="A816" s="1" t="s">
        <v>72</v>
      </c>
      <c r="B816" s="1" t="s">
        <v>8150</v>
      </c>
      <c r="C816" s="1" t="s">
        <v>74</v>
      </c>
      <c r="D816" s="1" t="s">
        <v>74</v>
      </c>
      <c r="E816" s="1" t="s">
        <v>74</v>
      </c>
      <c r="F816" s="1" t="s">
        <v>8151</v>
      </c>
      <c r="G816" s="1" t="s">
        <v>74</v>
      </c>
      <c r="H816" s="1" t="s">
        <v>74</v>
      </c>
      <c r="I816" s="1" t="s">
        <v>8152</v>
      </c>
      <c r="J816" s="1" t="s">
        <v>8153</v>
      </c>
      <c r="K816" s="1" t="s">
        <v>74</v>
      </c>
      <c r="L816" s="1" t="s">
        <v>74</v>
      </c>
      <c r="M816" s="1" t="s">
        <v>74</v>
      </c>
      <c r="N816" s="1" t="s">
        <v>74</v>
      </c>
      <c r="O816" s="1" t="s">
        <v>74</v>
      </c>
      <c r="P816" s="1" t="s">
        <v>74</v>
      </c>
      <c r="Q816" s="1" t="s">
        <v>74</v>
      </c>
      <c r="R816" s="1" t="s">
        <v>74</v>
      </c>
      <c r="S816" s="1" t="s">
        <v>74</v>
      </c>
      <c r="T816" s="1" t="s">
        <v>74</v>
      </c>
      <c r="U816" s="1" t="s">
        <v>74</v>
      </c>
      <c r="V816" s="1" t="s">
        <v>8154</v>
      </c>
      <c r="W816" s="1" t="s">
        <v>74</v>
      </c>
      <c r="X816" s="1" t="s">
        <v>74</v>
      </c>
      <c r="Y816" s="1" t="s">
        <v>74</v>
      </c>
      <c r="Z816" s="1" t="s">
        <v>74</v>
      </c>
      <c r="AA816" s="1" t="s">
        <v>8155</v>
      </c>
      <c r="AB816" s="1" t="s">
        <v>8156</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8157</v>
      </c>
      <c r="AP816" s="1" t="s">
        <v>8158</v>
      </c>
      <c r="AQ816" s="1" t="s">
        <v>74</v>
      </c>
      <c r="AR816" s="1" t="s">
        <v>74</v>
      </c>
      <c r="AS816" s="1" t="s">
        <v>74</v>
      </c>
      <c r="AT816" s="1" t="s">
        <v>294</v>
      </c>
      <c r="AU816" s="1">
        <v>2024.0</v>
      </c>
      <c r="AV816" s="1">
        <v>25.0</v>
      </c>
      <c r="AW816" s="1">
        <v>2.0</v>
      </c>
      <c r="AX816" s="1" t="s">
        <v>74</v>
      </c>
      <c r="AY816" s="1" t="s">
        <v>74</v>
      </c>
      <c r="AZ816" s="1" t="s">
        <v>74</v>
      </c>
      <c r="BA816" s="1" t="s">
        <v>74</v>
      </c>
      <c r="BB816" s="1">
        <v>232.0</v>
      </c>
      <c r="BC816" s="1">
        <v>236.0</v>
      </c>
      <c r="BD816" s="1" t="s">
        <v>74</v>
      </c>
      <c r="BE816" s="1" t="s">
        <v>8159</v>
      </c>
      <c r="BF816" s="2" t="str">
        <f>HYPERLINK("http://dx.doi.org/10.1016/j.jamda.2023.08.026","http://dx.doi.org/10.1016/j.jamda.2023.08.026")</f>
        <v>http://dx.doi.org/10.1016/j.jamda.2023.08.026</v>
      </c>
      <c r="BG816" s="1" t="s">
        <v>74</v>
      </c>
      <c r="BH816" s="1" t="s">
        <v>8160</v>
      </c>
      <c r="BI816" s="1" t="s">
        <v>74</v>
      </c>
      <c r="BJ816" s="1" t="s">
        <v>74</v>
      </c>
      <c r="BK816" s="1" t="s">
        <v>74</v>
      </c>
      <c r="BL816" s="1" t="s">
        <v>74</v>
      </c>
      <c r="BM816" s="1" t="s">
        <v>74</v>
      </c>
      <c r="BN816" s="1">
        <v>3.7813366E7</v>
      </c>
      <c r="BO816" s="1" t="s">
        <v>74</v>
      </c>
      <c r="BP816" s="1" t="s">
        <v>74</v>
      </c>
      <c r="BQ816" s="1" t="s">
        <v>74</v>
      </c>
      <c r="BR816" s="1" t="s">
        <v>74</v>
      </c>
      <c r="BS816" s="1" t="s">
        <v>8161</v>
      </c>
      <c r="BT816" s="1" t="str">
        <f>HYPERLINK("https%3A%2F%2Fwww.webofscience.com%2Fwos%2Fwoscc%2Ffull-record%2FWOS:001168238000001","View Full Record in Web of Science")</f>
        <v>View Full Record in Web of Science</v>
      </c>
    </row>
    <row r="817" ht="12.75" customHeight="1">
      <c r="A817" s="1" t="s">
        <v>72</v>
      </c>
      <c r="B817" s="1" t="s">
        <v>8162</v>
      </c>
      <c r="C817" s="1" t="s">
        <v>74</v>
      </c>
      <c r="D817" s="1" t="s">
        <v>74</v>
      </c>
      <c r="E817" s="1" t="s">
        <v>74</v>
      </c>
      <c r="F817" s="1" t="s">
        <v>8163</v>
      </c>
      <c r="G817" s="1" t="s">
        <v>74</v>
      </c>
      <c r="H817" s="1" t="s">
        <v>74</v>
      </c>
      <c r="I817" s="1" t="s">
        <v>8164</v>
      </c>
      <c r="J817" s="1" t="s">
        <v>8165</v>
      </c>
      <c r="K817" s="1" t="s">
        <v>74</v>
      </c>
      <c r="L817" s="1" t="s">
        <v>74</v>
      </c>
      <c r="M817" s="1" t="s">
        <v>74</v>
      </c>
      <c r="N817" s="1" t="s">
        <v>74</v>
      </c>
      <c r="O817" s="1" t="s">
        <v>74</v>
      </c>
      <c r="P817" s="1" t="s">
        <v>74</v>
      </c>
      <c r="Q817" s="1" t="s">
        <v>74</v>
      </c>
      <c r="R817" s="1" t="s">
        <v>74</v>
      </c>
      <c r="S817" s="1" t="s">
        <v>74</v>
      </c>
      <c r="T817" s="1" t="s">
        <v>74</v>
      </c>
      <c r="U817" s="1" t="s">
        <v>74</v>
      </c>
      <c r="V817" s="1" t="s">
        <v>8166</v>
      </c>
      <c r="W817" s="1" t="s">
        <v>74</v>
      </c>
      <c r="X817" s="1" t="s">
        <v>74</v>
      </c>
      <c r="Y817" s="1" t="s">
        <v>74</v>
      </c>
      <c r="Z817" s="1" t="s">
        <v>74</v>
      </c>
      <c r="AA817" s="1" t="s">
        <v>8167</v>
      </c>
      <c r="AB817" s="1" t="s">
        <v>8168</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8169</v>
      </c>
      <c r="AP817" s="1" t="s">
        <v>8170</v>
      </c>
      <c r="AQ817" s="1" t="s">
        <v>74</v>
      </c>
      <c r="AR817" s="1" t="s">
        <v>74</v>
      </c>
      <c r="AS817" s="1" t="s">
        <v>74</v>
      </c>
      <c r="AT817" s="1" t="s">
        <v>282</v>
      </c>
      <c r="AU817" s="1">
        <v>2024.0</v>
      </c>
      <c r="AV817" s="1">
        <v>66.0</v>
      </c>
      <c r="AW817" s="1">
        <v>3.0</v>
      </c>
      <c r="AX817" s="1" t="s">
        <v>74</v>
      </c>
      <c r="AY817" s="1" t="s">
        <v>74</v>
      </c>
      <c r="AZ817" s="1" t="s">
        <v>74</v>
      </c>
      <c r="BA817" s="1" t="s">
        <v>74</v>
      </c>
      <c r="BB817" s="1">
        <v>1.0</v>
      </c>
      <c r="BC817" s="1">
        <v>23.0</v>
      </c>
      <c r="BD817" s="1" t="s">
        <v>74</v>
      </c>
      <c r="BE817" s="1" t="s">
        <v>8171</v>
      </c>
      <c r="BF817" s="2" t="str">
        <f>HYPERLINK("http://dx.doi.org/10.1017/lap.2023.33","http://dx.doi.org/10.1017/lap.2023.33")</f>
        <v>http://dx.doi.org/10.1017/lap.2023.33</v>
      </c>
      <c r="BG817" s="1" t="s">
        <v>74</v>
      </c>
      <c r="BH817" s="1" t="s">
        <v>8172</v>
      </c>
      <c r="BI817" s="1" t="s">
        <v>74</v>
      </c>
      <c r="BJ817" s="1" t="s">
        <v>74</v>
      </c>
      <c r="BK817" s="1" t="s">
        <v>74</v>
      </c>
      <c r="BL817" s="1" t="s">
        <v>74</v>
      </c>
      <c r="BM817" s="1" t="s">
        <v>74</v>
      </c>
      <c r="BN817" s="1" t="s">
        <v>74</v>
      </c>
      <c r="BO817" s="1" t="s">
        <v>74</v>
      </c>
      <c r="BP817" s="1" t="s">
        <v>74</v>
      </c>
      <c r="BQ817" s="1" t="s">
        <v>74</v>
      </c>
      <c r="BR817" s="1" t="s">
        <v>74</v>
      </c>
      <c r="BS817" s="1" t="s">
        <v>8173</v>
      </c>
      <c r="BT817" s="1" t="str">
        <f>HYPERLINK("https%3A%2F%2Fwww.webofscience.com%2Fwos%2Fwoscc%2Ffull-record%2FWOS:001123700500001","View Full Record in Web of Science")</f>
        <v>View Full Record in Web of Science</v>
      </c>
    </row>
    <row r="818" ht="12.75" customHeight="1">
      <c r="A818" s="1" t="s">
        <v>72</v>
      </c>
      <c r="B818" s="1" t="s">
        <v>8174</v>
      </c>
      <c r="C818" s="1" t="s">
        <v>74</v>
      </c>
      <c r="D818" s="1" t="s">
        <v>74</v>
      </c>
      <c r="E818" s="1" t="s">
        <v>74</v>
      </c>
      <c r="F818" s="1" t="s">
        <v>8175</v>
      </c>
      <c r="G818" s="1" t="s">
        <v>74</v>
      </c>
      <c r="H818" s="1" t="s">
        <v>74</v>
      </c>
      <c r="I818" s="1" t="s">
        <v>8176</v>
      </c>
      <c r="J818" s="1" t="s">
        <v>541</v>
      </c>
      <c r="K818" s="1" t="s">
        <v>74</v>
      </c>
      <c r="L818" s="1" t="s">
        <v>74</v>
      </c>
      <c r="M818" s="1" t="s">
        <v>74</v>
      </c>
      <c r="N818" s="1" t="s">
        <v>74</v>
      </c>
      <c r="O818" s="1" t="s">
        <v>74</v>
      </c>
      <c r="P818" s="1" t="s">
        <v>74</v>
      </c>
      <c r="Q818" s="1" t="s">
        <v>74</v>
      </c>
      <c r="R818" s="1" t="s">
        <v>74</v>
      </c>
      <c r="S818" s="1" t="s">
        <v>74</v>
      </c>
      <c r="T818" s="1" t="s">
        <v>74</v>
      </c>
      <c r="U818" s="1" t="s">
        <v>74</v>
      </c>
      <c r="V818" s="1" t="s">
        <v>8177</v>
      </c>
      <c r="W818" s="1" t="s">
        <v>74</v>
      </c>
      <c r="X818" s="1" t="s">
        <v>74</v>
      </c>
      <c r="Y818" s="1" t="s">
        <v>74</v>
      </c>
      <c r="Z818" s="1" t="s">
        <v>74</v>
      </c>
      <c r="AA818" s="1" t="s">
        <v>8178</v>
      </c>
      <c r="AB818" s="1" t="s">
        <v>8179</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545</v>
      </c>
      <c r="AP818" s="1" t="s">
        <v>546</v>
      </c>
      <c r="AQ818" s="1" t="s">
        <v>74</v>
      </c>
      <c r="AR818" s="1" t="s">
        <v>74</v>
      </c>
      <c r="AS818" s="1" t="s">
        <v>74</v>
      </c>
      <c r="AT818" s="1" t="s">
        <v>1106</v>
      </c>
      <c r="AU818" s="1">
        <v>2024.0</v>
      </c>
      <c r="AV818" s="1">
        <v>254.0</v>
      </c>
      <c r="AW818" s="1" t="s">
        <v>74</v>
      </c>
      <c r="AX818" s="1">
        <v>2.0</v>
      </c>
      <c r="AY818" s="1" t="s">
        <v>74</v>
      </c>
      <c r="AZ818" s="1" t="s">
        <v>74</v>
      </c>
      <c r="BA818" s="1" t="s">
        <v>74</v>
      </c>
      <c r="BB818" s="1" t="s">
        <v>74</v>
      </c>
      <c r="BC818" s="1" t="s">
        <v>74</v>
      </c>
      <c r="BD818" s="1">
        <v>127793.0</v>
      </c>
      <c r="BE818" s="1" t="s">
        <v>8180</v>
      </c>
      <c r="BF818" s="2" t="str">
        <f>HYPERLINK("http://dx.doi.org/10.1016/j.ijbiomac.2023.127793","http://dx.doi.org/10.1016/j.ijbiomac.2023.127793")</f>
        <v>http://dx.doi.org/10.1016/j.ijbiomac.2023.127793</v>
      </c>
      <c r="BG818" s="1" t="s">
        <v>74</v>
      </c>
      <c r="BH818" s="1" t="s">
        <v>5424</v>
      </c>
      <c r="BI818" s="1" t="s">
        <v>74</v>
      </c>
      <c r="BJ818" s="1" t="s">
        <v>74</v>
      </c>
      <c r="BK818" s="1" t="s">
        <v>74</v>
      </c>
      <c r="BL818" s="1" t="s">
        <v>74</v>
      </c>
      <c r="BM818" s="1" t="s">
        <v>74</v>
      </c>
      <c r="BN818" s="1">
        <v>3.7926308E7</v>
      </c>
      <c r="BO818" s="1" t="s">
        <v>74</v>
      </c>
      <c r="BP818" s="1" t="s">
        <v>74</v>
      </c>
      <c r="BQ818" s="1" t="s">
        <v>74</v>
      </c>
      <c r="BR818" s="1" t="s">
        <v>74</v>
      </c>
      <c r="BS818" s="1" t="s">
        <v>8181</v>
      </c>
      <c r="BT818" s="1" t="str">
        <f>HYPERLINK("https%3A%2F%2Fwww.webofscience.com%2Fwos%2Fwoscc%2Ffull-record%2FWOS:001111016200001","View Full Record in Web of Science")</f>
        <v>View Full Record in Web of Science</v>
      </c>
    </row>
    <row r="819" ht="12.75" customHeight="1">
      <c r="A819" s="1" t="s">
        <v>72</v>
      </c>
      <c r="B819" s="1" t="s">
        <v>8182</v>
      </c>
      <c r="C819" s="1" t="s">
        <v>74</v>
      </c>
      <c r="D819" s="1" t="s">
        <v>74</v>
      </c>
      <c r="E819" s="1" t="s">
        <v>74</v>
      </c>
      <c r="F819" s="1" t="s">
        <v>8183</v>
      </c>
      <c r="G819" s="1" t="s">
        <v>74</v>
      </c>
      <c r="H819" s="1" t="s">
        <v>74</v>
      </c>
      <c r="I819" s="1" t="s">
        <v>8184</v>
      </c>
      <c r="J819" s="1" t="s">
        <v>8185</v>
      </c>
      <c r="K819" s="1" t="s">
        <v>74</v>
      </c>
      <c r="L819" s="1" t="s">
        <v>74</v>
      </c>
      <c r="M819" s="1" t="s">
        <v>74</v>
      </c>
      <c r="N819" s="1" t="s">
        <v>74</v>
      </c>
      <c r="O819" s="1" t="s">
        <v>74</v>
      </c>
      <c r="P819" s="1" t="s">
        <v>74</v>
      </c>
      <c r="Q819" s="1" t="s">
        <v>74</v>
      </c>
      <c r="R819" s="1" t="s">
        <v>74</v>
      </c>
      <c r="S819" s="1" t="s">
        <v>74</v>
      </c>
      <c r="T819" s="1" t="s">
        <v>74</v>
      </c>
      <c r="U819" s="1" t="s">
        <v>74</v>
      </c>
      <c r="V819" s="1" t="s">
        <v>8186</v>
      </c>
      <c r="W819" s="1" t="s">
        <v>74</v>
      </c>
      <c r="X819" s="1" t="s">
        <v>74</v>
      </c>
      <c r="Y819" s="1" t="s">
        <v>74</v>
      </c>
      <c r="Z819" s="1" t="s">
        <v>74</v>
      </c>
      <c r="AA819" s="1" t="s">
        <v>8187</v>
      </c>
      <c r="AB819" s="1" t="s">
        <v>8188</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8189</v>
      </c>
      <c r="AP819" s="1" t="s">
        <v>8190</v>
      </c>
      <c r="AQ819" s="1" t="s">
        <v>74</v>
      </c>
      <c r="AR819" s="1" t="s">
        <v>74</v>
      </c>
      <c r="AS819" s="1" t="s">
        <v>74</v>
      </c>
      <c r="AT819" s="1" t="s">
        <v>745</v>
      </c>
      <c r="AU819" s="1">
        <v>2024.0</v>
      </c>
      <c r="AV819" s="1">
        <v>23.0</v>
      </c>
      <c r="AW819" s="1">
        <v>3.0</v>
      </c>
      <c r="AX819" s="1" t="s">
        <v>74</v>
      </c>
      <c r="AY819" s="1" t="s">
        <v>74</v>
      </c>
      <c r="AZ819" s="1" t="s">
        <v>74</v>
      </c>
      <c r="BA819" s="1" t="s">
        <v>74</v>
      </c>
      <c r="BB819" s="1">
        <v>1261.0</v>
      </c>
      <c r="BC819" s="1">
        <v>1299.0</v>
      </c>
      <c r="BD819" s="1" t="s">
        <v>74</v>
      </c>
      <c r="BE819" s="1" t="s">
        <v>8191</v>
      </c>
      <c r="BF819" s="2" t="str">
        <f>HYPERLINK("http://dx.doi.org/10.1142/S0219622023500396","http://dx.doi.org/10.1142/S0219622023500396")</f>
        <v>http://dx.doi.org/10.1142/S0219622023500396</v>
      </c>
      <c r="BG819" s="1" t="s">
        <v>74</v>
      </c>
      <c r="BH819" s="1" t="s">
        <v>6469</v>
      </c>
      <c r="BI819" s="1" t="s">
        <v>74</v>
      </c>
      <c r="BJ819" s="1" t="s">
        <v>74</v>
      </c>
      <c r="BK819" s="1" t="s">
        <v>74</v>
      </c>
      <c r="BL819" s="1" t="s">
        <v>74</v>
      </c>
      <c r="BM819" s="1" t="s">
        <v>74</v>
      </c>
      <c r="BN819" s="1" t="s">
        <v>74</v>
      </c>
      <c r="BO819" s="1" t="s">
        <v>74</v>
      </c>
      <c r="BP819" s="1" t="s">
        <v>74</v>
      </c>
      <c r="BQ819" s="1" t="s">
        <v>74</v>
      </c>
      <c r="BR819" s="1" t="s">
        <v>74</v>
      </c>
      <c r="BS819" s="1" t="s">
        <v>8192</v>
      </c>
      <c r="BT819" s="1" t="str">
        <f>HYPERLINK("https%3A%2F%2Fwww.webofscience.com%2Fwos%2Fwoscc%2Ffull-record%2FWOS:000980464600001","View Full Record in Web of Science")</f>
        <v>View Full Record in Web of Science</v>
      </c>
    </row>
    <row r="820" ht="12.75" customHeight="1">
      <c r="A820" s="1" t="s">
        <v>72</v>
      </c>
      <c r="B820" s="1" t="s">
        <v>8193</v>
      </c>
      <c r="C820" s="1" t="s">
        <v>74</v>
      </c>
      <c r="D820" s="1" t="s">
        <v>74</v>
      </c>
      <c r="E820" s="1" t="s">
        <v>74</v>
      </c>
      <c r="F820" s="1" t="s">
        <v>8194</v>
      </c>
      <c r="G820" s="1" t="s">
        <v>74</v>
      </c>
      <c r="H820" s="1" t="s">
        <v>74</v>
      </c>
      <c r="I820" s="1" t="s">
        <v>8195</v>
      </c>
      <c r="J820" s="1" t="s">
        <v>5090</v>
      </c>
      <c r="K820" s="1" t="s">
        <v>74</v>
      </c>
      <c r="L820" s="1" t="s">
        <v>74</v>
      </c>
      <c r="M820" s="1" t="s">
        <v>74</v>
      </c>
      <c r="N820" s="1" t="s">
        <v>74</v>
      </c>
      <c r="O820" s="1" t="s">
        <v>74</v>
      </c>
      <c r="P820" s="1" t="s">
        <v>74</v>
      </c>
      <c r="Q820" s="1" t="s">
        <v>74</v>
      </c>
      <c r="R820" s="1" t="s">
        <v>74</v>
      </c>
      <c r="S820" s="1" t="s">
        <v>74</v>
      </c>
      <c r="T820" s="1" t="s">
        <v>74</v>
      </c>
      <c r="U820" s="1" t="s">
        <v>74</v>
      </c>
      <c r="V820" s="1" t="s">
        <v>8196</v>
      </c>
      <c r="W820" s="1" t="s">
        <v>74</v>
      </c>
      <c r="X820" s="1" t="s">
        <v>74</v>
      </c>
      <c r="Y820" s="1" t="s">
        <v>74</v>
      </c>
      <c r="Z820" s="1" t="s">
        <v>74</v>
      </c>
      <c r="AA820" s="1" t="s">
        <v>8197</v>
      </c>
      <c r="AB820" s="1" t="s">
        <v>8198</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5094</v>
      </c>
      <c r="AP820" s="1" t="s">
        <v>5095</v>
      </c>
      <c r="AQ820" s="1" t="s">
        <v>74</v>
      </c>
      <c r="AR820" s="1" t="s">
        <v>74</v>
      </c>
      <c r="AS820" s="1" t="s">
        <v>74</v>
      </c>
      <c r="AT820" s="1" t="s">
        <v>177</v>
      </c>
      <c r="AU820" s="1">
        <v>2023.0</v>
      </c>
      <c r="AV820" s="1">
        <v>140.0</v>
      </c>
      <c r="AW820" s="1" t="s">
        <v>74</v>
      </c>
      <c r="AX820" s="1" t="s">
        <v>74</v>
      </c>
      <c r="AY820" s="1" t="s">
        <v>74</v>
      </c>
      <c r="AZ820" s="1" t="s">
        <v>74</v>
      </c>
      <c r="BA820" s="1" t="s">
        <v>74</v>
      </c>
      <c r="BB820" s="1" t="s">
        <v>74</v>
      </c>
      <c r="BC820" s="1" t="s">
        <v>74</v>
      </c>
      <c r="BD820" s="1">
        <v>108571.0</v>
      </c>
      <c r="BE820" s="1" t="s">
        <v>8199</v>
      </c>
      <c r="BF820" s="2" t="str">
        <f>HYPERLINK("http://dx.doi.org/10.1016/j.foodhyd.2023.108571","http://dx.doi.org/10.1016/j.foodhyd.2023.108571")</f>
        <v>http://dx.doi.org/10.1016/j.foodhyd.2023.108571</v>
      </c>
      <c r="BG820" s="1" t="s">
        <v>74</v>
      </c>
      <c r="BH820" s="1" t="s">
        <v>5815</v>
      </c>
      <c r="BI820" s="1" t="s">
        <v>74</v>
      </c>
      <c r="BJ820" s="1" t="s">
        <v>74</v>
      </c>
      <c r="BK820" s="1" t="s">
        <v>74</v>
      </c>
      <c r="BL820" s="1" t="s">
        <v>74</v>
      </c>
      <c r="BM820" s="1" t="s">
        <v>74</v>
      </c>
      <c r="BN820" s="1" t="s">
        <v>74</v>
      </c>
      <c r="BO820" s="1" t="s">
        <v>74</v>
      </c>
      <c r="BP820" s="1" t="s">
        <v>74</v>
      </c>
      <c r="BQ820" s="1" t="s">
        <v>74</v>
      </c>
      <c r="BR820" s="1" t="s">
        <v>74</v>
      </c>
      <c r="BS820" s="1" t="s">
        <v>8200</v>
      </c>
      <c r="BT820" s="1" t="str">
        <f>HYPERLINK("https%3A%2F%2Fwww.webofscience.com%2Fwos%2Fwoscc%2Ffull-record%2FWOS:000947351700001","View Full Record in Web of Science")</f>
        <v>View Full Record in Web of Science</v>
      </c>
    </row>
    <row r="821" ht="12.75" customHeight="1">
      <c r="A821" s="1" t="s">
        <v>72</v>
      </c>
      <c r="B821" s="1" t="s">
        <v>8201</v>
      </c>
      <c r="C821" s="1" t="s">
        <v>74</v>
      </c>
      <c r="D821" s="1" t="s">
        <v>74</v>
      </c>
      <c r="E821" s="1" t="s">
        <v>74</v>
      </c>
      <c r="F821" s="1" t="s">
        <v>8202</v>
      </c>
      <c r="G821" s="1" t="s">
        <v>74</v>
      </c>
      <c r="H821" s="1" t="s">
        <v>74</v>
      </c>
      <c r="I821" s="1" t="s">
        <v>8203</v>
      </c>
      <c r="J821" s="1" t="s">
        <v>1777</v>
      </c>
      <c r="K821" s="1" t="s">
        <v>74</v>
      </c>
      <c r="L821" s="1" t="s">
        <v>74</v>
      </c>
      <c r="M821" s="1" t="s">
        <v>74</v>
      </c>
      <c r="N821" s="1" t="s">
        <v>74</v>
      </c>
      <c r="O821" s="1" t="s">
        <v>74</v>
      </c>
      <c r="P821" s="1" t="s">
        <v>74</v>
      </c>
      <c r="Q821" s="1" t="s">
        <v>74</v>
      </c>
      <c r="R821" s="1" t="s">
        <v>74</v>
      </c>
      <c r="S821" s="1" t="s">
        <v>74</v>
      </c>
      <c r="T821" s="1" t="s">
        <v>74</v>
      </c>
      <c r="U821" s="1" t="s">
        <v>74</v>
      </c>
      <c r="V821" s="1" t="s">
        <v>8204</v>
      </c>
      <c r="W821" s="1" t="s">
        <v>74</v>
      </c>
      <c r="X821" s="1" t="s">
        <v>74</v>
      </c>
      <c r="Y821" s="1" t="s">
        <v>74</v>
      </c>
      <c r="Z821" s="1" t="s">
        <v>74</v>
      </c>
      <c r="AA821" s="1" t="s">
        <v>8205</v>
      </c>
      <c r="AB821" s="1" t="s">
        <v>8206</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74</v>
      </c>
      <c r="AP821" s="1" t="s">
        <v>1781</v>
      </c>
      <c r="AQ821" s="1" t="s">
        <v>74</v>
      </c>
      <c r="AR821" s="1" t="s">
        <v>74</v>
      </c>
      <c r="AS821" s="1" t="s">
        <v>74</v>
      </c>
      <c r="AT821" s="1" t="s">
        <v>294</v>
      </c>
      <c r="AU821" s="1">
        <v>2023.0</v>
      </c>
      <c r="AV821" s="1">
        <v>11.0</v>
      </c>
      <c r="AW821" s="1">
        <v>2.0</v>
      </c>
      <c r="AX821" s="1" t="s">
        <v>74</v>
      </c>
      <c r="AY821" s="1" t="s">
        <v>74</v>
      </c>
      <c r="AZ821" s="1" t="s">
        <v>74</v>
      </c>
      <c r="BA821" s="1" t="s">
        <v>74</v>
      </c>
      <c r="BB821" s="1" t="s">
        <v>74</v>
      </c>
      <c r="BC821" s="1" t="s">
        <v>74</v>
      </c>
      <c r="BD821" s="1">
        <v>616.0</v>
      </c>
      <c r="BE821" s="1" t="s">
        <v>8207</v>
      </c>
      <c r="BF821" s="2" t="str">
        <f>HYPERLINK("http://dx.doi.org/10.3390/pr11020616","http://dx.doi.org/10.3390/pr11020616")</f>
        <v>http://dx.doi.org/10.3390/pr11020616</v>
      </c>
      <c r="BG821" s="1" t="s">
        <v>74</v>
      </c>
      <c r="BH821" s="1" t="s">
        <v>74</v>
      </c>
      <c r="BI821" s="1" t="s">
        <v>74</v>
      </c>
      <c r="BJ821" s="1" t="s">
        <v>74</v>
      </c>
      <c r="BK821" s="1" t="s">
        <v>74</v>
      </c>
      <c r="BL821" s="1" t="s">
        <v>74</v>
      </c>
      <c r="BM821" s="1" t="s">
        <v>74</v>
      </c>
      <c r="BN821" s="1" t="s">
        <v>74</v>
      </c>
      <c r="BO821" s="1" t="s">
        <v>74</v>
      </c>
      <c r="BP821" s="1" t="s">
        <v>74</v>
      </c>
      <c r="BQ821" s="1" t="s">
        <v>74</v>
      </c>
      <c r="BR821" s="1" t="s">
        <v>74</v>
      </c>
      <c r="BS821" s="1" t="s">
        <v>8208</v>
      </c>
      <c r="BT821" s="1" t="str">
        <f>HYPERLINK("https%3A%2F%2Fwww.webofscience.com%2Fwos%2Fwoscc%2Ffull-record%2FWOS:000942268300001","View Full Record in Web of Science")</f>
        <v>View Full Record in Web of Science</v>
      </c>
    </row>
    <row r="822" ht="12.75" customHeight="1">
      <c r="A822" s="1" t="s">
        <v>72</v>
      </c>
      <c r="B822" s="1" t="s">
        <v>8209</v>
      </c>
      <c r="C822" s="1" t="s">
        <v>74</v>
      </c>
      <c r="D822" s="1" t="s">
        <v>74</v>
      </c>
      <c r="E822" s="1" t="s">
        <v>74</v>
      </c>
      <c r="F822" s="1" t="s">
        <v>8210</v>
      </c>
      <c r="G822" s="1" t="s">
        <v>74</v>
      </c>
      <c r="H822" s="1" t="s">
        <v>74</v>
      </c>
      <c r="I822" s="1" t="s">
        <v>8211</v>
      </c>
      <c r="J822" s="1" t="s">
        <v>1654</v>
      </c>
      <c r="K822" s="1" t="s">
        <v>74</v>
      </c>
      <c r="L822" s="1" t="s">
        <v>74</v>
      </c>
      <c r="M822" s="1" t="s">
        <v>74</v>
      </c>
      <c r="N822" s="1" t="s">
        <v>74</v>
      </c>
      <c r="O822" s="1" t="s">
        <v>74</v>
      </c>
      <c r="P822" s="1" t="s">
        <v>74</v>
      </c>
      <c r="Q822" s="1" t="s">
        <v>74</v>
      </c>
      <c r="R822" s="1" t="s">
        <v>74</v>
      </c>
      <c r="S822" s="1" t="s">
        <v>74</v>
      </c>
      <c r="T822" s="1" t="s">
        <v>74</v>
      </c>
      <c r="U822" s="1" t="s">
        <v>74</v>
      </c>
      <c r="V822" s="1" t="s">
        <v>8212</v>
      </c>
      <c r="W822" s="1" t="s">
        <v>74</v>
      </c>
      <c r="X822" s="1" t="s">
        <v>74</v>
      </c>
      <c r="Y822" s="1" t="s">
        <v>74</v>
      </c>
      <c r="Z822" s="1" t="s">
        <v>74</v>
      </c>
      <c r="AA822" s="1" t="s">
        <v>8213</v>
      </c>
      <c r="AB822" s="1" t="s">
        <v>8214</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1656</v>
      </c>
      <c r="AP822" s="1" t="s">
        <v>8215</v>
      </c>
      <c r="AQ822" s="1" t="s">
        <v>74</v>
      </c>
      <c r="AR822" s="1" t="s">
        <v>74</v>
      </c>
      <c r="AS822" s="1" t="s">
        <v>74</v>
      </c>
      <c r="AT822" s="1" t="s">
        <v>775</v>
      </c>
      <c r="AU822" s="1">
        <v>2023.0</v>
      </c>
      <c r="AV822" s="1">
        <v>439.0</v>
      </c>
      <c r="AW822" s="1" t="s">
        <v>74</v>
      </c>
      <c r="AX822" s="1" t="s">
        <v>74</v>
      </c>
      <c r="AY822" s="1" t="s">
        <v>74</v>
      </c>
      <c r="AZ822" s="1" t="s">
        <v>74</v>
      </c>
      <c r="BA822" s="1" t="s">
        <v>74</v>
      </c>
      <c r="BB822" s="1" t="s">
        <v>74</v>
      </c>
      <c r="BC822" s="1" t="s">
        <v>74</v>
      </c>
      <c r="BD822" s="1">
        <v>114587.0</v>
      </c>
      <c r="BE822" s="1" t="s">
        <v>8216</v>
      </c>
      <c r="BF822" s="2" t="str">
        <f>HYPERLINK("http://dx.doi.org/10.1016/j.jphotochem.2023.114587","http://dx.doi.org/10.1016/j.jphotochem.2023.114587")</f>
        <v>http://dx.doi.org/10.1016/j.jphotochem.2023.114587</v>
      </c>
      <c r="BG822" s="1" t="s">
        <v>74</v>
      </c>
      <c r="BH822" s="1" t="s">
        <v>8217</v>
      </c>
      <c r="BI822" s="1" t="s">
        <v>74</v>
      </c>
      <c r="BJ822" s="1" t="s">
        <v>74</v>
      </c>
      <c r="BK822" s="1" t="s">
        <v>74</v>
      </c>
      <c r="BL822" s="1" t="s">
        <v>74</v>
      </c>
      <c r="BM822" s="1" t="s">
        <v>74</v>
      </c>
      <c r="BN822" s="1" t="s">
        <v>74</v>
      </c>
      <c r="BO822" s="1" t="s">
        <v>74</v>
      </c>
      <c r="BP822" s="1" t="s">
        <v>74</v>
      </c>
      <c r="BQ822" s="1" t="s">
        <v>74</v>
      </c>
      <c r="BR822" s="1" t="s">
        <v>74</v>
      </c>
      <c r="BS822" s="1" t="s">
        <v>8218</v>
      </c>
      <c r="BT822" s="1" t="str">
        <f>HYPERLINK("https%3A%2F%2Fwww.webofscience.com%2Fwos%2Fwoscc%2Ffull-record%2FWOS:001029316800001","View Full Record in Web of Science")</f>
        <v>View Full Record in Web of Science</v>
      </c>
    </row>
    <row r="823" ht="12.75" customHeight="1">
      <c r="A823" s="1" t="s">
        <v>72</v>
      </c>
      <c r="B823" s="1" t="s">
        <v>8219</v>
      </c>
      <c r="C823" s="1" t="s">
        <v>74</v>
      </c>
      <c r="D823" s="1" t="s">
        <v>74</v>
      </c>
      <c r="E823" s="1" t="s">
        <v>74</v>
      </c>
      <c r="F823" s="1" t="s">
        <v>8220</v>
      </c>
      <c r="G823" s="1" t="s">
        <v>74</v>
      </c>
      <c r="H823" s="1" t="s">
        <v>74</v>
      </c>
      <c r="I823" s="1" t="s">
        <v>8221</v>
      </c>
      <c r="J823" s="1" t="s">
        <v>2296</v>
      </c>
      <c r="K823" s="1" t="s">
        <v>74</v>
      </c>
      <c r="L823" s="1" t="s">
        <v>74</v>
      </c>
      <c r="M823" s="1" t="s">
        <v>74</v>
      </c>
      <c r="N823" s="1" t="s">
        <v>74</v>
      </c>
      <c r="O823" s="1" t="s">
        <v>74</v>
      </c>
      <c r="P823" s="1" t="s">
        <v>74</v>
      </c>
      <c r="Q823" s="1" t="s">
        <v>74</v>
      </c>
      <c r="R823" s="1" t="s">
        <v>74</v>
      </c>
      <c r="S823" s="1" t="s">
        <v>74</v>
      </c>
      <c r="T823" s="1" t="s">
        <v>74</v>
      </c>
      <c r="U823" s="1" t="s">
        <v>74</v>
      </c>
      <c r="V823" s="1" t="s">
        <v>8222</v>
      </c>
      <c r="W823" s="1" t="s">
        <v>74</v>
      </c>
      <c r="X823" s="1" t="s">
        <v>74</v>
      </c>
      <c r="Y823" s="1" t="s">
        <v>74</v>
      </c>
      <c r="Z823" s="1" t="s">
        <v>74</v>
      </c>
      <c r="AA823" s="1" t="s">
        <v>8223</v>
      </c>
      <c r="AB823" s="1" t="s">
        <v>8224</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74</v>
      </c>
      <c r="AP823" s="1" t="s">
        <v>2300</v>
      </c>
      <c r="AQ823" s="1" t="s">
        <v>74</v>
      </c>
      <c r="AR823" s="1" t="s">
        <v>74</v>
      </c>
      <c r="AS823" s="1" t="s">
        <v>74</v>
      </c>
      <c r="AT823" s="1" t="s">
        <v>1106</v>
      </c>
      <c r="AU823" s="1">
        <v>2023.0</v>
      </c>
      <c r="AV823" s="1">
        <v>15.0</v>
      </c>
      <c r="AW823" s="1">
        <v>1.0</v>
      </c>
      <c r="AX823" s="1" t="s">
        <v>74</v>
      </c>
      <c r="AY823" s="1" t="s">
        <v>74</v>
      </c>
      <c r="AZ823" s="1" t="s">
        <v>74</v>
      </c>
      <c r="BA823" s="1" t="s">
        <v>74</v>
      </c>
      <c r="BB823" s="1" t="s">
        <v>74</v>
      </c>
      <c r="BC823" s="1" t="s">
        <v>74</v>
      </c>
      <c r="BD823" s="1">
        <v>95.0</v>
      </c>
      <c r="BE823" s="1" t="s">
        <v>8225</v>
      </c>
      <c r="BF823" s="2" t="str">
        <f>HYPERLINK("http://dx.doi.org/10.3390/w15010095","http://dx.doi.org/10.3390/w15010095")</f>
        <v>http://dx.doi.org/10.3390/w15010095</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8226</v>
      </c>
      <c r="BT823" s="1" t="str">
        <f>HYPERLINK("https%3A%2F%2Fwww.webofscience.com%2Fwos%2Fwoscc%2Ffull-record%2FWOS:000909198100001","View Full Record in Web of Science")</f>
        <v>View Full Record in Web of Science</v>
      </c>
    </row>
    <row r="824" ht="12.75" customHeight="1">
      <c r="A824" s="1" t="s">
        <v>72</v>
      </c>
      <c r="B824" s="1" t="s">
        <v>8227</v>
      </c>
      <c r="C824" s="1" t="s">
        <v>74</v>
      </c>
      <c r="D824" s="1" t="s">
        <v>74</v>
      </c>
      <c r="E824" s="1" t="s">
        <v>74</v>
      </c>
      <c r="F824" s="1" t="s">
        <v>8228</v>
      </c>
      <c r="G824" s="1" t="s">
        <v>74</v>
      </c>
      <c r="H824" s="1" t="s">
        <v>74</v>
      </c>
      <c r="I824" s="1" t="s">
        <v>8229</v>
      </c>
      <c r="J824" s="1" t="s">
        <v>8230</v>
      </c>
      <c r="K824" s="1" t="s">
        <v>74</v>
      </c>
      <c r="L824" s="1" t="s">
        <v>74</v>
      </c>
      <c r="M824" s="1" t="s">
        <v>74</v>
      </c>
      <c r="N824" s="1" t="s">
        <v>74</v>
      </c>
      <c r="O824" s="1" t="s">
        <v>74</v>
      </c>
      <c r="P824" s="1" t="s">
        <v>74</v>
      </c>
      <c r="Q824" s="1" t="s">
        <v>74</v>
      </c>
      <c r="R824" s="1" t="s">
        <v>74</v>
      </c>
      <c r="S824" s="1" t="s">
        <v>74</v>
      </c>
      <c r="T824" s="1" t="s">
        <v>74</v>
      </c>
      <c r="U824" s="1" t="s">
        <v>74</v>
      </c>
      <c r="V824" s="1" t="s">
        <v>8231</v>
      </c>
      <c r="W824" s="1" t="s">
        <v>74</v>
      </c>
      <c r="X824" s="1" t="s">
        <v>74</v>
      </c>
      <c r="Y824" s="1" t="s">
        <v>74</v>
      </c>
      <c r="Z824" s="1" t="s">
        <v>74</v>
      </c>
      <c r="AA824" s="1" t="s">
        <v>8232</v>
      </c>
      <c r="AB824" s="1" t="s">
        <v>8233</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8234</v>
      </c>
      <c r="AP824" s="1" t="s">
        <v>8235</v>
      </c>
      <c r="AQ824" s="1" t="s">
        <v>74</v>
      </c>
      <c r="AR824" s="1" t="s">
        <v>74</v>
      </c>
      <c r="AS824" s="1" t="s">
        <v>74</v>
      </c>
      <c r="AT824" s="1" t="s">
        <v>1106</v>
      </c>
      <c r="AU824" s="1">
        <v>2023.0</v>
      </c>
      <c r="AV824" s="1">
        <v>64.0</v>
      </c>
      <c r="AW824" s="1">
        <v>1.0</v>
      </c>
      <c r="AX824" s="1" t="s">
        <v>74</v>
      </c>
      <c r="AY824" s="1" t="s">
        <v>74</v>
      </c>
      <c r="AZ824" s="1" t="s">
        <v>74</v>
      </c>
      <c r="BA824" s="1" t="s">
        <v>74</v>
      </c>
      <c r="BB824" s="1">
        <v>129.0</v>
      </c>
      <c r="BC824" s="1">
        <v>136.0</v>
      </c>
      <c r="BD824" s="1" t="s">
        <v>74</v>
      </c>
      <c r="BE824" s="1" t="s">
        <v>8236</v>
      </c>
      <c r="BF824" s="2" t="str">
        <f>HYPERLINK("http://dx.doi.org/10.1016/j.amepre.2022.08.013","http://dx.doi.org/10.1016/j.amepre.2022.08.013")</f>
        <v>http://dx.doi.org/10.1016/j.amepre.2022.08.013</v>
      </c>
      <c r="BG824" s="1" t="s">
        <v>74</v>
      </c>
      <c r="BH824" s="1" t="s">
        <v>1764</v>
      </c>
      <c r="BI824" s="1" t="s">
        <v>74</v>
      </c>
      <c r="BJ824" s="1" t="s">
        <v>74</v>
      </c>
      <c r="BK824" s="1" t="s">
        <v>74</v>
      </c>
      <c r="BL824" s="1" t="s">
        <v>74</v>
      </c>
      <c r="BM824" s="1" t="s">
        <v>74</v>
      </c>
      <c r="BN824" s="1">
        <v>3.6528353E7</v>
      </c>
      <c r="BO824" s="1" t="s">
        <v>74</v>
      </c>
      <c r="BP824" s="1" t="s">
        <v>74</v>
      </c>
      <c r="BQ824" s="1" t="s">
        <v>74</v>
      </c>
      <c r="BR824" s="1" t="s">
        <v>74</v>
      </c>
      <c r="BS824" s="1" t="s">
        <v>8237</v>
      </c>
      <c r="BT824" s="1" t="str">
        <f>HYPERLINK("https%3A%2F%2Fwww.webofscience.com%2Fwos%2Fwoscc%2Ffull-record%2FWOS:000906109800001","View Full Record in Web of Science")</f>
        <v>View Full Record in Web of Science</v>
      </c>
    </row>
    <row r="825" ht="12.75" customHeight="1">
      <c r="A825" s="1" t="s">
        <v>72</v>
      </c>
      <c r="B825" s="1" t="s">
        <v>8238</v>
      </c>
      <c r="C825" s="1" t="s">
        <v>74</v>
      </c>
      <c r="D825" s="1" t="s">
        <v>74</v>
      </c>
      <c r="E825" s="1" t="s">
        <v>74</v>
      </c>
      <c r="F825" s="1" t="s">
        <v>8239</v>
      </c>
      <c r="G825" s="1" t="s">
        <v>74</v>
      </c>
      <c r="H825" s="1" t="s">
        <v>74</v>
      </c>
      <c r="I825" s="1" t="s">
        <v>8240</v>
      </c>
      <c r="J825" s="1" t="s">
        <v>2402</v>
      </c>
      <c r="K825" s="1" t="s">
        <v>74</v>
      </c>
      <c r="L825" s="1" t="s">
        <v>74</v>
      </c>
      <c r="M825" s="1" t="s">
        <v>74</v>
      </c>
      <c r="N825" s="1" t="s">
        <v>74</v>
      </c>
      <c r="O825" s="1" t="s">
        <v>74</v>
      </c>
      <c r="P825" s="1" t="s">
        <v>74</v>
      </c>
      <c r="Q825" s="1" t="s">
        <v>74</v>
      </c>
      <c r="R825" s="1" t="s">
        <v>74</v>
      </c>
      <c r="S825" s="1" t="s">
        <v>74</v>
      </c>
      <c r="T825" s="1" t="s">
        <v>74</v>
      </c>
      <c r="U825" s="1" t="s">
        <v>74</v>
      </c>
      <c r="V825" s="1" t="s">
        <v>8241</v>
      </c>
      <c r="W825" s="1" t="s">
        <v>74</v>
      </c>
      <c r="X825" s="1" t="s">
        <v>74</v>
      </c>
      <c r="Y825" s="1" t="s">
        <v>74</v>
      </c>
      <c r="Z825" s="1" t="s">
        <v>74</v>
      </c>
      <c r="AA825" s="1" t="s">
        <v>8242</v>
      </c>
      <c r="AB825" s="1" t="s">
        <v>8243</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2406</v>
      </c>
      <c r="AP825" s="1" t="s">
        <v>2407</v>
      </c>
      <c r="AQ825" s="1" t="s">
        <v>74</v>
      </c>
      <c r="AR825" s="1" t="s">
        <v>74</v>
      </c>
      <c r="AS825" s="1" t="s">
        <v>74</v>
      </c>
      <c r="AT825" s="1" t="s">
        <v>82</v>
      </c>
      <c r="AU825" s="1">
        <v>2022.0</v>
      </c>
      <c r="AV825" s="1">
        <v>23.0</v>
      </c>
      <c r="AW825" s="1">
        <v>19.0</v>
      </c>
      <c r="AX825" s="1" t="s">
        <v>74</v>
      </c>
      <c r="AY825" s="1" t="s">
        <v>74</v>
      </c>
      <c r="AZ825" s="1" t="s">
        <v>74</v>
      </c>
      <c r="BA825" s="1" t="s">
        <v>74</v>
      </c>
      <c r="BB825" s="1" t="s">
        <v>74</v>
      </c>
      <c r="BC825" s="1" t="s">
        <v>74</v>
      </c>
      <c r="BD825" s="1">
        <v>11065.0</v>
      </c>
      <c r="BE825" s="1" t="s">
        <v>8244</v>
      </c>
      <c r="BF825" s="2" t="str">
        <f>HYPERLINK("http://dx.doi.org/10.3390/ijms231911065","http://dx.doi.org/10.3390/ijms231911065")</f>
        <v>http://dx.doi.org/10.3390/ijms231911065</v>
      </c>
      <c r="BG825" s="1" t="s">
        <v>74</v>
      </c>
      <c r="BH825" s="1" t="s">
        <v>74</v>
      </c>
      <c r="BI825" s="1" t="s">
        <v>74</v>
      </c>
      <c r="BJ825" s="1" t="s">
        <v>74</v>
      </c>
      <c r="BK825" s="1" t="s">
        <v>74</v>
      </c>
      <c r="BL825" s="1" t="s">
        <v>74</v>
      </c>
      <c r="BM825" s="1" t="s">
        <v>74</v>
      </c>
      <c r="BN825" s="1">
        <v>3.6232369E7</v>
      </c>
      <c r="BO825" s="1" t="s">
        <v>74</v>
      </c>
      <c r="BP825" s="1" t="s">
        <v>74</v>
      </c>
      <c r="BQ825" s="1" t="s">
        <v>74</v>
      </c>
      <c r="BR825" s="1" t="s">
        <v>74</v>
      </c>
      <c r="BS825" s="1" t="s">
        <v>8245</v>
      </c>
      <c r="BT825" s="1" t="str">
        <f>HYPERLINK("https%3A%2F%2Fwww.webofscience.com%2Fwos%2Fwoscc%2Ffull-record%2FWOS:000867840200001","View Full Record in Web of Science")</f>
        <v>View Full Record in Web of Science</v>
      </c>
    </row>
    <row r="826" ht="12.75" customHeight="1">
      <c r="A826" s="1" t="s">
        <v>72</v>
      </c>
      <c r="B826" s="1" t="s">
        <v>8246</v>
      </c>
      <c r="C826" s="1" t="s">
        <v>74</v>
      </c>
      <c r="D826" s="1" t="s">
        <v>74</v>
      </c>
      <c r="E826" s="1" t="s">
        <v>74</v>
      </c>
      <c r="F826" s="1" t="s">
        <v>8247</v>
      </c>
      <c r="G826" s="1" t="s">
        <v>74</v>
      </c>
      <c r="H826" s="1" t="s">
        <v>74</v>
      </c>
      <c r="I826" s="1" t="s">
        <v>8248</v>
      </c>
      <c r="J826" s="1" t="s">
        <v>8249</v>
      </c>
      <c r="K826" s="1" t="s">
        <v>74</v>
      </c>
      <c r="L826" s="1" t="s">
        <v>74</v>
      </c>
      <c r="M826" s="1" t="s">
        <v>74</v>
      </c>
      <c r="N826" s="1" t="s">
        <v>74</v>
      </c>
      <c r="O826" s="1" t="s">
        <v>74</v>
      </c>
      <c r="P826" s="1" t="s">
        <v>74</v>
      </c>
      <c r="Q826" s="1" t="s">
        <v>74</v>
      </c>
      <c r="R826" s="1" t="s">
        <v>74</v>
      </c>
      <c r="S826" s="1" t="s">
        <v>74</v>
      </c>
      <c r="T826" s="1" t="s">
        <v>74</v>
      </c>
      <c r="U826" s="1" t="s">
        <v>74</v>
      </c>
      <c r="V826" s="1" t="s">
        <v>8250</v>
      </c>
      <c r="W826" s="1" t="s">
        <v>74</v>
      </c>
      <c r="X826" s="1" t="s">
        <v>74</v>
      </c>
      <c r="Y826" s="1" t="s">
        <v>74</v>
      </c>
      <c r="Z826" s="1" t="s">
        <v>74</v>
      </c>
      <c r="AA826" s="1" t="s">
        <v>8251</v>
      </c>
      <c r="AB826" s="1" t="s">
        <v>8252</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8253</v>
      </c>
      <c r="AP826" s="1" t="s">
        <v>74</v>
      </c>
      <c r="AQ826" s="1" t="s">
        <v>74</v>
      </c>
      <c r="AR826" s="1" t="s">
        <v>74</v>
      </c>
      <c r="AS826" s="1" t="s">
        <v>74</v>
      </c>
      <c r="AT826" s="1" t="s">
        <v>282</v>
      </c>
      <c r="AU826" s="1">
        <v>2021.0</v>
      </c>
      <c r="AV826" s="1">
        <v>6.0</v>
      </c>
      <c r="AW826" s="1">
        <v>4.0</v>
      </c>
      <c r="AX826" s="1" t="s">
        <v>74</v>
      </c>
      <c r="AY826" s="1" t="s">
        <v>74</v>
      </c>
      <c r="AZ826" s="1" t="s">
        <v>74</v>
      </c>
      <c r="BA826" s="1" t="s">
        <v>74</v>
      </c>
      <c r="BB826" s="1" t="s">
        <v>74</v>
      </c>
      <c r="BC826" s="1" t="s">
        <v>74</v>
      </c>
      <c r="BD826" s="1" t="s">
        <v>8254</v>
      </c>
      <c r="BE826" s="1" t="s">
        <v>8255</v>
      </c>
      <c r="BF826" s="2" t="str">
        <f>HYPERLINK("http://dx.doi.org/10.1128/mSystems.00466-21","http://dx.doi.org/10.1128/mSystems.00466-21")</f>
        <v>http://dx.doi.org/10.1128/mSystems.00466-21</v>
      </c>
      <c r="BG826" s="1" t="s">
        <v>74</v>
      </c>
      <c r="BH826" s="1" t="s">
        <v>74</v>
      </c>
      <c r="BI826" s="1" t="s">
        <v>74</v>
      </c>
      <c r="BJ826" s="1" t="s">
        <v>74</v>
      </c>
      <c r="BK826" s="1" t="s">
        <v>74</v>
      </c>
      <c r="BL826" s="1" t="s">
        <v>74</v>
      </c>
      <c r="BM826" s="1" t="s">
        <v>74</v>
      </c>
      <c r="BN826" s="1">
        <v>3.4427519E7</v>
      </c>
      <c r="BO826" s="1" t="s">
        <v>74</v>
      </c>
      <c r="BP826" s="1" t="s">
        <v>74</v>
      </c>
      <c r="BQ826" s="1" t="s">
        <v>74</v>
      </c>
      <c r="BR826" s="1" t="s">
        <v>74</v>
      </c>
      <c r="BS826" s="1" t="s">
        <v>8256</v>
      </c>
      <c r="BT826" s="1" t="str">
        <f>HYPERLINK("https%3A%2F%2Fwww.webofscience.com%2Fwos%2Fwoscc%2Ffull-record%2FWOS:000709924400003","View Full Record in Web of Science")</f>
        <v>View Full Record in Web of Science</v>
      </c>
    </row>
    <row r="827" ht="12.75" customHeight="1">
      <c r="A827" s="1" t="s">
        <v>72</v>
      </c>
      <c r="B827" s="1" t="s">
        <v>8257</v>
      </c>
      <c r="C827" s="1" t="s">
        <v>74</v>
      </c>
      <c r="D827" s="1" t="s">
        <v>74</v>
      </c>
      <c r="E827" s="1" t="s">
        <v>74</v>
      </c>
      <c r="F827" s="1" t="s">
        <v>8258</v>
      </c>
      <c r="G827" s="1" t="s">
        <v>74</v>
      </c>
      <c r="H827" s="1" t="s">
        <v>74</v>
      </c>
      <c r="I827" s="1" t="s">
        <v>8259</v>
      </c>
      <c r="J827" s="1" t="s">
        <v>5492</v>
      </c>
      <c r="K827" s="1" t="s">
        <v>74</v>
      </c>
      <c r="L827" s="1" t="s">
        <v>74</v>
      </c>
      <c r="M827" s="1" t="s">
        <v>74</v>
      </c>
      <c r="N827" s="1" t="s">
        <v>74</v>
      </c>
      <c r="O827" s="1" t="s">
        <v>74</v>
      </c>
      <c r="P827" s="1" t="s">
        <v>74</v>
      </c>
      <c r="Q827" s="1" t="s">
        <v>74</v>
      </c>
      <c r="R827" s="1" t="s">
        <v>74</v>
      </c>
      <c r="S827" s="1" t="s">
        <v>74</v>
      </c>
      <c r="T827" s="1" t="s">
        <v>74</v>
      </c>
      <c r="U827" s="1" t="s">
        <v>74</v>
      </c>
      <c r="V827" s="1" t="s">
        <v>8260</v>
      </c>
      <c r="W827" s="1" t="s">
        <v>74</v>
      </c>
      <c r="X827" s="1" t="s">
        <v>74</v>
      </c>
      <c r="Y827" s="1" t="s">
        <v>74</v>
      </c>
      <c r="Z827" s="1" t="s">
        <v>74</v>
      </c>
      <c r="AA827" s="1" t="s">
        <v>8261</v>
      </c>
      <c r="AB827" s="1" t="s">
        <v>8262</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74</v>
      </c>
      <c r="AP827" s="1" t="s">
        <v>5496</v>
      </c>
      <c r="AQ827" s="1" t="s">
        <v>74</v>
      </c>
      <c r="AR827" s="1" t="s">
        <v>74</v>
      </c>
      <c r="AS827" s="1" t="s">
        <v>74</v>
      </c>
      <c r="AT827" s="1" t="s">
        <v>3746</v>
      </c>
      <c r="AU827" s="1">
        <v>2021.0</v>
      </c>
      <c r="AV827" s="1">
        <v>4.0</v>
      </c>
      <c r="AW827" s="1">
        <v>1.0</v>
      </c>
      <c r="AX827" s="1" t="s">
        <v>74</v>
      </c>
      <c r="AY827" s="1" t="s">
        <v>74</v>
      </c>
      <c r="AZ827" s="1" t="s">
        <v>74</v>
      </c>
      <c r="BA827" s="1" t="s">
        <v>74</v>
      </c>
      <c r="BB827" s="1" t="s">
        <v>74</v>
      </c>
      <c r="BC827" s="1" t="s">
        <v>74</v>
      </c>
      <c r="BD827" s="1">
        <v>502.0</v>
      </c>
      <c r="BE827" s="1" t="s">
        <v>8263</v>
      </c>
      <c r="BF827" s="2" t="str">
        <f>HYPERLINK("http://dx.doi.org/10.1038/s42003-021-02021-4","http://dx.doi.org/10.1038/s42003-021-02021-4")</f>
        <v>http://dx.doi.org/10.1038/s42003-021-02021-4</v>
      </c>
      <c r="BG827" s="1" t="s">
        <v>74</v>
      </c>
      <c r="BH827" s="1" t="s">
        <v>74</v>
      </c>
      <c r="BI827" s="1" t="s">
        <v>74</v>
      </c>
      <c r="BJ827" s="1" t="s">
        <v>74</v>
      </c>
      <c r="BK827" s="1" t="s">
        <v>74</v>
      </c>
      <c r="BL827" s="1" t="s">
        <v>74</v>
      </c>
      <c r="BM827" s="1" t="s">
        <v>74</v>
      </c>
      <c r="BN827" s="1">
        <v>3.3893395E7</v>
      </c>
      <c r="BO827" s="1" t="s">
        <v>74</v>
      </c>
      <c r="BP827" s="1" t="s">
        <v>74</v>
      </c>
      <c r="BQ827" s="1" t="s">
        <v>74</v>
      </c>
      <c r="BR827" s="1" t="s">
        <v>74</v>
      </c>
      <c r="BS827" s="1" t="s">
        <v>8264</v>
      </c>
      <c r="BT827" s="1" t="str">
        <f>HYPERLINK("https%3A%2F%2Fwww.webofscience.com%2Fwos%2Fwoscc%2Ffull-record%2FWOS:000642916700005","View Full Record in Web of Science")</f>
        <v>View Full Record in Web of Science</v>
      </c>
    </row>
    <row r="828" ht="12.75" customHeight="1">
      <c r="A828" s="1" t="s">
        <v>72</v>
      </c>
      <c r="B828" s="1" t="s">
        <v>8265</v>
      </c>
      <c r="C828" s="1" t="s">
        <v>74</v>
      </c>
      <c r="D828" s="1" t="s">
        <v>74</v>
      </c>
      <c r="E828" s="1" t="s">
        <v>74</v>
      </c>
      <c r="F828" s="1" t="s">
        <v>8266</v>
      </c>
      <c r="G828" s="1" t="s">
        <v>74</v>
      </c>
      <c r="H828" s="1" t="s">
        <v>74</v>
      </c>
      <c r="I828" s="1" t="s">
        <v>8267</v>
      </c>
      <c r="J828" s="1" t="s">
        <v>253</v>
      </c>
      <c r="K828" s="1" t="s">
        <v>74</v>
      </c>
      <c r="L828" s="1" t="s">
        <v>74</v>
      </c>
      <c r="M828" s="1" t="s">
        <v>74</v>
      </c>
      <c r="N828" s="1" t="s">
        <v>74</v>
      </c>
      <c r="O828" s="1" t="s">
        <v>74</v>
      </c>
      <c r="P828" s="1" t="s">
        <v>74</v>
      </c>
      <c r="Q828" s="1" t="s">
        <v>74</v>
      </c>
      <c r="R828" s="1" t="s">
        <v>74</v>
      </c>
      <c r="S828" s="1" t="s">
        <v>74</v>
      </c>
      <c r="T828" s="1" t="s">
        <v>74</v>
      </c>
      <c r="U828" s="1" t="s">
        <v>74</v>
      </c>
      <c r="V828" s="1" t="s">
        <v>8268</v>
      </c>
      <c r="W828" s="1" t="s">
        <v>74</v>
      </c>
      <c r="X828" s="1" t="s">
        <v>74</v>
      </c>
      <c r="Y828" s="1" t="s">
        <v>74</v>
      </c>
      <c r="Z828" s="1" t="s">
        <v>74</v>
      </c>
      <c r="AA828" s="1" t="s">
        <v>8269</v>
      </c>
      <c r="AB828" s="1" t="s">
        <v>8270</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257</v>
      </c>
      <c r="AP828" s="1" t="s">
        <v>258</v>
      </c>
      <c r="AQ828" s="1" t="s">
        <v>74</v>
      </c>
      <c r="AR828" s="1" t="s">
        <v>74</v>
      </c>
      <c r="AS828" s="1" t="s">
        <v>74</v>
      </c>
      <c r="AT828" s="1" t="s">
        <v>1657</v>
      </c>
      <c r="AU828" s="1">
        <v>2021.0</v>
      </c>
      <c r="AV828" s="1">
        <v>530.0</v>
      </c>
      <c r="AW828" s="1" t="s">
        <v>74</v>
      </c>
      <c r="AX828" s="1" t="s">
        <v>74</v>
      </c>
      <c r="AY828" s="1" t="s">
        <v>74</v>
      </c>
      <c r="AZ828" s="1" t="s">
        <v>74</v>
      </c>
      <c r="BA828" s="1" t="s">
        <v>74</v>
      </c>
      <c r="BB828" s="1" t="s">
        <v>74</v>
      </c>
      <c r="BC828" s="1" t="s">
        <v>74</v>
      </c>
      <c r="BD828" s="1">
        <v>167914.0</v>
      </c>
      <c r="BE828" s="1" t="s">
        <v>8271</v>
      </c>
      <c r="BF828" s="2" t="str">
        <f>HYPERLINK("http://dx.doi.org/10.1016/j.jmmm.2021.167914","http://dx.doi.org/10.1016/j.jmmm.2021.167914")</f>
        <v>http://dx.doi.org/10.1016/j.jmmm.2021.167914</v>
      </c>
      <c r="BG828" s="1" t="s">
        <v>74</v>
      </c>
      <c r="BH828" s="1" t="s">
        <v>2439</v>
      </c>
      <c r="BI828" s="1" t="s">
        <v>74</v>
      </c>
      <c r="BJ828" s="1" t="s">
        <v>74</v>
      </c>
      <c r="BK828" s="1" t="s">
        <v>74</v>
      </c>
      <c r="BL828" s="1" t="s">
        <v>74</v>
      </c>
      <c r="BM828" s="1" t="s">
        <v>74</v>
      </c>
      <c r="BN828" s="1" t="s">
        <v>74</v>
      </c>
      <c r="BO828" s="1" t="s">
        <v>74</v>
      </c>
      <c r="BP828" s="1" t="s">
        <v>74</v>
      </c>
      <c r="BQ828" s="1" t="s">
        <v>74</v>
      </c>
      <c r="BR828" s="1" t="s">
        <v>74</v>
      </c>
      <c r="BS828" s="1" t="s">
        <v>8272</v>
      </c>
      <c r="BT828" s="1" t="str">
        <f>HYPERLINK("https%3A%2F%2Fwww.webofscience.com%2Fwos%2Fwoscc%2Ffull-record%2FWOS:000643888500005","View Full Record in Web of Science")</f>
        <v>View Full Record in Web of Science</v>
      </c>
    </row>
    <row r="829" ht="12.75" customHeight="1">
      <c r="A829" s="1" t="s">
        <v>72</v>
      </c>
      <c r="B829" s="1" t="s">
        <v>8273</v>
      </c>
      <c r="C829" s="1" t="s">
        <v>74</v>
      </c>
      <c r="D829" s="1" t="s">
        <v>74</v>
      </c>
      <c r="E829" s="1" t="s">
        <v>74</v>
      </c>
      <c r="F829" s="1" t="s">
        <v>8274</v>
      </c>
      <c r="G829" s="1" t="s">
        <v>74</v>
      </c>
      <c r="H829" s="1" t="s">
        <v>74</v>
      </c>
      <c r="I829" s="1" t="s">
        <v>8275</v>
      </c>
      <c r="J829" s="1" t="s">
        <v>8276</v>
      </c>
      <c r="K829" s="1" t="s">
        <v>74</v>
      </c>
      <c r="L829" s="1" t="s">
        <v>74</v>
      </c>
      <c r="M829" s="1" t="s">
        <v>74</v>
      </c>
      <c r="N829" s="1" t="s">
        <v>74</v>
      </c>
      <c r="O829" s="1" t="s">
        <v>74</v>
      </c>
      <c r="P829" s="1" t="s">
        <v>74</v>
      </c>
      <c r="Q829" s="1" t="s">
        <v>74</v>
      </c>
      <c r="R829" s="1" t="s">
        <v>74</v>
      </c>
      <c r="S829" s="1" t="s">
        <v>74</v>
      </c>
      <c r="T829" s="1" t="s">
        <v>74</v>
      </c>
      <c r="U829" s="1" t="s">
        <v>74</v>
      </c>
      <c r="V829" s="1" t="s">
        <v>8277</v>
      </c>
      <c r="W829" s="1" t="s">
        <v>74</v>
      </c>
      <c r="X829" s="1" t="s">
        <v>74</v>
      </c>
      <c r="Y829" s="1" t="s">
        <v>74</v>
      </c>
      <c r="Z829" s="1" t="s">
        <v>74</v>
      </c>
      <c r="AA829" s="1" t="s">
        <v>74</v>
      </c>
      <c r="AB829" s="1" t="s">
        <v>8278</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8279</v>
      </c>
      <c r="AP829" s="1" t="s">
        <v>8280</v>
      </c>
      <c r="AQ829" s="1" t="s">
        <v>74</v>
      </c>
      <c r="AR829" s="1" t="s">
        <v>74</v>
      </c>
      <c r="AS829" s="1" t="s">
        <v>74</v>
      </c>
      <c r="AT829" s="1" t="s">
        <v>8281</v>
      </c>
      <c r="AU829" s="1">
        <v>2021.0</v>
      </c>
      <c r="AV829" s="1">
        <v>53.0</v>
      </c>
      <c r="AW829" s="1">
        <v>20.0</v>
      </c>
      <c r="AX829" s="1" t="s">
        <v>74</v>
      </c>
      <c r="AY829" s="1" t="s">
        <v>74</v>
      </c>
      <c r="AZ829" s="1" t="s">
        <v>74</v>
      </c>
      <c r="BA829" s="1" t="s">
        <v>74</v>
      </c>
      <c r="BB829" s="1">
        <v>2256.0</v>
      </c>
      <c r="BC829" s="1">
        <v>2274.0</v>
      </c>
      <c r="BD829" s="1" t="s">
        <v>74</v>
      </c>
      <c r="BE829" s="1" t="s">
        <v>8282</v>
      </c>
      <c r="BF829" s="2" t="str">
        <f>HYPERLINK("http://dx.doi.org/10.1080/00036846.2020.1817845","http://dx.doi.org/10.1080/00036846.2020.1817845")</f>
        <v>http://dx.doi.org/10.1080/00036846.2020.1817845</v>
      </c>
      <c r="BG829" s="1" t="s">
        <v>74</v>
      </c>
      <c r="BH829" s="1" t="s">
        <v>2439</v>
      </c>
      <c r="BI829" s="1" t="s">
        <v>74</v>
      </c>
      <c r="BJ829" s="1" t="s">
        <v>74</v>
      </c>
      <c r="BK829" s="1" t="s">
        <v>74</v>
      </c>
      <c r="BL829" s="1" t="s">
        <v>74</v>
      </c>
      <c r="BM829" s="1" t="s">
        <v>74</v>
      </c>
      <c r="BN829" s="1" t="s">
        <v>74</v>
      </c>
      <c r="BO829" s="1" t="s">
        <v>74</v>
      </c>
      <c r="BP829" s="1" t="s">
        <v>74</v>
      </c>
      <c r="BQ829" s="1" t="s">
        <v>74</v>
      </c>
      <c r="BR829" s="1" t="s">
        <v>74</v>
      </c>
      <c r="BS829" s="1" t="s">
        <v>8283</v>
      </c>
      <c r="BT829" s="1" t="str">
        <f>HYPERLINK("https%3A%2F%2Fwww.webofscience.com%2Fwos%2Fwoscc%2Ffull-record%2FWOS:000632023400001","View Full Record in Web of Science")</f>
        <v>View Full Record in Web of Science</v>
      </c>
    </row>
    <row r="830" ht="12.75" customHeight="1">
      <c r="A830" s="1" t="s">
        <v>72</v>
      </c>
      <c r="B830" s="1" t="s">
        <v>8284</v>
      </c>
      <c r="C830" s="1" t="s">
        <v>74</v>
      </c>
      <c r="D830" s="1" t="s">
        <v>74</v>
      </c>
      <c r="E830" s="1" t="s">
        <v>74</v>
      </c>
      <c r="F830" s="1" t="s">
        <v>8285</v>
      </c>
      <c r="G830" s="1" t="s">
        <v>74</v>
      </c>
      <c r="H830" s="1" t="s">
        <v>74</v>
      </c>
      <c r="I830" s="1" t="s">
        <v>8286</v>
      </c>
      <c r="J830" s="1" t="s">
        <v>8287</v>
      </c>
      <c r="K830" s="1" t="s">
        <v>74</v>
      </c>
      <c r="L830" s="1" t="s">
        <v>74</v>
      </c>
      <c r="M830" s="1" t="s">
        <v>74</v>
      </c>
      <c r="N830" s="1" t="s">
        <v>74</v>
      </c>
      <c r="O830" s="1" t="s">
        <v>74</v>
      </c>
      <c r="P830" s="1" t="s">
        <v>74</v>
      </c>
      <c r="Q830" s="1" t="s">
        <v>74</v>
      </c>
      <c r="R830" s="1" t="s">
        <v>74</v>
      </c>
      <c r="S830" s="1" t="s">
        <v>74</v>
      </c>
      <c r="T830" s="1" t="s">
        <v>74</v>
      </c>
      <c r="U830" s="1" t="s">
        <v>74</v>
      </c>
      <c r="V830" s="1" t="s">
        <v>8288</v>
      </c>
      <c r="W830" s="1" t="s">
        <v>74</v>
      </c>
      <c r="X830" s="1" t="s">
        <v>74</v>
      </c>
      <c r="Y830" s="1" t="s">
        <v>74</v>
      </c>
      <c r="Z830" s="1" t="s">
        <v>74</v>
      </c>
      <c r="AA830" s="1" t="s">
        <v>8289</v>
      </c>
      <c r="AB830" s="1" t="s">
        <v>8290</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8291</v>
      </c>
      <c r="AP830" s="1" t="s">
        <v>8292</v>
      </c>
      <c r="AQ830" s="1" t="s">
        <v>74</v>
      </c>
      <c r="AR830" s="1" t="s">
        <v>74</v>
      </c>
      <c r="AS830" s="1" t="s">
        <v>74</v>
      </c>
      <c r="AT830" s="1" t="s">
        <v>8293</v>
      </c>
      <c r="AU830" s="1">
        <v>2020.0</v>
      </c>
      <c r="AV830" s="1">
        <v>207.0</v>
      </c>
      <c r="AW830" s="1">
        <v>6.0</v>
      </c>
      <c r="AX830" s="1" t="s">
        <v>74</v>
      </c>
      <c r="AY830" s="1" t="s">
        <v>74</v>
      </c>
      <c r="AZ830" s="1" t="s">
        <v>74</v>
      </c>
      <c r="BA830" s="1" t="s">
        <v>74</v>
      </c>
      <c r="BB830" s="1">
        <v>751.0</v>
      </c>
      <c r="BC830" s="1">
        <v>768.0</v>
      </c>
      <c r="BD830" s="1" t="s">
        <v>74</v>
      </c>
      <c r="BE830" s="1" t="s">
        <v>8294</v>
      </c>
      <c r="BF830" s="2" t="str">
        <f>HYPERLINK("http://dx.doi.org/10.1080/00986445.2019.1621858","http://dx.doi.org/10.1080/00986445.2019.1621858")</f>
        <v>http://dx.doi.org/10.1080/00986445.2019.1621858</v>
      </c>
      <c r="BG830" s="1" t="s">
        <v>74</v>
      </c>
      <c r="BH830" s="1" t="s">
        <v>3735</v>
      </c>
      <c r="BI830" s="1" t="s">
        <v>74</v>
      </c>
      <c r="BJ830" s="1" t="s">
        <v>74</v>
      </c>
      <c r="BK830" s="1" t="s">
        <v>74</v>
      </c>
      <c r="BL830" s="1" t="s">
        <v>74</v>
      </c>
      <c r="BM830" s="1" t="s">
        <v>74</v>
      </c>
      <c r="BN830" s="1" t="s">
        <v>74</v>
      </c>
      <c r="BO830" s="1" t="s">
        <v>74</v>
      </c>
      <c r="BP830" s="1" t="s">
        <v>74</v>
      </c>
      <c r="BQ830" s="1" t="s">
        <v>74</v>
      </c>
      <c r="BR830" s="1" t="s">
        <v>74</v>
      </c>
      <c r="BS830" s="1" t="s">
        <v>8295</v>
      </c>
      <c r="BT830" s="1" t="str">
        <f>HYPERLINK("https%3A%2F%2Fwww.webofscience.com%2Fwos%2Fwoscc%2Ffull-record%2FWOS:000471458900001","View Full Record in Web of Science")</f>
        <v>View Full Record in Web of Science</v>
      </c>
    </row>
    <row r="831" ht="12.75" customHeight="1">
      <c r="A831" s="1" t="s">
        <v>72</v>
      </c>
      <c r="B831" s="1" t="s">
        <v>8296</v>
      </c>
      <c r="C831" s="1" t="s">
        <v>74</v>
      </c>
      <c r="D831" s="1" t="s">
        <v>74</v>
      </c>
      <c r="E831" s="1" t="s">
        <v>74</v>
      </c>
      <c r="F831" s="1" t="s">
        <v>8297</v>
      </c>
      <c r="G831" s="1" t="s">
        <v>74</v>
      </c>
      <c r="H831" s="1" t="s">
        <v>74</v>
      </c>
      <c r="I831" s="1" t="s">
        <v>8298</v>
      </c>
      <c r="J831" s="1" t="s">
        <v>8299</v>
      </c>
      <c r="K831" s="1" t="s">
        <v>74</v>
      </c>
      <c r="L831" s="1" t="s">
        <v>74</v>
      </c>
      <c r="M831" s="1" t="s">
        <v>74</v>
      </c>
      <c r="N831" s="1" t="s">
        <v>74</v>
      </c>
      <c r="O831" s="1" t="s">
        <v>74</v>
      </c>
      <c r="P831" s="1" t="s">
        <v>74</v>
      </c>
      <c r="Q831" s="1" t="s">
        <v>74</v>
      </c>
      <c r="R831" s="1" t="s">
        <v>74</v>
      </c>
      <c r="S831" s="1" t="s">
        <v>74</v>
      </c>
      <c r="T831" s="1" t="s">
        <v>74</v>
      </c>
      <c r="U831" s="1" t="s">
        <v>74</v>
      </c>
      <c r="V831" s="1" t="s">
        <v>8300</v>
      </c>
      <c r="W831" s="1" t="s">
        <v>74</v>
      </c>
      <c r="X831" s="1" t="s">
        <v>74</v>
      </c>
      <c r="Y831" s="1" t="s">
        <v>74</v>
      </c>
      <c r="Z831" s="1" t="s">
        <v>74</v>
      </c>
      <c r="AA831" s="1" t="s">
        <v>8301</v>
      </c>
      <c r="AB831" s="1" t="s">
        <v>8302</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8303</v>
      </c>
      <c r="AP831" s="1" t="s">
        <v>8304</v>
      </c>
      <c r="AQ831" s="1" t="s">
        <v>74</v>
      </c>
      <c r="AR831" s="1" t="s">
        <v>74</v>
      </c>
      <c r="AS831" s="1" t="s">
        <v>74</v>
      </c>
      <c r="AT831" s="1" t="s">
        <v>3398</v>
      </c>
      <c r="AU831" s="1">
        <v>2019.0</v>
      </c>
      <c r="AV831" s="1">
        <v>213.0</v>
      </c>
      <c r="AW831" s="1" t="s">
        <v>74</v>
      </c>
      <c r="AX831" s="1" t="s">
        <v>74</v>
      </c>
      <c r="AY831" s="1" t="s">
        <v>74</v>
      </c>
      <c r="AZ831" s="1" t="s">
        <v>74</v>
      </c>
      <c r="BA831" s="1" t="s">
        <v>74</v>
      </c>
      <c r="BB831" s="1">
        <v>1.0</v>
      </c>
      <c r="BC831" s="1">
        <v>20.0</v>
      </c>
      <c r="BD831" s="1" t="s">
        <v>74</v>
      </c>
      <c r="BE831" s="1" t="s">
        <v>8305</v>
      </c>
      <c r="BF831" s="2" t="str">
        <f>HYPERLINK("http://dx.doi.org/10.1016/j.jclepro.2018.12.111","http://dx.doi.org/10.1016/j.jclepro.2018.12.111")</f>
        <v>http://dx.doi.org/10.1016/j.jclepro.2018.12.111</v>
      </c>
      <c r="BG831" s="1" t="s">
        <v>74</v>
      </c>
      <c r="BH831" s="1" t="s">
        <v>74</v>
      </c>
      <c r="BI831" s="1" t="s">
        <v>74</v>
      </c>
      <c r="BJ831" s="1" t="s">
        <v>74</v>
      </c>
      <c r="BK831" s="1" t="s">
        <v>74</v>
      </c>
      <c r="BL831" s="1" t="s">
        <v>74</v>
      </c>
      <c r="BM831" s="1" t="s">
        <v>74</v>
      </c>
      <c r="BN831" s="1" t="s">
        <v>74</v>
      </c>
      <c r="BO831" s="1" t="s">
        <v>74</v>
      </c>
      <c r="BP831" s="1" t="s">
        <v>74</v>
      </c>
      <c r="BQ831" s="1" t="s">
        <v>74</v>
      </c>
      <c r="BR831" s="1" t="s">
        <v>74</v>
      </c>
      <c r="BS831" s="1" t="s">
        <v>8306</v>
      </c>
      <c r="BT831" s="1" t="str">
        <f>HYPERLINK("https%3A%2F%2Fwww.webofscience.com%2Fwos%2Fwoscc%2Ffull-record%2FWOS:000461132600001","View Full Record in Web of Science")</f>
        <v>View Full Record in Web of Science</v>
      </c>
    </row>
    <row r="832" ht="12.75" customHeight="1">
      <c r="A832" s="1" t="s">
        <v>72</v>
      </c>
      <c r="B832" s="1" t="s">
        <v>8307</v>
      </c>
      <c r="C832" s="1" t="s">
        <v>74</v>
      </c>
      <c r="D832" s="1" t="s">
        <v>74</v>
      </c>
      <c r="E832" s="1" t="s">
        <v>74</v>
      </c>
      <c r="F832" s="1" t="s">
        <v>8308</v>
      </c>
      <c r="G832" s="1" t="s">
        <v>74</v>
      </c>
      <c r="H832" s="1" t="s">
        <v>74</v>
      </c>
      <c r="I832" s="1" t="s">
        <v>8309</v>
      </c>
      <c r="J832" s="1" t="s">
        <v>3159</v>
      </c>
      <c r="K832" s="1" t="s">
        <v>74</v>
      </c>
      <c r="L832" s="1" t="s">
        <v>74</v>
      </c>
      <c r="M832" s="1" t="s">
        <v>74</v>
      </c>
      <c r="N832" s="1" t="s">
        <v>74</v>
      </c>
      <c r="O832" s="1" t="s">
        <v>74</v>
      </c>
      <c r="P832" s="1" t="s">
        <v>74</v>
      </c>
      <c r="Q832" s="1" t="s">
        <v>74</v>
      </c>
      <c r="R832" s="1" t="s">
        <v>74</v>
      </c>
      <c r="S832" s="1" t="s">
        <v>74</v>
      </c>
      <c r="T832" s="1" t="s">
        <v>74</v>
      </c>
      <c r="U832" s="1" t="s">
        <v>74</v>
      </c>
      <c r="V832" s="1" t="s">
        <v>8310</v>
      </c>
      <c r="W832" s="1" t="s">
        <v>74</v>
      </c>
      <c r="X832" s="1" t="s">
        <v>74</v>
      </c>
      <c r="Y832" s="1" t="s">
        <v>74</v>
      </c>
      <c r="Z832" s="1" t="s">
        <v>74</v>
      </c>
      <c r="AA832" s="1" t="s">
        <v>8311</v>
      </c>
      <c r="AB832" s="1" t="s">
        <v>8312</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3163</v>
      </c>
      <c r="AP832" s="1" t="s">
        <v>3164</v>
      </c>
      <c r="AQ832" s="1" t="s">
        <v>74</v>
      </c>
      <c r="AR832" s="1" t="s">
        <v>74</v>
      </c>
      <c r="AS832" s="1" t="s">
        <v>74</v>
      </c>
      <c r="AT832" s="1" t="s">
        <v>397</v>
      </c>
      <c r="AU832" s="1">
        <v>2018.0</v>
      </c>
      <c r="AV832" s="1">
        <v>253.0</v>
      </c>
      <c r="AW832" s="1" t="s">
        <v>74</v>
      </c>
      <c r="AX832" s="1" t="s">
        <v>74</v>
      </c>
      <c r="AY832" s="1" t="s">
        <v>74</v>
      </c>
      <c r="AZ832" s="1" t="s">
        <v>74</v>
      </c>
      <c r="BA832" s="1" t="s">
        <v>74</v>
      </c>
      <c r="BB832" s="1">
        <v>71.0</v>
      </c>
      <c r="BC832" s="1">
        <v>78.0</v>
      </c>
      <c r="BD832" s="1" t="s">
        <v>74</v>
      </c>
      <c r="BE832" s="1" t="s">
        <v>8313</v>
      </c>
      <c r="BF832" s="2" t="str">
        <f>HYPERLINK("http://dx.doi.org/10.1016/j.foodchem.2018.01.128","http://dx.doi.org/10.1016/j.foodchem.2018.01.128")</f>
        <v>http://dx.doi.org/10.1016/j.foodchem.2018.01.128</v>
      </c>
      <c r="BG832" s="1" t="s">
        <v>74</v>
      </c>
      <c r="BH832" s="1" t="s">
        <v>74</v>
      </c>
      <c r="BI832" s="1" t="s">
        <v>74</v>
      </c>
      <c r="BJ832" s="1" t="s">
        <v>74</v>
      </c>
      <c r="BK832" s="1" t="s">
        <v>74</v>
      </c>
      <c r="BL832" s="1" t="s">
        <v>74</v>
      </c>
      <c r="BM832" s="1" t="s">
        <v>74</v>
      </c>
      <c r="BN832" s="1">
        <v>2.9502846E7</v>
      </c>
      <c r="BO832" s="1" t="s">
        <v>74</v>
      </c>
      <c r="BP832" s="1" t="s">
        <v>74</v>
      </c>
      <c r="BQ832" s="1" t="s">
        <v>74</v>
      </c>
      <c r="BR832" s="1" t="s">
        <v>74</v>
      </c>
      <c r="BS832" s="1" t="s">
        <v>8314</v>
      </c>
      <c r="BT832" s="1" t="str">
        <f>HYPERLINK("https%3A%2F%2Fwww.webofscience.com%2Fwos%2Fwoscc%2Ffull-record%2FWOS:000426649300010","View Full Record in Web of Science")</f>
        <v>View Full Record in Web of Science</v>
      </c>
    </row>
    <row r="833" ht="12.75" customHeight="1">
      <c r="A833" s="1" t="s">
        <v>72</v>
      </c>
      <c r="B833" s="1" t="s">
        <v>8315</v>
      </c>
      <c r="C833" s="1" t="s">
        <v>74</v>
      </c>
      <c r="D833" s="1" t="s">
        <v>74</v>
      </c>
      <c r="E833" s="1" t="s">
        <v>74</v>
      </c>
      <c r="F833" s="1" t="s">
        <v>8316</v>
      </c>
      <c r="G833" s="1" t="s">
        <v>74</v>
      </c>
      <c r="H833" s="1" t="s">
        <v>74</v>
      </c>
      <c r="I833" s="1" t="s">
        <v>8317</v>
      </c>
      <c r="J833" s="1" t="s">
        <v>8318</v>
      </c>
      <c r="K833" s="1" t="s">
        <v>74</v>
      </c>
      <c r="L833" s="1" t="s">
        <v>74</v>
      </c>
      <c r="M833" s="1" t="s">
        <v>74</v>
      </c>
      <c r="N833" s="1" t="s">
        <v>74</v>
      </c>
      <c r="O833" s="1" t="s">
        <v>74</v>
      </c>
      <c r="P833" s="1" t="s">
        <v>74</v>
      </c>
      <c r="Q833" s="1" t="s">
        <v>74</v>
      </c>
      <c r="R833" s="1" t="s">
        <v>74</v>
      </c>
      <c r="S833" s="1" t="s">
        <v>74</v>
      </c>
      <c r="T833" s="1" t="s">
        <v>74</v>
      </c>
      <c r="U833" s="1" t="s">
        <v>74</v>
      </c>
      <c r="V833" s="1" t="s">
        <v>8319</v>
      </c>
      <c r="W833" s="1" t="s">
        <v>74</v>
      </c>
      <c r="X833" s="1" t="s">
        <v>74</v>
      </c>
      <c r="Y833" s="1" t="s">
        <v>74</v>
      </c>
      <c r="Z833" s="1" t="s">
        <v>74</v>
      </c>
      <c r="AA833" s="1" t="s">
        <v>8320</v>
      </c>
      <c r="AB833" s="1" t="s">
        <v>8321</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8322</v>
      </c>
      <c r="AP833" s="1" t="s">
        <v>8323</v>
      </c>
      <c r="AQ833" s="1" t="s">
        <v>74</v>
      </c>
      <c r="AR833" s="1" t="s">
        <v>74</v>
      </c>
      <c r="AS833" s="1" t="s">
        <v>74</v>
      </c>
      <c r="AT833" s="1" t="s">
        <v>745</v>
      </c>
      <c r="AU833" s="1">
        <v>2018.0</v>
      </c>
      <c r="AV833" s="1">
        <v>74.0</v>
      </c>
      <c r="AW833" s="1">
        <v>5.0</v>
      </c>
      <c r="AX833" s="1" t="s">
        <v>74</v>
      </c>
      <c r="AY833" s="1" t="s">
        <v>74</v>
      </c>
      <c r="AZ833" s="1" t="s">
        <v>74</v>
      </c>
      <c r="BA833" s="1" t="s">
        <v>74</v>
      </c>
      <c r="BB833" s="1">
        <v>2006.0</v>
      </c>
      <c r="BC833" s="1">
        <v>2034.0</v>
      </c>
      <c r="BD833" s="1" t="s">
        <v>74</v>
      </c>
      <c r="BE833" s="1" t="s">
        <v>8324</v>
      </c>
      <c r="BF833" s="2" t="str">
        <f>HYPERLINK("http://dx.doi.org/10.1007/s11227-017-2207-3","http://dx.doi.org/10.1007/s11227-017-2207-3")</f>
        <v>http://dx.doi.org/10.1007/s11227-017-2207-3</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8325</v>
      </c>
      <c r="BT833" s="1" t="str">
        <f>HYPERLINK("https%3A%2F%2Fwww.webofscience.com%2Fwos%2Fwoscc%2Ffull-record%2FWOS:000430412400012","View Full Record in Web of Science")</f>
        <v>View Full Record in Web of Science</v>
      </c>
    </row>
    <row r="834" ht="12.75" customHeight="1">
      <c r="A834" s="1" t="s">
        <v>72</v>
      </c>
      <c r="B834" s="1" t="s">
        <v>8326</v>
      </c>
      <c r="C834" s="1" t="s">
        <v>74</v>
      </c>
      <c r="D834" s="1" t="s">
        <v>74</v>
      </c>
      <c r="E834" s="1" t="s">
        <v>74</v>
      </c>
      <c r="F834" s="1" t="s">
        <v>8327</v>
      </c>
      <c r="G834" s="1" t="s">
        <v>74</v>
      </c>
      <c r="H834" s="1" t="s">
        <v>74</v>
      </c>
      <c r="I834" s="1" t="s">
        <v>8328</v>
      </c>
      <c r="J834" s="1" t="s">
        <v>8329</v>
      </c>
      <c r="K834" s="1" t="s">
        <v>74</v>
      </c>
      <c r="L834" s="1" t="s">
        <v>74</v>
      </c>
      <c r="M834" s="1" t="s">
        <v>74</v>
      </c>
      <c r="N834" s="1" t="s">
        <v>74</v>
      </c>
      <c r="O834" s="1" t="s">
        <v>74</v>
      </c>
      <c r="P834" s="1" t="s">
        <v>74</v>
      </c>
      <c r="Q834" s="1" t="s">
        <v>74</v>
      </c>
      <c r="R834" s="1" t="s">
        <v>74</v>
      </c>
      <c r="S834" s="1" t="s">
        <v>74</v>
      </c>
      <c r="T834" s="1" t="s">
        <v>74</v>
      </c>
      <c r="U834" s="1" t="s">
        <v>74</v>
      </c>
      <c r="V834" s="1" t="s">
        <v>8330</v>
      </c>
      <c r="W834" s="1" t="s">
        <v>74</v>
      </c>
      <c r="X834" s="1" t="s">
        <v>74</v>
      </c>
      <c r="Y834" s="1" t="s">
        <v>74</v>
      </c>
      <c r="Z834" s="1" t="s">
        <v>74</v>
      </c>
      <c r="AA834" s="1" t="s">
        <v>7024</v>
      </c>
      <c r="AB834" s="1" t="s">
        <v>7025</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8331</v>
      </c>
      <c r="AP834" s="1" t="s">
        <v>8332</v>
      </c>
      <c r="AQ834" s="1" t="s">
        <v>74</v>
      </c>
      <c r="AR834" s="1" t="s">
        <v>74</v>
      </c>
      <c r="AS834" s="1" t="s">
        <v>74</v>
      </c>
      <c r="AT834" s="1" t="s">
        <v>8333</v>
      </c>
      <c r="AU834" s="1">
        <v>2018.0</v>
      </c>
      <c r="AV834" s="1">
        <v>840.0</v>
      </c>
      <c r="AW834" s="1" t="s">
        <v>74</v>
      </c>
      <c r="AX834" s="1" t="s">
        <v>74</v>
      </c>
      <c r="AY834" s="1" t="s">
        <v>74</v>
      </c>
      <c r="AZ834" s="1" t="s">
        <v>74</v>
      </c>
      <c r="BA834" s="1" t="s">
        <v>74</v>
      </c>
      <c r="BB834" s="1">
        <v>190.0</v>
      </c>
      <c r="BC834" s="1">
        <v>214.0</v>
      </c>
      <c r="BD834" s="1" t="s">
        <v>74</v>
      </c>
      <c r="BE834" s="1" t="s">
        <v>8334</v>
      </c>
      <c r="BF834" s="2" t="str">
        <f>HYPERLINK("http://dx.doi.org/10.1017/jfm.2017.901","http://dx.doi.org/10.1017/jfm.2017.901")</f>
        <v>http://dx.doi.org/10.1017/jfm.2017.901</v>
      </c>
      <c r="BG834" s="1" t="s">
        <v>74</v>
      </c>
      <c r="BH834" s="1" t="s">
        <v>74</v>
      </c>
      <c r="BI834" s="1" t="s">
        <v>74</v>
      </c>
      <c r="BJ834" s="1" t="s">
        <v>74</v>
      </c>
      <c r="BK834" s="1" t="s">
        <v>74</v>
      </c>
      <c r="BL834" s="1" t="s">
        <v>74</v>
      </c>
      <c r="BM834" s="1" t="s">
        <v>74</v>
      </c>
      <c r="BN834" s="1" t="s">
        <v>74</v>
      </c>
      <c r="BO834" s="1" t="s">
        <v>74</v>
      </c>
      <c r="BP834" s="1" t="s">
        <v>74</v>
      </c>
      <c r="BQ834" s="1" t="s">
        <v>74</v>
      </c>
      <c r="BR834" s="1" t="s">
        <v>74</v>
      </c>
      <c r="BS834" s="1" t="s">
        <v>8335</v>
      </c>
      <c r="BT834" s="1" t="str">
        <f>HYPERLINK("https%3A%2F%2Fwww.webofscience.com%2Fwos%2Fwoscc%2Ffull-record%2FWOS:000424742400002","View Full Record in Web of Science")</f>
        <v>View Full Record in Web of Science</v>
      </c>
    </row>
    <row r="835" ht="12.75" customHeight="1">
      <c r="A835" s="1" t="s">
        <v>72</v>
      </c>
      <c r="B835" s="1" t="s">
        <v>8336</v>
      </c>
      <c r="C835" s="1" t="s">
        <v>74</v>
      </c>
      <c r="D835" s="1" t="s">
        <v>74</v>
      </c>
      <c r="E835" s="1" t="s">
        <v>74</v>
      </c>
      <c r="F835" s="1" t="s">
        <v>8337</v>
      </c>
      <c r="G835" s="1" t="s">
        <v>74</v>
      </c>
      <c r="H835" s="1" t="s">
        <v>74</v>
      </c>
      <c r="I835" s="1" t="s">
        <v>8338</v>
      </c>
      <c r="J835" s="1" t="s">
        <v>2545</v>
      </c>
      <c r="K835" s="1" t="s">
        <v>74</v>
      </c>
      <c r="L835" s="1" t="s">
        <v>74</v>
      </c>
      <c r="M835" s="1" t="s">
        <v>74</v>
      </c>
      <c r="N835" s="1" t="s">
        <v>74</v>
      </c>
      <c r="O835" s="1" t="s">
        <v>74</v>
      </c>
      <c r="P835" s="1" t="s">
        <v>74</v>
      </c>
      <c r="Q835" s="1" t="s">
        <v>74</v>
      </c>
      <c r="R835" s="1" t="s">
        <v>74</v>
      </c>
      <c r="S835" s="1" t="s">
        <v>74</v>
      </c>
      <c r="T835" s="1" t="s">
        <v>74</v>
      </c>
      <c r="U835" s="1" t="s">
        <v>74</v>
      </c>
      <c r="V835" s="1" t="s">
        <v>8339</v>
      </c>
      <c r="W835" s="1" t="s">
        <v>74</v>
      </c>
      <c r="X835" s="1" t="s">
        <v>74</v>
      </c>
      <c r="Y835" s="1" t="s">
        <v>74</v>
      </c>
      <c r="Z835" s="1" t="s">
        <v>74</v>
      </c>
      <c r="AA835" s="1" t="s">
        <v>8340</v>
      </c>
      <c r="AB835" s="1" t="s">
        <v>8341</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2549</v>
      </c>
      <c r="AP835" s="1" t="s">
        <v>2550</v>
      </c>
      <c r="AQ835" s="1" t="s">
        <v>74</v>
      </c>
      <c r="AR835" s="1" t="s">
        <v>74</v>
      </c>
      <c r="AS835" s="1" t="s">
        <v>74</v>
      </c>
      <c r="AT835" s="1" t="s">
        <v>164</v>
      </c>
      <c r="AU835" s="1">
        <v>2017.0</v>
      </c>
      <c r="AV835" s="1">
        <v>102.0</v>
      </c>
      <c r="AW835" s="1" t="s">
        <v>74</v>
      </c>
      <c r="AX835" s="1" t="s">
        <v>74</v>
      </c>
      <c r="AY835" s="1" t="s">
        <v>74</v>
      </c>
      <c r="AZ835" s="1" t="s">
        <v>74</v>
      </c>
      <c r="BA835" s="1" t="s">
        <v>74</v>
      </c>
      <c r="BB835" s="1">
        <v>119.0</v>
      </c>
      <c r="BC835" s="1">
        <v>128.0</v>
      </c>
      <c r="BD835" s="1" t="s">
        <v>74</v>
      </c>
      <c r="BE835" s="1" t="s">
        <v>8342</v>
      </c>
      <c r="BF835" s="2" t="str">
        <f>HYPERLINK("http://dx.doi.org/10.1016/j.foodres.2017.09.073","http://dx.doi.org/10.1016/j.foodres.2017.09.073")</f>
        <v>http://dx.doi.org/10.1016/j.foodres.2017.09.073</v>
      </c>
      <c r="BG835" s="1" t="s">
        <v>74</v>
      </c>
      <c r="BH835" s="1" t="s">
        <v>74</v>
      </c>
      <c r="BI835" s="1" t="s">
        <v>74</v>
      </c>
      <c r="BJ835" s="1" t="s">
        <v>74</v>
      </c>
      <c r="BK835" s="1" t="s">
        <v>74</v>
      </c>
      <c r="BL835" s="1" t="s">
        <v>74</v>
      </c>
      <c r="BM835" s="1" t="s">
        <v>74</v>
      </c>
      <c r="BN835" s="1">
        <v>2.919593E7</v>
      </c>
      <c r="BO835" s="1" t="s">
        <v>74</v>
      </c>
      <c r="BP835" s="1" t="s">
        <v>74</v>
      </c>
      <c r="BQ835" s="1" t="s">
        <v>74</v>
      </c>
      <c r="BR835" s="1" t="s">
        <v>74</v>
      </c>
      <c r="BS835" s="1" t="s">
        <v>8343</v>
      </c>
      <c r="BT835" s="1" t="str">
        <f>HYPERLINK("https%3A%2F%2Fwww.webofscience.com%2Fwos%2Fwoscc%2Ffull-record%2FWOS:000419418100015","View Full Record in Web of Science")</f>
        <v>View Full Record in Web of Science</v>
      </c>
    </row>
    <row r="836" ht="12.75" customHeight="1">
      <c r="A836" s="1" t="s">
        <v>207</v>
      </c>
      <c r="B836" s="1" t="s">
        <v>8344</v>
      </c>
      <c r="C836" s="1" t="s">
        <v>74</v>
      </c>
      <c r="D836" s="1" t="s">
        <v>8345</v>
      </c>
      <c r="E836" s="1" t="s">
        <v>74</v>
      </c>
      <c r="F836" s="1" t="s">
        <v>8346</v>
      </c>
      <c r="G836" s="1" t="s">
        <v>74</v>
      </c>
      <c r="H836" s="1" t="s">
        <v>74</v>
      </c>
      <c r="I836" s="1" t="s">
        <v>8347</v>
      </c>
      <c r="J836" s="1" t="s">
        <v>8348</v>
      </c>
      <c r="K836" s="1" t="s">
        <v>8349</v>
      </c>
      <c r="L836" s="1" t="s">
        <v>74</v>
      </c>
      <c r="M836" s="1" t="s">
        <v>74</v>
      </c>
      <c r="N836" s="1" t="s">
        <v>74</v>
      </c>
      <c r="O836" s="1" t="s">
        <v>8350</v>
      </c>
      <c r="P836" s="1" t="s">
        <v>8351</v>
      </c>
      <c r="Q836" s="1" t="s">
        <v>8352</v>
      </c>
      <c r="R836" s="1" t="s">
        <v>8353</v>
      </c>
      <c r="S836" s="1" t="s">
        <v>74</v>
      </c>
      <c r="T836" s="1" t="s">
        <v>74</v>
      </c>
      <c r="U836" s="1" t="s">
        <v>74</v>
      </c>
      <c r="V836" s="1" t="s">
        <v>8354</v>
      </c>
      <c r="W836" s="1" t="s">
        <v>74</v>
      </c>
      <c r="X836" s="1" t="s">
        <v>74</v>
      </c>
      <c r="Y836" s="1" t="s">
        <v>74</v>
      </c>
      <c r="Z836" s="1" t="s">
        <v>74</v>
      </c>
      <c r="AA836" s="1" t="s">
        <v>8355</v>
      </c>
      <c r="AB836" s="1" t="s">
        <v>6602</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8356</v>
      </c>
      <c r="AP836" s="1" t="s">
        <v>74</v>
      </c>
      <c r="AQ836" s="1" t="s">
        <v>8357</v>
      </c>
      <c r="AR836" s="1" t="s">
        <v>74</v>
      </c>
      <c r="AS836" s="1" t="s">
        <v>74</v>
      </c>
      <c r="AT836" s="1" t="s">
        <v>74</v>
      </c>
      <c r="AU836" s="1">
        <v>2017.0</v>
      </c>
      <c r="AV836" s="1" t="s">
        <v>74</v>
      </c>
      <c r="AW836" s="1" t="s">
        <v>74</v>
      </c>
      <c r="AX836" s="1" t="s">
        <v>74</v>
      </c>
      <c r="AY836" s="1" t="s">
        <v>74</v>
      </c>
      <c r="AZ836" s="1" t="s">
        <v>74</v>
      </c>
      <c r="BA836" s="1" t="s">
        <v>74</v>
      </c>
      <c r="BB836" s="1">
        <v>2672.0</v>
      </c>
      <c r="BC836" s="1">
        <v>2683.0</v>
      </c>
      <c r="BD836" s="1" t="s">
        <v>74</v>
      </c>
      <c r="BE836" s="1" t="s">
        <v>74</v>
      </c>
      <c r="BF836" s="1" t="s">
        <v>74</v>
      </c>
      <c r="BG836" s="1" t="s">
        <v>74</v>
      </c>
      <c r="BH836" s="1" t="s">
        <v>74</v>
      </c>
      <c r="BI836" s="1" t="s">
        <v>74</v>
      </c>
      <c r="BJ836" s="1" t="s">
        <v>74</v>
      </c>
      <c r="BK836" s="1" t="s">
        <v>74</v>
      </c>
      <c r="BL836" s="1" t="s">
        <v>74</v>
      </c>
      <c r="BM836" s="1" t="s">
        <v>74</v>
      </c>
      <c r="BN836" s="1" t="s">
        <v>74</v>
      </c>
      <c r="BO836" s="1" t="s">
        <v>74</v>
      </c>
      <c r="BP836" s="1" t="s">
        <v>74</v>
      </c>
      <c r="BQ836" s="1" t="s">
        <v>74</v>
      </c>
      <c r="BR836" s="1" t="s">
        <v>74</v>
      </c>
      <c r="BS836" s="1" t="s">
        <v>8358</v>
      </c>
      <c r="BT836" s="1" t="str">
        <f>HYPERLINK("https%3A%2F%2Fwww.webofscience.com%2Fwos%2Fwoscc%2Ffull-record%2FWOS:000427768602076","View Full Record in Web of Science")</f>
        <v>View Full Record in Web of Science</v>
      </c>
    </row>
    <row r="837" ht="12.75" customHeight="1">
      <c r="A837" s="1" t="s">
        <v>72</v>
      </c>
      <c r="B837" s="1" t="s">
        <v>8359</v>
      </c>
      <c r="C837" s="1" t="s">
        <v>74</v>
      </c>
      <c r="D837" s="1" t="s">
        <v>74</v>
      </c>
      <c r="E837" s="1" t="s">
        <v>74</v>
      </c>
      <c r="F837" s="1" t="s">
        <v>8360</v>
      </c>
      <c r="G837" s="1" t="s">
        <v>74</v>
      </c>
      <c r="H837" s="1" t="s">
        <v>74</v>
      </c>
      <c r="I837" s="1" t="s">
        <v>8361</v>
      </c>
      <c r="J837" s="1" t="s">
        <v>8362</v>
      </c>
      <c r="K837" s="1" t="s">
        <v>74</v>
      </c>
      <c r="L837" s="1" t="s">
        <v>74</v>
      </c>
      <c r="M837" s="1" t="s">
        <v>74</v>
      </c>
      <c r="N837" s="1" t="s">
        <v>74</v>
      </c>
      <c r="O837" s="1" t="s">
        <v>74</v>
      </c>
      <c r="P837" s="1" t="s">
        <v>74</v>
      </c>
      <c r="Q837" s="1" t="s">
        <v>74</v>
      </c>
      <c r="R837" s="1" t="s">
        <v>74</v>
      </c>
      <c r="S837" s="1" t="s">
        <v>74</v>
      </c>
      <c r="T837" s="1" t="s">
        <v>74</v>
      </c>
      <c r="U837" s="1" t="s">
        <v>74</v>
      </c>
      <c r="V837" s="1" t="s">
        <v>8363</v>
      </c>
      <c r="W837" s="1" t="s">
        <v>74</v>
      </c>
      <c r="X837" s="1" t="s">
        <v>74</v>
      </c>
      <c r="Y837" s="1" t="s">
        <v>74</v>
      </c>
      <c r="Z837" s="1" t="s">
        <v>74</v>
      </c>
      <c r="AA837" s="1" t="s">
        <v>8364</v>
      </c>
      <c r="AB837" s="1" t="s">
        <v>8365</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8366</v>
      </c>
      <c r="AP837" s="1" t="s">
        <v>8367</v>
      </c>
      <c r="AQ837" s="1" t="s">
        <v>74</v>
      </c>
      <c r="AR837" s="1" t="s">
        <v>74</v>
      </c>
      <c r="AS837" s="1" t="s">
        <v>74</v>
      </c>
      <c r="AT837" s="1" t="s">
        <v>82</v>
      </c>
      <c r="AU837" s="1">
        <v>2015.0</v>
      </c>
      <c r="AV837" s="1">
        <v>54.0</v>
      </c>
      <c r="AW837" s="1">
        <v>10.0</v>
      </c>
      <c r="AX837" s="1" t="s">
        <v>74</v>
      </c>
      <c r="AY837" s="1" t="s">
        <v>74</v>
      </c>
      <c r="AZ837" s="1" t="s">
        <v>74</v>
      </c>
      <c r="BA837" s="1" t="s">
        <v>74</v>
      </c>
      <c r="BB837" s="1" t="s">
        <v>74</v>
      </c>
      <c r="BC837" s="1" t="s">
        <v>74</v>
      </c>
      <c r="BD837" s="1">
        <v>104110.0</v>
      </c>
      <c r="BE837" s="1" t="s">
        <v>8368</v>
      </c>
      <c r="BF837" s="2" t="str">
        <f>HYPERLINK("http://dx.doi.org/10.1117/1.OE.54.10.104110","http://dx.doi.org/10.1117/1.OE.54.10.104110")</f>
        <v>http://dx.doi.org/10.1117/1.OE.54.10.104110</v>
      </c>
      <c r="BG837" s="1" t="s">
        <v>74</v>
      </c>
      <c r="BH837" s="1" t="s">
        <v>74</v>
      </c>
      <c r="BI837" s="1" t="s">
        <v>74</v>
      </c>
      <c r="BJ837" s="1" t="s">
        <v>74</v>
      </c>
      <c r="BK837" s="1" t="s">
        <v>74</v>
      </c>
      <c r="BL837" s="1" t="s">
        <v>74</v>
      </c>
      <c r="BM837" s="1" t="s">
        <v>74</v>
      </c>
      <c r="BN837" s="1" t="s">
        <v>74</v>
      </c>
      <c r="BO837" s="1" t="s">
        <v>74</v>
      </c>
      <c r="BP837" s="1" t="s">
        <v>74</v>
      </c>
      <c r="BQ837" s="1" t="s">
        <v>74</v>
      </c>
      <c r="BR837" s="1" t="s">
        <v>74</v>
      </c>
      <c r="BS837" s="1" t="s">
        <v>8369</v>
      </c>
      <c r="BT837" s="1" t="str">
        <f>HYPERLINK("https%3A%2F%2Fwww.webofscience.com%2Fwos%2Fwoscc%2Ffull-record%2FWOS:000364220200024","View Full Record in Web of Science")</f>
        <v>View Full Record in Web of Science</v>
      </c>
    </row>
    <row r="838" ht="12.75" customHeight="1">
      <c r="A838" s="1" t="s">
        <v>72</v>
      </c>
      <c r="B838" s="1" t="s">
        <v>8370</v>
      </c>
      <c r="C838" s="1" t="s">
        <v>74</v>
      </c>
      <c r="D838" s="1" t="s">
        <v>74</v>
      </c>
      <c r="E838" s="1" t="s">
        <v>74</v>
      </c>
      <c r="F838" s="1" t="s">
        <v>8371</v>
      </c>
      <c r="G838" s="1" t="s">
        <v>74</v>
      </c>
      <c r="H838" s="1" t="s">
        <v>74</v>
      </c>
      <c r="I838" s="1" t="s">
        <v>8372</v>
      </c>
      <c r="J838" s="1" t="s">
        <v>8373</v>
      </c>
      <c r="K838" s="1" t="s">
        <v>74</v>
      </c>
      <c r="L838" s="1" t="s">
        <v>74</v>
      </c>
      <c r="M838" s="1" t="s">
        <v>74</v>
      </c>
      <c r="N838" s="1" t="s">
        <v>74</v>
      </c>
      <c r="O838" s="1" t="s">
        <v>74</v>
      </c>
      <c r="P838" s="1" t="s">
        <v>74</v>
      </c>
      <c r="Q838" s="1" t="s">
        <v>74</v>
      </c>
      <c r="R838" s="1" t="s">
        <v>74</v>
      </c>
      <c r="S838" s="1" t="s">
        <v>74</v>
      </c>
      <c r="T838" s="1" t="s">
        <v>74</v>
      </c>
      <c r="U838" s="1" t="s">
        <v>74</v>
      </c>
      <c r="V838" s="1" t="s">
        <v>8374</v>
      </c>
      <c r="W838" s="1" t="s">
        <v>74</v>
      </c>
      <c r="X838" s="1" t="s">
        <v>74</v>
      </c>
      <c r="Y838" s="1" t="s">
        <v>74</v>
      </c>
      <c r="Z838" s="1" t="s">
        <v>74</v>
      </c>
      <c r="AA838" s="1" t="s">
        <v>8375</v>
      </c>
      <c r="AB838" s="1" t="s">
        <v>8376</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8377</v>
      </c>
      <c r="AP838" s="1" t="s">
        <v>8378</v>
      </c>
      <c r="AQ838" s="1" t="s">
        <v>74</v>
      </c>
      <c r="AR838" s="1" t="s">
        <v>74</v>
      </c>
      <c r="AS838" s="1" t="s">
        <v>74</v>
      </c>
      <c r="AT838" s="1" t="s">
        <v>1106</v>
      </c>
      <c r="AU838" s="1">
        <v>2014.0</v>
      </c>
      <c r="AV838" s="1">
        <v>82.0</v>
      </c>
      <c r="AW838" s="1" t="s">
        <v>74</v>
      </c>
      <c r="AX838" s="1" t="s">
        <v>74</v>
      </c>
      <c r="AY838" s="1" t="s">
        <v>74</v>
      </c>
      <c r="AZ838" s="1" t="s">
        <v>74</v>
      </c>
      <c r="BA838" s="1" t="s">
        <v>74</v>
      </c>
      <c r="BB838" s="1">
        <v>94.0</v>
      </c>
      <c r="BC838" s="1">
        <v>102.0</v>
      </c>
      <c r="BD838" s="1" t="s">
        <v>74</v>
      </c>
      <c r="BE838" s="1" t="s">
        <v>8379</v>
      </c>
      <c r="BF838" s="2" t="str">
        <f>HYPERLINK("http://dx.doi.org/10.1016/j.resconrec.2013.11.006","http://dx.doi.org/10.1016/j.resconrec.2013.11.006")</f>
        <v>http://dx.doi.org/10.1016/j.resconrec.2013.11.006</v>
      </c>
      <c r="BG838" s="1" t="s">
        <v>74</v>
      </c>
      <c r="BH838" s="1" t="s">
        <v>74</v>
      </c>
      <c r="BI838" s="1" t="s">
        <v>74</v>
      </c>
      <c r="BJ838" s="1" t="s">
        <v>74</v>
      </c>
      <c r="BK838" s="1" t="s">
        <v>74</v>
      </c>
      <c r="BL838" s="1" t="s">
        <v>74</v>
      </c>
      <c r="BM838" s="1" t="s">
        <v>74</v>
      </c>
      <c r="BN838" s="1" t="s">
        <v>74</v>
      </c>
      <c r="BO838" s="1" t="s">
        <v>74</v>
      </c>
      <c r="BP838" s="1" t="s">
        <v>74</v>
      </c>
      <c r="BQ838" s="1" t="s">
        <v>74</v>
      </c>
      <c r="BR838" s="1" t="s">
        <v>74</v>
      </c>
      <c r="BS838" s="1" t="s">
        <v>8380</v>
      </c>
      <c r="BT838" s="1" t="str">
        <f>HYPERLINK("https%3A%2F%2Fwww.webofscience.com%2Fwos%2Fwoscc%2Ffull-record%2FWOS:000331341200011","View Full Record in Web of Science")</f>
        <v>View Full Record in Web of Science</v>
      </c>
    </row>
    <row r="839" ht="12.75" customHeight="1">
      <c r="A839" s="1" t="s">
        <v>72</v>
      </c>
      <c r="B839" s="1" t="s">
        <v>8381</v>
      </c>
      <c r="C839" s="1" t="s">
        <v>74</v>
      </c>
      <c r="D839" s="1" t="s">
        <v>74</v>
      </c>
      <c r="E839" s="1" t="s">
        <v>74</v>
      </c>
      <c r="F839" s="1" t="s">
        <v>8382</v>
      </c>
      <c r="G839" s="1" t="s">
        <v>74</v>
      </c>
      <c r="H839" s="1" t="s">
        <v>74</v>
      </c>
      <c r="I839" s="1" t="s">
        <v>8383</v>
      </c>
      <c r="J839" s="1" t="s">
        <v>8384</v>
      </c>
      <c r="K839" s="1" t="s">
        <v>74</v>
      </c>
      <c r="L839" s="1" t="s">
        <v>74</v>
      </c>
      <c r="M839" s="1" t="s">
        <v>74</v>
      </c>
      <c r="N839" s="1" t="s">
        <v>74</v>
      </c>
      <c r="O839" s="1" t="s">
        <v>74</v>
      </c>
      <c r="P839" s="1" t="s">
        <v>74</v>
      </c>
      <c r="Q839" s="1" t="s">
        <v>74</v>
      </c>
      <c r="R839" s="1" t="s">
        <v>74</v>
      </c>
      <c r="S839" s="1" t="s">
        <v>74</v>
      </c>
      <c r="T839" s="1" t="s">
        <v>74</v>
      </c>
      <c r="U839" s="1" t="s">
        <v>74</v>
      </c>
      <c r="V839" s="1" t="s">
        <v>8385</v>
      </c>
      <c r="W839" s="1" t="s">
        <v>74</v>
      </c>
      <c r="X839" s="1" t="s">
        <v>74</v>
      </c>
      <c r="Y839" s="1" t="s">
        <v>74</v>
      </c>
      <c r="Z839" s="1" t="s">
        <v>74</v>
      </c>
      <c r="AA839" s="1" t="s">
        <v>8386</v>
      </c>
      <c r="AB839" s="1" t="s">
        <v>8387</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8388</v>
      </c>
      <c r="AP839" s="1" t="s">
        <v>8389</v>
      </c>
      <c r="AQ839" s="1" t="s">
        <v>74</v>
      </c>
      <c r="AR839" s="1" t="s">
        <v>74</v>
      </c>
      <c r="AS839" s="1" t="s">
        <v>74</v>
      </c>
      <c r="AT839" s="1" t="s">
        <v>94</v>
      </c>
      <c r="AU839" s="1">
        <v>2012.0</v>
      </c>
      <c r="AV839" s="1">
        <v>50.0</v>
      </c>
      <c r="AW839" s="1">
        <v>6.0</v>
      </c>
      <c r="AX839" s="1" t="s">
        <v>74</v>
      </c>
      <c r="AY839" s="1" t="s">
        <v>74</v>
      </c>
      <c r="AZ839" s="1" t="s">
        <v>74</v>
      </c>
      <c r="BA839" s="1" t="s">
        <v>74</v>
      </c>
      <c r="BB839" s="1">
        <v>559.0</v>
      </c>
      <c r="BC839" s="1">
        <v>566.0</v>
      </c>
      <c r="BD839" s="1" t="s">
        <v>74</v>
      </c>
      <c r="BE839" s="1" t="s">
        <v>8390</v>
      </c>
      <c r="BF839" s="2" t="str">
        <f>HYPERLINK("http://dx.doi.org/10.1007/s11517-012-0876-x","http://dx.doi.org/10.1007/s11517-012-0876-x")</f>
        <v>http://dx.doi.org/10.1007/s11517-012-0876-x</v>
      </c>
      <c r="BG839" s="1" t="s">
        <v>74</v>
      </c>
      <c r="BH839" s="1" t="s">
        <v>74</v>
      </c>
      <c r="BI839" s="1" t="s">
        <v>74</v>
      </c>
      <c r="BJ839" s="1" t="s">
        <v>74</v>
      </c>
      <c r="BK839" s="1" t="s">
        <v>74</v>
      </c>
      <c r="BL839" s="1" t="s">
        <v>74</v>
      </c>
      <c r="BM839" s="1" t="s">
        <v>74</v>
      </c>
      <c r="BN839" s="1">
        <v>2.2391945E7</v>
      </c>
      <c r="BO839" s="1" t="s">
        <v>74</v>
      </c>
      <c r="BP839" s="1" t="s">
        <v>74</v>
      </c>
      <c r="BQ839" s="1" t="s">
        <v>74</v>
      </c>
      <c r="BR839" s="1" t="s">
        <v>74</v>
      </c>
      <c r="BS839" s="1" t="s">
        <v>8391</v>
      </c>
      <c r="BT839" s="1" t="str">
        <f>HYPERLINK("https%3A%2F%2Fwww.webofscience.com%2Fwos%2Fwoscc%2Ffull-record%2FWOS:000304566100002","View Full Record in Web of Science")</f>
        <v>View Full Record in Web of Science</v>
      </c>
    </row>
    <row r="840" ht="12.75" customHeight="1">
      <c r="A840" s="1" t="s">
        <v>72</v>
      </c>
      <c r="B840" s="1" t="s">
        <v>8392</v>
      </c>
      <c r="C840" s="1" t="s">
        <v>74</v>
      </c>
      <c r="D840" s="1" t="s">
        <v>74</v>
      </c>
      <c r="E840" s="1" t="s">
        <v>74</v>
      </c>
      <c r="F840" s="1" t="s">
        <v>8393</v>
      </c>
      <c r="G840" s="1" t="s">
        <v>74</v>
      </c>
      <c r="H840" s="1" t="s">
        <v>74</v>
      </c>
      <c r="I840" s="1" t="s">
        <v>8394</v>
      </c>
      <c r="J840" s="1" t="s">
        <v>7916</v>
      </c>
      <c r="K840" s="1" t="s">
        <v>74</v>
      </c>
      <c r="L840" s="1" t="s">
        <v>74</v>
      </c>
      <c r="M840" s="1" t="s">
        <v>74</v>
      </c>
      <c r="N840" s="1" t="s">
        <v>74</v>
      </c>
      <c r="O840" s="1" t="s">
        <v>74</v>
      </c>
      <c r="P840" s="1" t="s">
        <v>74</v>
      </c>
      <c r="Q840" s="1" t="s">
        <v>74</v>
      </c>
      <c r="R840" s="1" t="s">
        <v>74</v>
      </c>
      <c r="S840" s="1" t="s">
        <v>74</v>
      </c>
      <c r="T840" s="1" t="s">
        <v>74</v>
      </c>
      <c r="U840" s="1" t="s">
        <v>74</v>
      </c>
      <c r="V840" s="1" t="s">
        <v>8395</v>
      </c>
      <c r="W840" s="1" t="s">
        <v>74</v>
      </c>
      <c r="X840" s="1" t="s">
        <v>74</v>
      </c>
      <c r="Y840" s="1" t="s">
        <v>74</v>
      </c>
      <c r="Z840" s="1" t="s">
        <v>74</v>
      </c>
      <c r="AA840" s="1" t="s">
        <v>8396</v>
      </c>
      <c r="AB840" s="1" t="s">
        <v>8397</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7920</v>
      </c>
      <c r="AP840" s="1" t="s">
        <v>7921</v>
      </c>
      <c r="AQ840" s="1" t="s">
        <v>74</v>
      </c>
      <c r="AR840" s="1" t="s">
        <v>74</v>
      </c>
      <c r="AS840" s="1" t="s">
        <v>74</v>
      </c>
      <c r="AT840" s="1" t="s">
        <v>82</v>
      </c>
      <c r="AU840" s="1">
        <v>2009.0</v>
      </c>
      <c r="AV840" s="1">
        <v>56.0</v>
      </c>
      <c r="AW840" s="1">
        <v>10.0</v>
      </c>
      <c r="AX840" s="1" t="s">
        <v>74</v>
      </c>
      <c r="AY840" s="1" t="s">
        <v>74</v>
      </c>
      <c r="AZ840" s="1" t="s">
        <v>74</v>
      </c>
      <c r="BA840" s="1" t="s">
        <v>74</v>
      </c>
      <c r="BB840" s="1">
        <v>4194.0</v>
      </c>
      <c r="BC840" s="1">
        <v>4206.0</v>
      </c>
      <c r="BD840" s="1" t="s">
        <v>74</v>
      </c>
      <c r="BE840" s="1" t="s">
        <v>8398</v>
      </c>
      <c r="BF840" s="2" t="str">
        <f>HYPERLINK("http://dx.doi.org/10.1109/TIE.2009.2027923","http://dx.doi.org/10.1109/TIE.2009.2027923")</f>
        <v>http://dx.doi.org/10.1109/TIE.2009.2027923</v>
      </c>
      <c r="BG840" s="1" t="s">
        <v>74</v>
      </c>
      <c r="BH840" s="1" t="s">
        <v>74</v>
      </c>
      <c r="BI840" s="1" t="s">
        <v>74</v>
      </c>
      <c r="BJ840" s="1" t="s">
        <v>74</v>
      </c>
      <c r="BK840" s="1" t="s">
        <v>74</v>
      </c>
      <c r="BL840" s="1" t="s">
        <v>74</v>
      </c>
      <c r="BM840" s="1" t="s">
        <v>74</v>
      </c>
      <c r="BN840" s="1" t="s">
        <v>74</v>
      </c>
      <c r="BO840" s="1" t="s">
        <v>74</v>
      </c>
      <c r="BP840" s="1" t="s">
        <v>74</v>
      </c>
      <c r="BQ840" s="1" t="s">
        <v>74</v>
      </c>
      <c r="BR840" s="1" t="s">
        <v>74</v>
      </c>
      <c r="BS840" s="1" t="s">
        <v>8399</v>
      </c>
      <c r="BT840" s="1" t="str">
        <f>HYPERLINK("https%3A%2F%2Fwww.webofscience.com%2Fwos%2Fwoscc%2Ffull-record%2FWOS:000269838700047","View Full Record in Web of Science")</f>
        <v>View Full Record in Web of Science</v>
      </c>
    </row>
    <row r="841" ht="12.75" customHeight="1">
      <c r="A841" s="1" t="s">
        <v>72</v>
      </c>
      <c r="B841" s="1" t="s">
        <v>8400</v>
      </c>
      <c r="C841" s="1" t="s">
        <v>74</v>
      </c>
      <c r="D841" s="1" t="s">
        <v>74</v>
      </c>
      <c r="E841" s="1" t="s">
        <v>74</v>
      </c>
      <c r="F841" s="1" t="s">
        <v>8401</v>
      </c>
      <c r="G841" s="1" t="s">
        <v>74</v>
      </c>
      <c r="H841" s="1" t="s">
        <v>74</v>
      </c>
      <c r="I841" s="1" t="s">
        <v>8402</v>
      </c>
      <c r="J841" s="1" t="s">
        <v>5729</v>
      </c>
      <c r="K841" s="1" t="s">
        <v>74</v>
      </c>
      <c r="L841" s="1" t="s">
        <v>74</v>
      </c>
      <c r="M841" s="1" t="s">
        <v>74</v>
      </c>
      <c r="N841" s="1" t="s">
        <v>74</v>
      </c>
      <c r="O841" s="1" t="s">
        <v>74</v>
      </c>
      <c r="P841" s="1" t="s">
        <v>74</v>
      </c>
      <c r="Q841" s="1" t="s">
        <v>74</v>
      </c>
      <c r="R841" s="1" t="s">
        <v>74</v>
      </c>
      <c r="S841" s="1" t="s">
        <v>74</v>
      </c>
      <c r="T841" s="1" t="s">
        <v>74</v>
      </c>
      <c r="U841" s="1" t="s">
        <v>74</v>
      </c>
      <c r="V841" s="1" t="s">
        <v>8403</v>
      </c>
      <c r="W841" s="1" t="s">
        <v>74</v>
      </c>
      <c r="X841" s="1" t="s">
        <v>74</v>
      </c>
      <c r="Y841" s="1" t="s">
        <v>74</v>
      </c>
      <c r="Z841" s="1" t="s">
        <v>74</v>
      </c>
      <c r="AA841" s="1" t="s">
        <v>8404</v>
      </c>
      <c r="AB841" s="1" t="s">
        <v>8405</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5733</v>
      </c>
      <c r="AP841" s="1" t="s">
        <v>74</v>
      </c>
      <c r="AQ841" s="1" t="s">
        <v>74</v>
      </c>
      <c r="AR841" s="1" t="s">
        <v>74</v>
      </c>
      <c r="AS841" s="1" t="s">
        <v>74</v>
      </c>
      <c r="AT841" s="1" t="s">
        <v>775</v>
      </c>
      <c r="AU841" s="1">
        <v>2009.0</v>
      </c>
      <c r="AV841" s="1">
        <v>102.0</v>
      </c>
      <c r="AW841" s="1">
        <v>17.0</v>
      </c>
      <c r="AX841" s="1" t="s">
        <v>74</v>
      </c>
      <c r="AY841" s="1" t="s">
        <v>74</v>
      </c>
      <c r="AZ841" s="1" t="s">
        <v>74</v>
      </c>
      <c r="BA841" s="1" t="s">
        <v>74</v>
      </c>
      <c r="BB841" s="1" t="s">
        <v>74</v>
      </c>
      <c r="BC841" s="1" t="s">
        <v>74</v>
      </c>
      <c r="BD841" s="1">
        <v>173602.0</v>
      </c>
      <c r="BE841" s="1" t="s">
        <v>8406</v>
      </c>
      <c r="BF841" s="2" t="str">
        <f>HYPERLINK("http://dx.doi.org/10.1103/PhysRevLett.102.173602","http://dx.doi.org/10.1103/PhysRevLett.102.173602")</f>
        <v>http://dx.doi.org/10.1103/PhysRevLett.102.173602</v>
      </c>
      <c r="BG841" s="1" t="s">
        <v>74</v>
      </c>
      <c r="BH841" s="1" t="s">
        <v>74</v>
      </c>
      <c r="BI841" s="1" t="s">
        <v>74</v>
      </c>
      <c r="BJ841" s="1" t="s">
        <v>74</v>
      </c>
      <c r="BK841" s="1" t="s">
        <v>74</v>
      </c>
      <c r="BL841" s="1" t="s">
        <v>74</v>
      </c>
      <c r="BM841" s="1" t="s">
        <v>74</v>
      </c>
      <c r="BN841" s="1">
        <v>1.9518782E7</v>
      </c>
      <c r="BO841" s="1" t="s">
        <v>74</v>
      </c>
      <c r="BP841" s="1" t="s">
        <v>74</v>
      </c>
      <c r="BQ841" s="1" t="s">
        <v>74</v>
      </c>
      <c r="BR841" s="1" t="s">
        <v>74</v>
      </c>
      <c r="BS841" s="1" t="s">
        <v>8407</v>
      </c>
      <c r="BT841" s="1" t="str">
        <f>HYPERLINK("https%3A%2F%2Fwww.webofscience.com%2Fwos%2Fwoscc%2Ffull-record%2FWOS:000265948300019","View Full Record in Web of Science")</f>
        <v>View Full Record in Web of Science</v>
      </c>
    </row>
    <row r="842" ht="12.75" customHeight="1">
      <c r="A842" s="1" t="s">
        <v>207</v>
      </c>
      <c r="B842" s="1" t="s">
        <v>8408</v>
      </c>
      <c r="C842" s="1" t="s">
        <v>74</v>
      </c>
      <c r="D842" s="1" t="s">
        <v>8409</v>
      </c>
      <c r="E842" s="1" t="s">
        <v>74</v>
      </c>
      <c r="F842" s="1" t="s">
        <v>8410</v>
      </c>
      <c r="G842" s="1" t="s">
        <v>74</v>
      </c>
      <c r="H842" s="1" t="s">
        <v>74</v>
      </c>
      <c r="I842" s="1" t="s">
        <v>8411</v>
      </c>
      <c r="J842" s="1" t="s">
        <v>8412</v>
      </c>
      <c r="K842" s="1" t="s">
        <v>74</v>
      </c>
      <c r="L842" s="1" t="s">
        <v>74</v>
      </c>
      <c r="M842" s="1" t="s">
        <v>74</v>
      </c>
      <c r="N842" s="1" t="s">
        <v>74</v>
      </c>
      <c r="O842" s="1" t="s">
        <v>8413</v>
      </c>
      <c r="P842" s="1" t="s">
        <v>8414</v>
      </c>
      <c r="Q842" s="1" t="s">
        <v>8415</v>
      </c>
      <c r="R842" s="1" t="s">
        <v>74</v>
      </c>
      <c r="S842" s="1" t="s">
        <v>74</v>
      </c>
      <c r="T842" s="1" t="s">
        <v>74</v>
      </c>
      <c r="U842" s="1" t="s">
        <v>74</v>
      </c>
      <c r="V842" s="1" t="s">
        <v>8416</v>
      </c>
      <c r="W842" s="1" t="s">
        <v>74</v>
      </c>
      <c r="X842" s="1" t="s">
        <v>74</v>
      </c>
      <c r="Y842" s="1" t="s">
        <v>74</v>
      </c>
      <c r="Z842" s="1" t="s">
        <v>74</v>
      </c>
      <c r="AA842" s="1" t="s">
        <v>8417</v>
      </c>
      <c r="AB842" s="1" t="s">
        <v>74</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74</v>
      </c>
      <c r="AP842" s="1" t="s">
        <v>74</v>
      </c>
      <c r="AQ842" s="1" t="s">
        <v>8418</v>
      </c>
      <c r="AR842" s="1" t="s">
        <v>74</v>
      </c>
      <c r="AS842" s="1" t="s">
        <v>74</v>
      </c>
      <c r="AT842" s="1" t="s">
        <v>74</v>
      </c>
      <c r="AU842" s="1">
        <v>2009.0</v>
      </c>
      <c r="AV842" s="1" t="s">
        <v>74</v>
      </c>
      <c r="AW842" s="1" t="s">
        <v>74</v>
      </c>
      <c r="AX842" s="1" t="s">
        <v>74</v>
      </c>
      <c r="AY842" s="1" t="s">
        <v>74</v>
      </c>
      <c r="AZ842" s="1" t="s">
        <v>74</v>
      </c>
      <c r="BA842" s="1" t="s">
        <v>74</v>
      </c>
      <c r="BB842" s="1">
        <v>217.0</v>
      </c>
      <c r="BC842" s="1" t="s">
        <v>906</v>
      </c>
      <c r="BD842" s="1" t="s">
        <v>74</v>
      </c>
      <c r="BE842" s="1" t="s">
        <v>74</v>
      </c>
      <c r="BF842" s="1" t="s">
        <v>74</v>
      </c>
      <c r="BG842" s="1" t="s">
        <v>74</v>
      </c>
      <c r="BH842" s="1" t="s">
        <v>74</v>
      </c>
      <c r="BI842" s="1" t="s">
        <v>74</v>
      </c>
      <c r="BJ842" s="1" t="s">
        <v>74</v>
      </c>
      <c r="BK842" s="1" t="s">
        <v>74</v>
      </c>
      <c r="BL842" s="1" t="s">
        <v>74</v>
      </c>
      <c r="BM842" s="1" t="s">
        <v>74</v>
      </c>
      <c r="BN842" s="1" t="s">
        <v>74</v>
      </c>
      <c r="BO842" s="1" t="s">
        <v>74</v>
      </c>
      <c r="BP842" s="1" t="s">
        <v>74</v>
      </c>
      <c r="BQ842" s="1" t="s">
        <v>74</v>
      </c>
      <c r="BR842" s="1" t="s">
        <v>74</v>
      </c>
      <c r="BS842" s="1" t="s">
        <v>8419</v>
      </c>
      <c r="BT842" s="1" t="str">
        <f>HYPERLINK("https%3A%2F%2Fwww.webofscience.com%2Fwos%2Fwoscc%2Ffull-record%2FWOS:000281199400022","View Full Record in Web of Science")</f>
        <v>View Full Record in Web of Science</v>
      </c>
    </row>
    <row r="843" ht="12.75" customHeight="1">
      <c r="A843" s="1" t="s">
        <v>207</v>
      </c>
      <c r="B843" s="1" t="s">
        <v>8420</v>
      </c>
      <c r="C843" s="1" t="s">
        <v>74</v>
      </c>
      <c r="D843" s="1" t="s">
        <v>8421</v>
      </c>
      <c r="E843" s="1" t="s">
        <v>74</v>
      </c>
      <c r="F843" s="1" t="s">
        <v>8422</v>
      </c>
      <c r="G843" s="1" t="s">
        <v>74</v>
      </c>
      <c r="H843" s="1" t="s">
        <v>74</v>
      </c>
      <c r="I843" s="1" t="s">
        <v>8423</v>
      </c>
      <c r="J843" s="1" t="s">
        <v>8424</v>
      </c>
      <c r="K843" s="1" t="s">
        <v>7545</v>
      </c>
      <c r="L843" s="1" t="s">
        <v>74</v>
      </c>
      <c r="M843" s="1" t="s">
        <v>74</v>
      </c>
      <c r="N843" s="1" t="s">
        <v>74</v>
      </c>
      <c r="O843" s="1" t="s">
        <v>8425</v>
      </c>
      <c r="P843" s="1" t="s">
        <v>8426</v>
      </c>
      <c r="Q843" s="1" t="s">
        <v>8427</v>
      </c>
      <c r="R843" s="1" t="s">
        <v>8428</v>
      </c>
      <c r="S843" s="1" t="s">
        <v>74</v>
      </c>
      <c r="T843" s="1" t="s">
        <v>74</v>
      </c>
      <c r="U843" s="1" t="s">
        <v>74</v>
      </c>
      <c r="V843" s="1" t="s">
        <v>8429</v>
      </c>
      <c r="W843" s="1" t="s">
        <v>74</v>
      </c>
      <c r="X843" s="1" t="s">
        <v>74</v>
      </c>
      <c r="Y843" s="1" t="s">
        <v>74</v>
      </c>
      <c r="Z843" s="1" t="s">
        <v>74</v>
      </c>
      <c r="AA843" s="1" t="s">
        <v>7550</v>
      </c>
      <c r="AB843" s="1" t="s">
        <v>7823</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7551</v>
      </c>
      <c r="AP843" s="1" t="s">
        <v>74</v>
      </c>
      <c r="AQ843" s="1" t="s">
        <v>8430</v>
      </c>
      <c r="AR843" s="1" t="s">
        <v>74</v>
      </c>
      <c r="AS843" s="1" t="s">
        <v>74</v>
      </c>
      <c r="AT843" s="1" t="s">
        <v>74</v>
      </c>
      <c r="AU843" s="1">
        <v>2009.0</v>
      </c>
      <c r="AV843" s="1" t="s">
        <v>74</v>
      </c>
      <c r="AW843" s="1" t="s">
        <v>74</v>
      </c>
      <c r="AX843" s="1" t="s">
        <v>74</v>
      </c>
      <c r="AY843" s="1" t="s">
        <v>74</v>
      </c>
      <c r="AZ843" s="1" t="s">
        <v>74</v>
      </c>
      <c r="BA843" s="1" t="s">
        <v>74</v>
      </c>
      <c r="BB843" s="1">
        <v>3350.0</v>
      </c>
      <c r="BC843" s="1" t="s">
        <v>906</v>
      </c>
      <c r="BD843" s="1" t="s">
        <v>74</v>
      </c>
      <c r="BE843" s="1" t="s">
        <v>8431</v>
      </c>
      <c r="BF843" s="2" t="str">
        <f>HYPERLINK("http://dx.doi.org/10.1109/NSSMIC.2009.5401754","http://dx.doi.org/10.1109/NSSMIC.2009.5401754")</f>
        <v>http://dx.doi.org/10.1109/NSSMIC.2009.5401754</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8432</v>
      </c>
      <c r="BT843" s="1" t="str">
        <f>HYPERLINK("https%3A%2F%2Fwww.webofscience.com%2Fwos%2Fwoscc%2Ffull-record%2FWOS:000280505101365","View Full Record in Web of Science")</f>
        <v>View Full Record in Web of Science</v>
      </c>
    </row>
    <row r="844" ht="12.75" customHeight="1">
      <c r="A844" s="1" t="s">
        <v>72</v>
      </c>
      <c r="B844" s="1" t="s">
        <v>8433</v>
      </c>
      <c r="C844" s="1" t="s">
        <v>74</v>
      </c>
      <c r="D844" s="1" t="s">
        <v>74</v>
      </c>
      <c r="E844" s="1" t="s">
        <v>74</v>
      </c>
      <c r="F844" s="1" t="s">
        <v>8434</v>
      </c>
      <c r="G844" s="1" t="s">
        <v>74</v>
      </c>
      <c r="H844" s="1" t="s">
        <v>74</v>
      </c>
      <c r="I844" s="1" t="s">
        <v>8435</v>
      </c>
      <c r="J844" s="1" t="s">
        <v>8436</v>
      </c>
      <c r="K844" s="1" t="s">
        <v>74</v>
      </c>
      <c r="L844" s="1" t="s">
        <v>74</v>
      </c>
      <c r="M844" s="1" t="s">
        <v>74</v>
      </c>
      <c r="N844" s="1" t="s">
        <v>74</v>
      </c>
      <c r="O844" s="1" t="s">
        <v>74</v>
      </c>
      <c r="P844" s="1" t="s">
        <v>74</v>
      </c>
      <c r="Q844" s="1" t="s">
        <v>74</v>
      </c>
      <c r="R844" s="1" t="s">
        <v>74</v>
      </c>
      <c r="S844" s="1" t="s">
        <v>74</v>
      </c>
      <c r="T844" s="1" t="s">
        <v>74</v>
      </c>
      <c r="U844" s="1" t="s">
        <v>74</v>
      </c>
      <c r="V844" s="1" t="s">
        <v>8437</v>
      </c>
      <c r="W844" s="1" t="s">
        <v>74</v>
      </c>
      <c r="X844" s="1" t="s">
        <v>74</v>
      </c>
      <c r="Y844" s="1" t="s">
        <v>74</v>
      </c>
      <c r="Z844" s="1" t="s">
        <v>74</v>
      </c>
      <c r="AA844" s="1" t="s">
        <v>74</v>
      </c>
      <c r="AB844" s="1" t="s">
        <v>8438</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8439</v>
      </c>
      <c r="AP844" s="1" t="s">
        <v>8440</v>
      </c>
      <c r="AQ844" s="1" t="s">
        <v>74</v>
      </c>
      <c r="AR844" s="1" t="s">
        <v>74</v>
      </c>
      <c r="AS844" s="1" t="s">
        <v>74</v>
      </c>
      <c r="AT844" s="1" t="s">
        <v>6413</v>
      </c>
      <c r="AU844" s="1">
        <v>2008.0</v>
      </c>
      <c r="AV844" s="1">
        <v>320.0</v>
      </c>
      <c r="AW844" s="1">
        <v>5878.0</v>
      </c>
      <c r="AX844" s="1" t="s">
        <v>74</v>
      </c>
      <c r="AY844" s="1" t="s">
        <v>74</v>
      </c>
      <c r="AZ844" s="1" t="s">
        <v>74</v>
      </c>
      <c r="BA844" s="1" t="s">
        <v>74</v>
      </c>
      <c r="BB844" s="1">
        <v>912.0</v>
      </c>
      <c r="BC844" s="1">
        <v>916.0</v>
      </c>
      <c r="BD844" s="1" t="s">
        <v>74</v>
      </c>
      <c r="BE844" s="1" t="s">
        <v>8441</v>
      </c>
      <c r="BF844" s="2" t="str">
        <f>HYPERLINK("http://dx.doi.org/10.1126/science.1154069","http://dx.doi.org/10.1126/science.1154069")</f>
        <v>http://dx.doi.org/10.1126/science.1154069</v>
      </c>
      <c r="BG844" s="1" t="s">
        <v>74</v>
      </c>
      <c r="BH844" s="1" t="s">
        <v>74</v>
      </c>
      <c r="BI844" s="1" t="s">
        <v>74</v>
      </c>
      <c r="BJ844" s="1" t="s">
        <v>74</v>
      </c>
      <c r="BK844" s="1" t="s">
        <v>74</v>
      </c>
      <c r="BL844" s="1" t="s">
        <v>74</v>
      </c>
      <c r="BM844" s="1" t="s">
        <v>74</v>
      </c>
      <c r="BN844" s="1">
        <v>1.8487188E7</v>
      </c>
      <c r="BO844" s="1" t="s">
        <v>74</v>
      </c>
      <c r="BP844" s="1" t="s">
        <v>74</v>
      </c>
      <c r="BQ844" s="1" t="s">
        <v>74</v>
      </c>
      <c r="BR844" s="1" t="s">
        <v>74</v>
      </c>
      <c r="BS844" s="1" t="s">
        <v>8442</v>
      </c>
      <c r="BT844" s="1" t="str">
        <f>HYPERLINK("https%3A%2F%2Fwww.webofscience.com%2Fwos%2Fwoscc%2Ffull-record%2FWOS:000255868300037","View Full Record in Web of Science")</f>
        <v>View Full Record in Web of Science</v>
      </c>
    </row>
    <row r="845" ht="12.75" customHeight="1">
      <c r="A845" s="1" t="s">
        <v>72</v>
      </c>
      <c r="B845" s="1" t="s">
        <v>8443</v>
      </c>
      <c r="C845" s="1" t="s">
        <v>74</v>
      </c>
      <c r="D845" s="1" t="s">
        <v>74</v>
      </c>
      <c r="E845" s="1" t="s">
        <v>74</v>
      </c>
      <c r="F845" s="1" t="s">
        <v>8443</v>
      </c>
      <c r="G845" s="1" t="s">
        <v>74</v>
      </c>
      <c r="H845" s="1" t="s">
        <v>74</v>
      </c>
      <c r="I845" s="1" t="s">
        <v>8444</v>
      </c>
      <c r="J845" s="1" t="s">
        <v>8445</v>
      </c>
      <c r="K845" s="1" t="s">
        <v>74</v>
      </c>
      <c r="L845" s="1" t="s">
        <v>74</v>
      </c>
      <c r="M845" s="1" t="s">
        <v>74</v>
      </c>
      <c r="N845" s="1" t="s">
        <v>74</v>
      </c>
      <c r="O845" s="1" t="s">
        <v>74</v>
      </c>
      <c r="P845" s="1" t="s">
        <v>74</v>
      </c>
      <c r="Q845" s="1" t="s">
        <v>74</v>
      </c>
      <c r="R845" s="1" t="s">
        <v>74</v>
      </c>
      <c r="S845" s="1" t="s">
        <v>74</v>
      </c>
      <c r="T845" s="1" t="s">
        <v>74</v>
      </c>
      <c r="U845" s="1" t="s">
        <v>74</v>
      </c>
      <c r="V845" s="1" t="s">
        <v>8446</v>
      </c>
      <c r="W845" s="1" t="s">
        <v>74</v>
      </c>
      <c r="X845" s="1" t="s">
        <v>74</v>
      </c>
      <c r="Y845" s="1" t="s">
        <v>74</v>
      </c>
      <c r="Z845" s="1" t="s">
        <v>74</v>
      </c>
      <c r="AA845" s="1" t="s">
        <v>74</v>
      </c>
      <c r="AB845" s="1" t="s">
        <v>8447</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8448</v>
      </c>
      <c r="AP845" s="1" t="s">
        <v>8449</v>
      </c>
      <c r="AQ845" s="1" t="s">
        <v>74</v>
      </c>
      <c r="AR845" s="1" t="s">
        <v>74</v>
      </c>
      <c r="AS845" s="1" t="s">
        <v>74</v>
      </c>
      <c r="AT845" s="1" t="s">
        <v>1279</v>
      </c>
      <c r="AU845" s="1">
        <v>2006.0</v>
      </c>
      <c r="AV845" s="1">
        <v>20.0</v>
      </c>
      <c r="AW845" s="1">
        <v>4.0</v>
      </c>
      <c r="AX845" s="1" t="s">
        <v>74</v>
      </c>
      <c r="AY845" s="1" t="s">
        <v>74</v>
      </c>
      <c r="AZ845" s="1" t="s">
        <v>74</v>
      </c>
      <c r="BA845" s="1" t="s">
        <v>74</v>
      </c>
      <c r="BB845" s="1">
        <v>260.0</v>
      </c>
      <c r="BC845" s="1">
        <v>263.0</v>
      </c>
      <c r="BD845" s="1" t="s">
        <v>74</v>
      </c>
      <c r="BE845" s="1" t="s">
        <v>8450</v>
      </c>
      <c r="BF845" s="2" t="str">
        <f>HYPERLINK("http://dx.doi.org/10.1002/aoc.1044","http://dx.doi.org/10.1002/aoc.1044")</f>
        <v>http://dx.doi.org/10.1002/aoc.1044</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8451</v>
      </c>
      <c r="BT845" s="1" t="str">
        <f>HYPERLINK("https%3A%2F%2Fwww.webofscience.com%2Fwos%2Fwoscc%2Ffull-record%2FWOS:000236916700004","View Full Record in Web of Science")</f>
        <v>View Full Record in Web of Science</v>
      </c>
    </row>
    <row r="846" ht="12.75" customHeight="1">
      <c r="A846" s="1" t="s">
        <v>72</v>
      </c>
      <c r="B846" s="1" t="s">
        <v>8452</v>
      </c>
      <c r="C846" s="1" t="s">
        <v>74</v>
      </c>
      <c r="D846" s="1" t="s">
        <v>74</v>
      </c>
      <c r="E846" s="1" t="s">
        <v>74</v>
      </c>
      <c r="F846" s="1" t="s">
        <v>8452</v>
      </c>
      <c r="G846" s="1" t="s">
        <v>74</v>
      </c>
      <c r="H846" s="1" t="s">
        <v>74</v>
      </c>
      <c r="I846" s="1" t="s">
        <v>8453</v>
      </c>
      <c r="J846" s="1" t="s">
        <v>8454</v>
      </c>
      <c r="K846" s="1" t="s">
        <v>74</v>
      </c>
      <c r="L846" s="1" t="s">
        <v>74</v>
      </c>
      <c r="M846" s="1" t="s">
        <v>74</v>
      </c>
      <c r="N846" s="1" t="s">
        <v>74</v>
      </c>
      <c r="O846" s="1" t="s">
        <v>74</v>
      </c>
      <c r="P846" s="1" t="s">
        <v>74</v>
      </c>
      <c r="Q846" s="1" t="s">
        <v>74</v>
      </c>
      <c r="R846" s="1" t="s">
        <v>74</v>
      </c>
      <c r="S846" s="1" t="s">
        <v>74</v>
      </c>
      <c r="T846" s="1" t="s">
        <v>74</v>
      </c>
      <c r="U846" s="1" t="s">
        <v>74</v>
      </c>
      <c r="V846" s="1" t="s">
        <v>8455</v>
      </c>
      <c r="W846" s="1" t="s">
        <v>74</v>
      </c>
      <c r="X846" s="1" t="s">
        <v>74</v>
      </c>
      <c r="Y846" s="1" t="s">
        <v>74</v>
      </c>
      <c r="Z846" s="1" t="s">
        <v>74</v>
      </c>
      <c r="AA846" s="1" t="s">
        <v>8456</v>
      </c>
      <c r="AB846" s="1" t="s">
        <v>8457</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8458</v>
      </c>
      <c r="AP846" s="1" t="s">
        <v>8459</v>
      </c>
      <c r="AQ846" s="1" t="s">
        <v>74</v>
      </c>
      <c r="AR846" s="1" t="s">
        <v>74</v>
      </c>
      <c r="AS846" s="1" t="s">
        <v>74</v>
      </c>
      <c r="AT846" s="1" t="s">
        <v>94</v>
      </c>
      <c r="AU846" s="1">
        <v>2005.0</v>
      </c>
      <c r="AV846" s="1">
        <v>93.0</v>
      </c>
      <c r="AW846" s="1">
        <v>5.0</v>
      </c>
      <c r="AX846" s="1" t="s">
        <v>74</v>
      </c>
      <c r="AY846" s="1" t="s">
        <v>74</v>
      </c>
      <c r="AZ846" s="1" t="s">
        <v>74</v>
      </c>
      <c r="BA846" s="1" t="s">
        <v>74</v>
      </c>
      <c r="BB846" s="1">
        <v>1099.0</v>
      </c>
      <c r="BC846" s="1">
        <v>1109.0</v>
      </c>
      <c r="BD846" s="1" t="s">
        <v>74</v>
      </c>
      <c r="BE846" s="1" t="s">
        <v>8460</v>
      </c>
      <c r="BF846" s="2" t="str">
        <f>HYPERLINK("http://dx.doi.org/10.1111/j.1471-4159.2005.03094.x","http://dx.doi.org/10.1111/j.1471-4159.2005.03094.x")</f>
        <v>http://dx.doi.org/10.1111/j.1471-4159.2005.03094.x</v>
      </c>
      <c r="BG846" s="1" t="s">
        <v>74</v>
      </c>
      <c r="BH846" s="1" t="s">
        <v>74</v>
      </c>
      <c r="BI846" s="1" t="s">
        <v>74</v>
      </c>
      <c r="BJ846" s="1" t="s">
        <v>74</v>
      </c>
      <c r="BK846" s="1" t="s">
        <v>74</v>
      </c>
      <c r="BL846" s="1" t="s">
        <v>74</v>
      </c>
      <c r="BM846" s="1" t="s">
        <v>74</v>
      </c>
      <c r="BN846" s="1">
        <v>1.5934931E7</v>
      </c>
      <c r="BO846" s="1" t="s">
        <v>74</v>
      </c>
      <c r="BP846" s="1" t="s">
        <v>74</v>
      </c>
      <c r="BQ846" s="1" t="s">
        <v>74</v>
      </c>
      <c r="BR846" s="1" t="s">
        <v>74</v>
      </c>
      <c r="BS846" s="1" t="s">
        <v>8461</v>
      </c>
      <c r="BT846" s="1" t="str">
        <f>HYPERLINK("https%3A%2F%2Fwww.webofscience.com%2Fwos%2Fwoscc%2Ffull-record%2FWOS:000229172900004","View Full Record in Web of Science")</f>
        <v>View Full Record in Web of Science</v>
      </c>
    </row>
    <row r="847" ht="12.75" customHeight="1">
      <c r="A847" s="1" t="s">
        <v>72</v>
      </c>
      <c r="B847" s="1" t="s">
        <v>8462</v>
      </c>
      <c r="C847" s="1" t="s">
        <v>74</v>
      </c>
      <c r="D847" s="1" t="s">
        <v>74</v>
      </c>
      <c r="E847" s="1" t="s">
        <v>74</v>
      </c>
      <c r="F847" s="1" t="s">
        <v>8462</v>
      </c>
      <c r="G847" s="1" t="s">
        <v>74</v>
      </c>
      <c r="H847" s="1" t="s">
        <v>74</v>
      </c>
      <c r="I847" s="1" t="s">
        <v>8463</v>
      </c>
      <c r="J847" s="1" t="s">
        <v>3323</v>
      </c>
      <c r="K847" s="1" t="s">
        <v>74</v>
      </c>
      <c r="L847" s="1" t="s">
        <v>74</v>
      </c>
      <c r="M847" s="1" t="s">
        <v>74</v>
      </c>
      <c r="N847" s="1" t="s">
        <v>74</v>
      </c>
      <c r="O847" s="1" t="s">
        <v>74</v>
      </c>
      <c r="P847" s="1" t="s">
        <v>74</v>
      </c>
      <c r="Q847" s="1" t="s">
        <v>74</v>
      </c>
      <c r="R847" s="1" t="s">
        <v>74</v>
      </c>
      <c r="S847" s="1" t="s">
        <v>74</v>
      </c>
      <c r="T847" s="1" t="s">
        <v>74</v>
      </c>
      <c r="U847" s="1" t="s">
        <v>74</v>
      </c>
      <c r="V847" s="1" t="s">
        <v>8464</v>
      </c>
      <c r="W847" s="1" t="s">
        <v>74</v>
      </c>
      <c r="X847" s="1" t="s">
        <v>74</v>
      </c>
      <c r="Y847" s="1" t="s">
        <v>74</v>
      </c>
      <c r="Z847" s="1" t="s">
        <v>74</v>
      </c>
      <c r="AA847" s="1" t="s">
        <v>8465</v>
      </c>
      <c r="AB847" s="1" t="s">
        <v>8466</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3325</v>
      </c>
      <c r="AP847" s="1" t="s">
        <v>3326</v>
      </c>
      <c r="AQ847" s="1" t="s">
        <v>74</v>
      </c>
      <c r="AR847" s="1" t="s">
        <v>74</v>
      </c>
      <c r="AS847" s="1" t="s">
        <v>74</v>
      </c>
      <c r="AT847" s="1" t="s">
        <v>374</v>
      </c>
      <c r="AU847" s="1">
        <v>2004.0</v>
      </c>
      <c r="AV847" s="1">
        <v>70.0</v>
      </c>
      <c r="AW847" s="1">
        <v>10.0</v>
      </c>
      <c r="AX847" s="1" t="s">
        <v>74</v>
      </c>
      <c r="AY847" s="1" t="s">
        <v>74</v>
      </c>
      <c r="AZ847" s="1" t="s">
        <v>74</v>
      </c>
      <c r="BA847" s="1" t="s">
        <v>74</v>
      </c>
      <c r="BB847" s="1" t="s">
        <v>74</v>
      </c>
      <c r="BC847" s="1" t="s">
        <v>74</v>
      </c>
      <c r="BD847" s="1">
        <v>106006.0</v>
      </c>
      <c r="BE847" s="1" t="s">
        <v>8467</v>
      </c>
      <c r="BF847" s="2" t="str">
        <f>HYPERLINK("http://dx.doi.org/10.1103/PhysRevD.70.106006","http://dx.doi.org/10.1103/PhysRevD.70.106006")</f>
        <v>http://dx.doi.org/10.1103/PhysRevD.70.106006</v>
      </c>
      <c r="BG847" s="1" t="s">
        <v>74</v>
      </c>
      <c r="BH847" s="1" t="s">
        <v>74</v>
      </c>
      <c r="BI847" s="1" t="s">
        <v>74</v>
      </c>
      <c r="BJ847" s="1" t="s">
        <v>74</v>
      </c>
      <c r="BK847" s="1" t="s">
        <v>74</v>
      </c>
      <c r="BL847" s="1" t="s">
        <v>74</v>
      </c>
      <c r="BM847" s="1" t="s">
        <v>74</v>
      </c>
      <c r="BN847" s="1" t="s">
        <v>74</v>
      </c>
      <c r="BO847" s="1" t="s">
        <v>74</v>
      </c>
      <c r="BP847" s="1" t="s">
        <v>74</v>
      </c>
      <c r="BQ847" s="1" t="s">
        <v>74</v>
      </c>
      <c r="BR847" s="1" t="s">
        <v>74</v>
      </c>
      <c r="BS847" s="1" t="s">
        <v>8468</v>
      </c>
      <c r="BT847" s="1" t="str">
        <f>HYPERLINK("https%3A%2F%2Fwww.webofscience.com%2Fwos%2Fwoscc%2Ffull-record%2FWOS:000225440900101","View Full Record in Web of Science")</f>
        <v>View Full Record in Web of Science</v>
      </c>
    </row>
    <row r="848" ht="12.75" customHeight="1">
      <c r="A848" s="1" t="s">
        <v>72</v>
      </c>
      <c r="B848" s="1" t="s">
        <v>8469</v>
      </c>
      <c r="C848" s="1" t="s">
        <v>74</v>
      </c>
      <c r="D848" s="1" t="s">
        <v>74</v>
      </c>
      <c r="E848" s="1" t="s">
        <v>74</v>
      </c>
      <c r="F848" s="1" t="s">
        <v>8469</v>
      </c>
      <c r="G848" s="1" t="s">
        <v>74</v>
      </c>
      <c r="H848" s="1" t="s">
        <v>74</v>
      </c>
      <c r="I848" s="1" t="s">
        <v>8470</v>
      </c>
      <c r="J848" s="1" t="s">
        <v>8471</v>
      </c>
      <c r="K848" s="1" t="s">
        <v>74</v>
      </c>
      <c r="L848" s="1" t="s">
        <v>74</v>
      </c>
      <c r="M848" s="1" t="s">
        <v>74</v>
      </c>
      <c r="N848" s="1" t="s">
        <v>74</v>
      </c>
      <c r="O848" s="1" t="s">
        <v>8472</v>
      </c>
      <c r="P848" s="1" t="s">
        <v>8473</v>
      </c>
      <c r="Q848" s="1" t="s">
        <v>8474</v>
      </c>
      <c r="R848" s="1" t="s">
        <v>8475</v>
      </c>
      <c r="S848" s="1" t="s">
        <v>74</v>
      </c>
      <c r="T848" s="1" t="s">
        <v>74</v>
      </c>
      <c r="U848" s="1" t="s">
        <v>74</v>
      </c>
      <c r="V848" s="1" t="s">
        <v>8476</v>
      </c>
      <c r="W848" s="1" t="s">
        <v>74</v>
      </c>
      <c r="X848" s="1" t="s">
        <v>74</v>
      </c>
      <c r="Y848" s="1" t="s">
        <v>74</v>
      </c>
      <c r="Z848" s="1" t="s">
        <v>74</v>
      </c>
      <c r="AA848" s="1" t="s">
        <v>8477</v>
      </c>
      <c r="AB848" s="1" t="s">
        <v>5724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8478</v>
      </c>
      <c r="AP848" s="1" t="s">
        <v>8479</v>
      </c>
      <c r="AQ848" s="1" t="s">
        <v>74</v>
      </c>
      <c r="AR848" s="1" t="s">
        <v>74</v>
      </c>
      <c r="AS848" s="1" t="s">
        <v>74</v>
      </c>
      <c r="AT848" s="1" t="s">
        <v>1106</v>
      </c>
      <c r="AU848" s="1">
        <v>2003.0</v>
      </c>
      <c r="AV848" s="1">
        <v>122.0</v>
      </c>
      <c r="AW848" s="1" t="s">
        <v>409</v>
      </c>
      <c r="AX848" s="1" t="s">
        <v>74</v>
      </c>
      <c r="AY848" s="1" t="s">
        <v>74</v>
      </c>
      <c r="AZ848" s="1" t="s">
        <v>74</v>
      </c>
      <c r="BA848" s="1" t="s">
        <v>74</v>
      </c>
      <c r="BB848" s="1">
        <v>97.0</v>
      </c>
      <c r="BC848" s="1">
        <v>105.0</v>
      </c>
      <c r="BD848" s="1" t="s">
        <v>8480</v>
      </c>
      <c r="BE848" s="1" t="s">
        <v>8481</v>
      </c>
      <c r="BF848" s="2" t="str">
        <f>HYPERLINK("http://dx.doi.org/10.1016/S0009-3084(02)00181-0","http://dx.doi.org/10.1016/S0009-3084(02)00181-0")</f>
        <v>http://dx.doi.org/10.1016/S0009-3084(02)00181-0</v>
      </c>
      <c r="BG848" s="1" t="s">
        <v>74</v>
      </c>
      <c r="BH848" s="1" t="s">
        <v>74</v>
      </c>
      <c r="BI848" s="1" t="s">
        <v>74</v>
      </c>
      <c r="BJ848" s="1" t="s">
        <v>74</v>
      </c>
      <c r="BK848" s="1" t="s">
        <v>74</v>
      </c>
      <c r="BL848" s="1" t="s">
        <v>74</v>
      </c>
      <c r="BM848" s="1" t="s">
        <v>74</v>
      </c>
      <c r="BN848" s="1">
        <v>1.2598041E7</v>
      </c>
      <c r="BO848" s="1" t="s">
        <v>74</v>
      </c>
      <c r="BP848" s="1" t="s">
        <v>74</v>
      </c>
      <c r="BQ848" s="1" t="s">
        <v>74</v>
      </c>
      <c r="BR848" s="1" t="s">
        <v>74</v>
      </c>
      <c r="BS848" s="1" t="s">
        <v>8482</v>
      </c>
      <c r="BT848" s="1" t="str">
        <f>HYPERLINK("https%3A%2F%2Fwww.webofscience.com%2Fwos%2Fwoscc%2Ffull-record%2FWOS:000181654800009","View Full Record in Web of Science")</f>
        <v>View Full Record in Web of Science</v>
      </c>
    </row>
    <row r="849" ht="12.75" customHeight="1">
      <c r="A849" s="1" t="s">
        <v>72</v>
      </c>
      <c r="B849" s="1" t="s">
        <v>8483</v>
      </c>
      <c r="C849" s="1" t="s">
        <v>74</v>
      </c>
      <c r="D849" s="1" t="s">
        <v>74</v>
      </c>
      <c r="E849" s="1" t="s">
        <v>74</v>
      </c>
      <c r="F849" s="1" t="s">
        <v>8483</v>
      </c>
      <c r="G849" s="1" t="s">
        <v>74</v>
      </c>
      <c r="H849" s="1" t="s">
        <v>74</v>
      </c>
      <c r="I849" s="1" t="s">
        <v>8484</v>
      </c>
      <c r="J849" s="1" t="s">
        <v>8485</v>
      </c>
      <c r="K849" s="1" t="s">
        <v>74</v>
      </c>
      <c r="L849" s="1" t="s">
        <v>74</v>
      </c>
      <c r="M849" s="1" t="s">
        <v>74</v>
      </c>
      <c r="N849" s="1" t="s">
        <v>74</v>
      </c>
      <c r="O849" s="1" t="s">
        <v>74</v>
      </c>
      <c r="P849" s="1" t="s">
        <v>74</v>
      </c>
      <c r="Q849" s="1" t="s">
        <v>74</v>
      </c>
      <c r="R849" s="1" t="s">
        <v>74</v>
      </c>
      <c r="S849" s="1" t="s">
        <v>74</v>
      </c>
      <c r="T849" s="1" t="s">
        <v>74</v>
      </c>
      <c r="U849" s="1" t="s">
        <v>74</v>
      </c>
      <c r="V849" s="1" t="s">
        <v>8486</v>
      </c>
      <c r="W849" s="1" t="s">
        <v>74</v>
      </c>
      <c r="X849" s="1" t="s">
        <v>74</v>
      </c>
      <c r="Y849" s="1" t="s">
        <v>74</v>
      </c>
      <c r="Z849" s="1" t="s">
        <v>74</v>
      </c>
      <c r="AA849" s="1" t="s">
        <v>8487</v>
      </c>
      <c r="AB849" s="1" t="s">
        <v>8488</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8489</v>
      </c>
      <c r="AP849" s="1" t="s">
        <v>74</v>
      </c>
      <c r="AQ849" s="1" t="s">
        <v>74</v>
      </c>
      <c r="AR849" s="1" t="s">
        <v>74</v>
      </c>
      <c r="AS849" s="1" t="s">
        <v>74</v>
      </c>
      <c r="AT849" s="1" t="s">
        <v>4465</v>
      </c>
      <c r="AU849" s="1">
        <v>2002.0</v>
      </c>
      <c r="AV849" s="1">
        <v>13.0</v>
      </c>
      <c r="AW849" s="1">
        <v>1.0</v>
      </c>
      <c r="AX849" s="1" t="s">
        <v>74</v>
      </c>
      <c r="AY849" s="1" t="s">
        <v>74</v>
      </c>
      <c r="AZ849" s="1" t="s">
        <v>74</v>
      </c>
      <c r="BA849" s="1" t="s">
        <v>74</v>
      </c>
      <c r="BB849" s="1">
        <v>89.0</v>
      </c>
      <c r="BC849" s="1">
        <v>91.0</v>
      </c>
      <c r="BD849" s="1" t="s">
        <v>74</v>
      </c>
      <c r="BE849" s="1" t="s">
        <v>8490</v>
      </c>
      <c r="BF849" s="2" t="str">
        <f>HYPERLINK("http://dx.doi.org/10.1097/00001756-200201210-00021","http://dx.doi.org/10.1097/00001756-200201210-00021")</f>
        <v>http://dx.doi.org/10.1097/00001756-200201210-00021</v>
      </c>
      <c r="BG849" s="1" t="s">
        <v>74</v>
      </c>
      <c r="BH849" s="1" t="s">
        <v>74</v>
      </c>
      <c r="BI849" s="1" t="s">
        <v>74</v>
      </c>
      <c r="BJ849" s="1" t="s">
        <v>74</v>
      </c>
      <c r="BK849" s="1" t="s">
        <v>74</v>
      </c>
      <c r="BL849" s="1" t="s">
        <v>74</v>
      </c>
      <c r="BM849" s="1" t="s">
        <v>74</v>
      </c>
      <c r="BN849" s="1">
        <v>1.19249E7</v>
      </c>
      <c r="BO849" s="1" t="s">
        <v>74</v>
      </c>
      <c r="BP849" s="1" t="s">
        <v>74</v>
      </c>
      <c r="BQ849" s="1" t="s">
        <v>74</v>
      </c>
      <c r="BR849" s="1" t="s">
        <v>74</v>
      </c>
      <c r="BS849" s="1" t="s">
        <v>8491</v>
      </c>
      <c r="BT849" s="1" t="str">
        <f>HYPERLINK("https%3A%2F%2Fwww.webofscience.com%2Fwos%2Fwoscc%2Ffull-record%2FWOS:000173449000022","View Full Record in Web of Science")</f>
        <v>View Full Record in Web of Science</v>
      </c>
    </row>
    <row r="850" ht="12.75" customHeight="1">
      <c r="A850" s="1" t="s">
        <v>72</v>
      </c>
      <c r="B850" s="1" t="s">
        <v>8492</v>
      </c>
      <c r="C850" s="1" t="s">
        <v>74</v>
      </c>
      <c r="D850" s="1" t="s">
        <v>74</v>
      </c>
      <c r="E850" s="1" t="s">
        <v>74</v>
      </c>
      <c r="F850" s="1" t="s">
        <v>8492</v>
      </c>
      <c r="G850" s="1" t="s">
        <v>74</v>
      </c>
      <c r="H850" s="1" t="s">
        <v>74</v>
      </c>
      <c r="I850" s="1" t="s">
        <v>8493</v>
      </c>
      <c r="J850" s="1" t="s">
        <v>8494</v>
      </c>
      <c r="K850" s="1" t="s">
        <v>74</v>
      </c>
      <c r="L850" s="1" t="s">
        <v>74</v>
      </c>
      <c r="M850" s="1" t="s">
        <v>74</v>
      </c>
      <c r="N850" s="1" t="s">
        <v>74</v>
      </c>
      <c r="O850" s="1" t="s">
        <v>74</v>
      </c>
      <c r="P850" s="1" t="s">
        <v>74</v>
      </c>
      <c r="Q850" s="1" t="s">
        <v>74</v>
      </c>
      <c r="R850" s="1" t="s">
        <v>74</v>
      </c>
      <c r="S850" s="1" t="s">
        <v>74</v>
      </c>
      <c r="T850" s="1" t="s">
        <v>74</v>
      </c>
      <c r="U850" s="1" t="s">
        <v>74</v>
      </c>
      <c r="V850" s="1" t="s">
        <v>8495</v>
      </c>
      <c r="W850" s="1" t="s">
        <v>74</v>
      </c>
      <c r="X850" s="1" t="s">
        <v>74</v>
      </c>
      <c r="Y850" s="1" t="s">
        <v>74</v>
      </c>
      <c r="Z850" s="1" t="s">
        <v>74</v>
      </c>
      <c r="AA850" s="1" t="s">
        <v>74</v>
      </c>
      <c r="AB850" s="1" t="s">
        <v>74</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8496</v>
      </c>
      <c r="AP850" s="1" t="s">
        <v>74</v>
      </c>
      <c r="AQ850" s="1" t="s">
        <v>74</v>
      </c>
      <c r="AR850" s="1" t="s">
        <v>74</v>
      </c>
      <c r="AS850" s="1" t="s">
        <v>74</v>
      </c>
      <c r="AT850" s="1" t="s">
        <v>74</v>
      </c>
      <c r="AU850" s="1">
        <v>2000.0</v>
      </c>
      <c r="AV850" s="1" t="s">
        <v>74</v>
      </c>
      <c r="AW850" s="1">
        <v>15.0</v>
      </c>
      <c r="AX850" s="1" t="s">
        <v>74</v>
      </c>
      <c r="AY850" s="1" t="s">
        <v>74</v>
      </c>
      <c r="AZ850" s="1" t="s">
        <v>74</v>
      </c>
      <c r="BA850" s="1" t="s">
        <v>74</v>
      </c>
      <c r="BB850" s="1">
        <v>2631.0</v>
      </c>
      <c r="BC850" s="1">
        <v>2637.0</v>
      </c>
      <c r="BD850" s="1" t="s">
        <v>74</v>
      </c>
      <c r="BE850" s="1" t="s">
        <v>8497</v>
      </c>
      <c r="BF850" s="2" t="str">
        <f>HYPERLINK("http://dx.doi.org/10.1039/b002829k","http://dx.doi.org/10.1039/b002829k")</f>
        <v>http://dx.doi.org/10.1039/b002829k</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8498</v>
      </c>
      <c r="BT850" s="1" t="str">
        <f>HYPERLINK("https%3A%2F%2Fwww.webofscience.com%2Fwos%2Fwoscc%2Ffull-record%2FWOS:000088759000022","View Full Record in Web of Science")</f>
        <v>View Full Record in Web of Science</v>
      </c>
    </row>
    <row r="851" ht="12.75" customHeight="1">
      <c r="A851" s="1" t="s">
        <v>72</v>
      </c>
      <c r="B851" s="1" t="s">
        <v>8499</v>
      </c>
      <c r="C851" s="1" t="s">
        <v>74</v>
      </c>
      <c r="D851" s="1" t="s">
        <v>74</v>
      </c>
      <c r="E851" s="1" t="s">
        <v>74</v>
      </c>
      <c r="F851" s="1" t="s">
        <v>8499</v>
      </c>
      <c r="G851" s="1" t="s">
        <v>74</v>
      </c>
      <c r="H851" s="1" t="s">
        <v>74</v>
      </c>
      <c r="I851" s="1" t="s">
        <v>8500</v>
      </c>
      <c r="J851" s="1" t="s">
        <v>4064</v>
      </c>
      <c r="K851" s="1" t="s">
        <v>74</v>
      </c>
      <c r="L851" s="1" t="s">
        <v>74</v>
      </c>
      <c r="M851" s="1" t="s">
        <v>74</v>
      </c>
      <c r="N851" s="1" t="s">
        <v>74</v>
      </c>
      <c r="O851" s="1" t="s">
        <v>74</v>
      </c>
      <c r="P851" s="1" t="s">
        <v>74</v>
      </c>
      <c r="Q851" s="1" t="s">
        <v>74</v>
      </c>
      <c r="R851" s="1" t="s">
        <v>74</v>
      </c>
      <c r="S851" s="1" t="s">
        <v>74</v>
      </c>
      <c r="T851" s="1" t="s">
        <v>74</v>
      </c>
      <c r="U851" s="1" t="s">
        <v>74</v>
      </c>
      <c r="V851" s="1" t="s">
        <v>74</v>
      </c>
      <c r="W851" s="1" t="s">
        <v>74</v>
      </c>
      <c r="X851" s="1" t="s">
        <v>74</v>
      </c>
      <c r="Y851" s="1" t="s">
        <v>74</v>
      </c>
      <c r="Z851" s="1" t="s">
        <v>74</v>
      </c>
      <c r="AA851" s="1" t="s">
        <v>2196</v>
      </c>
      <c r="AB851" s="1" t="s">
        <v>8501</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8502</v>
      </c>
      <c r="AP851" s="1" t="s">
        <v>74</v>
      </c>
      <c r="AQ851" s="1" t="s">
        <v>74</v>
      </c>
      <c r="AR851" s="1" t="s">
        <v>74</v>
      </c>
      <c r="AS851" s="1" t="s">
        <v>74</v>
      </c>
      <c r="AT851" s="1" t="s">
        <v>977</v>
      </c>
      <c r="AU851" s="1">
        <v>1989.0</v>
      </c>
      <c r="AV851" s="1">
        <v>40.0</v>
      </c>
      <c r="AW851" s="1">
        <v>7.0</v>
      </c>
      <c r="AX851" s="1" t="s">
        <v>2279</v>
      </c>
      <c r="AY851" s="1" t="s">
        <v>74</v>
      </c>
      <c r="AZ851" s="1" t="s">
        <v>74</v>
      </c>
      <c r="BA851" s="1" t="s">
        <v>74</v>
      </c>
      <c r="BB851" s="1">
        <v>4369.0</v>
      </c>
      <c r="BC851" s="1">
        <v>4374.0</v>
      </c>
      <c r="BD851" s="1" t="s">
        <v>74</v>
      </c>
      <c r="BE851" s="1" t="s">
        <v>8503</v>
      </c>
      <c r="BF851" s="2" t="str">
        <f>HYPERLINK("http://dx.doi.org/10.1103/PhysRevB.40.4369","http://dx.doi.org/10.1103/PhysRevB.40.4369")</f>
        <v>http://dx.doi.org/10.1103/PhysRevB.40.4369</v>
      </c>
      <c r="BG851" s="1" t="s">
        <v>74</v>
      </c>
      <c r="BH851" s="1" t="s">
        <v>74</v>
      </c>
      <c r="BI851" s="1" t="s">
        <v>74</v>
      </c>
      <c r="BJ851" s="1" t="s">
        <v>74</v>
      </c>
      <c r="BK851" s="1" t="s">
        <v>74</v>
      </c>
      <c r="BL851" s="1" t="s">
        <v>74</v>
      </c>
      <c r="BM851" s="1" t="s">
        <v>74</v>
      </c>
      <c r="BN851" s="1">
        <v>9992424.0</v>
      </c>
      <c r="BO851" s="1" t="s">
        <v>74</v>
      </c>
      <c r="BP851" s="1" t="s">
        <v>74</v>
      </c>
      <c r="BQ851" s="1" t="s">
        <v>74</v>
      </c>
      <c r="BR851" s="1" t="s">
        <v>74</v>
      </c>
      <c r="BS851" s="1" t="s">
        <v>8504</v>
      </c>
      <c r="BT851" s="1" t="str">
        <f>HYPERLINK("https%3A%2F%2Fwww.webofscience.com%2Fwos%2Fwoscc%2Ffull-record%2FWOS:A1989AP56800016","View Full Record in Web of Science")</f>
        <v>View Full Record in Web of Science</v>
      </c>
    </row>
    <row r="852" ht="12.75" customHeight="1">
      <c r="A852" s="1" t="s">
        <v>72</v>
      </c>
      <c r="B852" s="1" t="s">
        <v>8505</v>
      </c>
      <c r="C852" s="1" t="s">
        <v>74</v>
      </c>
      <c r="D852" s="1" t="s">
        <v>74</v>
      </c>
      <c r="E852" s="1" t="s">
        <v>74</v>
      </c>
      <c r="F852" s="1" t="s">
        <v>8506</v>
      </c>
      <c r="G852" s="1" t="s">
        <v>74</v>
      </c>
      <c r="H852" s="1" t="s">
        <v>74</v>
      </c>
      <c r="I852" s="1" t="s">
        <v>8507</v>
      </c>
      <c r="J852" s="1" t="s">
        <v>5590</v>
      </c>
      <c r="K852" s="1" t="s">
        <v>74</v>
      </c>
      <c r="L852" s="1" t="s">
        <v>74</v>
      </c>
      <c r="M852" s="1" t="s">
        <v>74</v>
      </c>
      <c r="N852" s="1" t="s">
        <v>74</v>
      </c>
      <c r="O852" s="1" t="s">
        <v>74</v>
      </c>
      <c r="P852" s="1" t="s">
        <v>74</v>
      </c>
      <c r="Q852" s="1" t="s">
        <v>74</v>
      </c>
      <c r="R852" s="1" t="s">
        <v>74</v>
      </c>
      <c r="S852" s="1" t="s">
        <v>74</v>
      </c>
      <c r="T852" s="1" t="s">
        <v>74</v>
      </c>
      <c r="U852" s="1" t="s">
        <v>74</v>
      </c>
      <c r="V852" s="1" t="s">
        <v>8508</v>
      </c>
      <c r="W852" s="1" t="s">
        <v>74</v>
      </c>
      <c r="X852" s="1" t="s">
        <v>74</v>
      </c>
      <c r="Y852" s="1" t="s">
        <v>74</v>
      </c>
      <c r="Z852" s="1" t="s">
        <v>74</v>
      </c>
      <c r="AA852" s="1" t="s">
        <v>8509</v>
      </c>
      <c r="AB852" s="1" t="s">
        <v>74</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5594</v>
      </c>
      <c r="AP852" s="1" t="s">
        <v>5595</v>
      </c>
      <c r="AQ852" s="1" t="s">
        <v>74</v>
      </c>
      <c r="AR852" s="1" t="s">
        <v>74</v>
      </c>
      <c r="AS852" s="1" t="s">
        <v>74</v>
      </c>
      <c r="AT852" s="1" t="s">
        <v>8510</v>
      </c>
      <c r="AU852" s="1">
        <v>2025.0</v>
      </c>
      <c r="AV852" s="1" t="s">
        <v>74</v>
      </c>
      <c r="AW852" s="1" t="s">
        <v>74</v>
      </c>
      <c r="AX852" s="1" t="s">
        <v>74</v>
      </c>
      <c r="AY852" s="1" t="s">
        <v>74</v>
      </c>
      <c r="AZ852" s="1" t="s">
        <v>74</v>
      </c>
      <c r="BA852" s="1" t="s">
        <v>74</v>
      </c>
      <c r="BB852" s="1" t="s">
        <v>74</v>
      </c>
      <c r="BC852" s="1" t="s">
        <v>74</v>
      </c>
      <c r="BD852" s="1" t="s">
        <v>74</v>
      </c>
      <c r="BE852" s="1" t="s">
        <v>8511</v>
      </c>
      <c r="BF852" s="2" t="str">
        <f>HYPERLINK("http://dx.doi.org/10.1039/d5nj00766f","http://dx.doi.org/10.1039/d5nj00766f")</f>
        <v>http://dx.doi.org/10.1039/d5nj00766f</v>
      </c>
      <c r="BG852" s="1" t="s">
        <v>74</v>
      </c>
      <c r="BH852" s="1" t="s">
        <v>7341</v>
      </c>
      <c r="BI852" s="1" t="s">
        <v>74</v>
      </c>
      <c r="BJ852" s="1" t="s">
        <v>74</v>
      </c>
      <c r="BK852" s="1" t="s">
        <v>74</v>
      </c>
      <c r="BL852" s="1" t="s">
        <v>74</v>
      </c>
      <c r="BM852" s="1" t="s">
        <v>74</v>
      </c>
      <c r="BN852" s="1" t="s">
        <v>74</v>
      </c>
      <c r="BO852" s="1" t="s">
        <v>74</v>
      </c>
      <c r="BP852" s="1" t="s">
        <v>74</v>
      </c>
      <c r="BQ852" s="1" t="s">
        <v>74</v>
      </c>
      <c r="BR852" s="1" t="s">
        <v>74</v>
      </c>
      <c r="BS852" s="1" t="s">
        <v>8512</v>
      </c>
      <c r="BT852" s="1" t="str">
        <f>HYPERLINK("https%3A%2F%2Fwww.webofscience.com%2Fwos%2Fwoscc%2Ffull-record%2FWOS:001467890600001","View Full Record in Web of Science")</f>
        <v>View Full Record in Web of Science</v>
      </c>
    </row>
    <row r="853" ht="12.75" customHeight="1">
      <c r="A853" s="1" t="s">
        <v>72</v>
      </c>
      <c r="B853" s="1" t="s">
        <v>8513</v>
      </c>
      <c r="C853" s="1" t="s">
        <v>74</v>
      </c>
      <c r="D853" s="1" t="s">
        <v>74</v>
      </c>
      <c r="E853" s="1" t="s">
        <v>74</v>
      </c>
      <c r="F853" s="1" t="s">
        <v>8514</v>
      </c>
      <c r="G853" s="1" t="s">
        <v>74</v>
      </c>
      <c r="H853" s="1" t="s">
        <v>74</v>
      </c>
      <c r="I853" s="1" t="s">
        <v>8515</v>
      </c>
      <c r="J853" s="1" t="s">
        <v>8516</v>
      </c>
      <c r="K853" s="1" t="s">
        <v>74</v>
      </c>
      <c r="L853" s="1" t="s">
        <v>74</v>
      </c>
      <c r="M853" s="1" t="s">
        <v>74</v>
      </c>
      <c r="N853" s="1" t="s">
        <v>74</v>
      </c>
      <c r="O853" s="1" t="s">
        <v>74</v>
      </c>
      <c r="P853" s="1" t="s">
        <v>74</v>
      </c>
      <c r="Q853" s="1" t="s">
        <v>74</v>
      </c>
      <c r="R853" s="1" t="s">
        <v>74</v>
      </c>
      <c r="S853" s="1" t="s">
        <v>74</v>
      </c>
      <c r="T853" s="1" t="s">
        <v>74</v>
      </c>
      <c r="U853" s="1" t="s">
        <v>74</v>
      </c>
      <c r="V853" s="1" t="s">
        <v>8517</v>
      </c>
      <c r="W853" s="1" t="s">
        <v>74</v>
      </c>
      <c r="X853" s="1" t="s">
        <v>74</v>
      </c>
      <c r="Y853" s="1" t="s">
        <v>74</v>
      </c>
      <c r="Z853" s="1" t="s">
        <v>74</v>
      </c>
      <c r="AA853" s="1" t="s">
        <v>8518</v>
      </c>
      <c r="AB853" s="1" t="s">
        <v>8519</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8520</v>
      </c>
      <c r="AP853" s="1" t="s">
        <v>8521</v>
      </c>
      <c r="AQ853" s="1" t="s">
        <v>74</v>
      </c>
      <c r="AR853" s="1" t="s">
        <v>74</v>
      </c>
      <c r="AS853" s="1" t="s">
        <v>74</v>
      </c>
      <c r="AT853" s="1" t="s">
        <v>164</v>
      </c>
      <c r="AU853" s="1">
        <v>2024.0</v>
      </c>
      <c r="AV853" s="1">
        <v>237.0</v>
      </c>
      <c r="AW853" s="1" t="s">
        <v>74</v>
      </c>
      <c r="AX853" s="1" t="s">
        <v>207</v>
      </c>
      <c r="AY853" s="1" t="s">
        <v>74</v>
      </c>
      <c r="AZ853" s="1" t="s">
        <v>74</v>
      </c>
      <c r="BA853" s="1" t="s">
        <v>74</v>
      </c>
      <c r="BB853" s="1" t="s">
        <v>74</v>
      </c>
      <c r="BC853" s="1" t="s">
        <v>74</v>
      </c>
      <c r="BD853" s="1">
        <v>121781.0</v>
      </c>
      <c r="BE853" s="1" t="s">
        <v>8522</v>
      </c>
      <c r="BF853" s="2" t="str">
        <f>HYPERLINK("http://dx.doi.org/10.1016/j.renene.2024.121781","http://dx.doi.org/10.1016/j.renene.2024.121781")</f>
        <v>http://dx.doi.org/10.1016/j.renene.2024.121781</v>
      </c>
      <c r="BG853" s="1" t="s">
        <v>74</v>
      </c>
      <c r="BH853" s="1" t="s">
        <v>1120</v>
      </c>
      <c r="BI853" s="1" t="s">
        <v>74</v>
      </c>
      <c r="BJ853" s="1" t="s">
        <v>74</v>
      </c>
      <c r="BK853" s="1" t="s">
        <v>74</v>
      </c>
      <c r="BL853" s="1" t="s">
        <v>74</v>
      </c>
      <c r="BM853" s="1" t="s">
        <v>74</v>
      </c>
      <c r="BN853" s="1" t="s">
        <v>74</v>
      </c>
      <c r="BO853" s="1" t="s">
        <v>74</v>
      </c>
      <c r="BP853" s="1" t="s">
        <v>74</v>
      </c>
      <c r="BQ853" s="1" t="s">
        <v>74</v>
      </c>
      <c r="BR853" s="1" t="s">
        <v>74</v>
      </c>
      <c r="BS853" s="1" t="s">
        <v>8523</v>
      </c>
      <c r="BT853" s="1" t="str">
        <f>HYPERLINK("https%3A%2F%2Fwww.webofscience.com%2Fwos%2Fwoscc%2Ffull-record%2FWOS:001358624800001","View Full Record in Web of Science")</f>
        <v>View Full Record in Web of Science</v>
      </c>
    </row>
    <row r="854" ht="12.75" customHeight="1">
      <c r="A854" s="1" t="s">
        <v>72</v>
      </c>
      <c r="B854" s="1" t="s">
        <v>8524</v>
      </c>
      <c r="C854" s="1" t="s">
        <v>74</v>
      </c>
      <c r="D854" s="1" t="s">
        <v>74</v>
      </c>
      <c r="E854" s="1" t="s">
        <v>74</v>
      </c>
      <c r="F854" s="1" t="s">
        <v>8525</v>
      </c>
      <c r="G854" s="1" t="s">
        <v>74</v>
      </c>
      <c r="H854" s="1" t="s">
        <v>74</v>
      </c>
      <c r="I854" s="1" t="s">
        <v>8526</v>
      </c>
      <c r="J854" s="1" t="s">
        <v>8527</v>
      </c>
      <c r="K854" s="1" t="s">
        <v>74</v>
      </c>
      <c r="L854" s="1" t="s">
        <v>74</v>
      </c>
      <c r="M854" s="1" t="s">
        <v>74</v>
      </c>
      <c r="N854" s="1" t="s">
        <v>74</v>
      </c>
      <c r="O854" s="1" t="s">
        <v>74</v>
      </c>
      <c r="P854" s="1" t="s">
        <v>74</v>
      </c>
      <c r="Q854" s="1" t="s">
        <v>74</v>
      </c>
      <c r="R854" s="1" t="s">
        <v>74</v>
      </c>
      <c r="S854" s="1" t="s">
        <v>74</v>
      </c>
      <c r="T854" s="1" t="s">
        <v>74</v>
      </c>
      <c r="U854" s="1" t="s">
        <v>74</v>
      </c>
      <c r="V854" s="1" t="s">
        <v>8528</v>
      </c>
      <c r="W854" s="1" t="s">
        <v>74</v>
      </c>
      <c r="X854" s="1" t="s">
        <v>74</v>
      </c>
      <c r="Y854" s="1" t="s">
        <v>74</v>
      </c>
      <c r="Z854" s="1" t="s">
        <v>74</v>
      </c>
      <c r="AA854" s="1" t="s">
        <v>8529</v>
      </c>
      <c r="AB854" s="1" t="s">
        <v>74</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8530</v>
      </c>
      <c r="AP854" s="1" t="s">
        <v>8531</v>
      </c>
      <c r="AQ854" s="1" t="s">
        <v>74</v>
      </c>
      <c r="AR854" s="1" t="s">
        <v>74</v>
      </c>
      <c r="AS854" s="1" t="s">
        <v>74</v>
      </c>
      <c r="AT854" s="1" t="s">
        <v>1279</v>
      </c>
      <c r="AU854" s="1">
        <v>2025.0</v>
      </c>
      <c r="AV854" s="1">
        <v>45.0</v>
      </c>
      <c r="AW854" s="1">
        <v>4.0</v>
      </c>
      <c r="AX854" s="1" t="s">
        <v>74</v>
      </c>
      <c r="AY854" s="1" t="s">
        <v>74</v>
      </c>
      <c r="AZ854" s="1" t="s">
        <v>74</v>
      </c>
      <c r="BA854" s="1" t="s">
        <v>74</v>
      </c>
      <c r="BB854" s="1">
        <v>1117.0</v>
      </c>
      <c r="BC854" s="1">
        <v>1149.0</v>
      </c>
      <c r="BD854" s="1" t="s">
        <v>74</v>
      </c>
      <c r="BE854" s="1" t="s">
        <v>8532</v>
      </c>
      <c r="BF854" s="2" t="str">
        <f>HYPERLINK("http://dx.doi.org/10.3934/dcds.2024125","http://dx.doi.org/10.3934/dcds.2024125")</f>
        <v>http://dx.doi.org/10.3934/dcds.2024125</v>
      </c>
      <c r="BG854" s="1" t="s">
        <v>74</v>
      </c>
      <c r="BH854" s="1" t="s">
        <v>1133</v>
      </c>
      <c r="BI854" s="1" t="s">
        <v>74</v>
      </c>
      <c r="BJ854" s="1" t="s">
        <v>74</v>
      </c>
      <c r="BK854" s="1" t="s">
        <v>74</v>
      </c>
      <c r="BL854" s="1" t="s">
        <v>74</v>
      </c>
      <c r="BM854" s="1" t="s">
        <v>74</v>
      </c>
      <c r="BN854" s="1" t="s">
        <v>74</v>
      </c>
      <c r="BO854" s="1" t="s">
        <v>74</v>
      </c>
      <c r="BP854" s="1" t="s">
        <v>74</v>
      </c>
      <c r="BQ854" s="1" t="s">
        <v>74</v>
      </c>
      <c r="BR854" s="1" t="s">
        <v>74</v>
      </c>
      <c r="BS854" s="1" t="s">
        <v>8533</v>
      </c>
      <c r="BT854" s="1" t="str">
        <f>HYPERLINK("https%3A%2F%2Fwww.webofscience.com%2Fwos%2Fwoscc%2Ffull-record%2FWOS:001319583200001","View Full Record in Web of Science")</f>
        <v>View Full Record in Web of Science</v>
      </c>
    </row>
    <row r="855" ht="12.75" customHeight="1">
      <c r="A855" s="1" t="s">
        <v>72</v>
      </c>
      <c r="B855" s="1" t="s">
        <v>8534</v>
      </c>
      <c r="C855" s="1" t="s">
        <v>74</v>
      </c>
      <c r="D855" s="1" t="s">
        <v>74</v>
      </c>
      <c r="E855" s="1" t="s">
        <v>74</v>
      </c>
      <c r="F855" s="1" t="s">
        <v>8535</v>
      </c>
      <c r="G855" s="1" t="s">
        <v>74</v>
      </c>
      <c r="H855" s="1" t="s">
        <v>74</v>
      </c>
      <c r="I855" s="1" t="s">
        <v>8536</v>
      </c>
      <c r="J855" s="1" t="s">
        <v>8537</v>
      </c>
      <c r="K855" s="1" t="s">
        <v>74</v>
      </c>
      <c r="L855" s="1" t="s">
        <v>74</v>
      </c>
      <c r="M855" s="1" t="s">
        <v>74</v>
      </c>
      <c r="N855" s="1" t="s">
        <v>74</v>
      </c>
      <c r="O855" s="1" t="s">
        <v>74</v>
      </c>
      <c r="P855" s="1" t="s">
        <v>74</v>
      </c>
      <c r="Q855" s="1" t="s">
        <v>74</v>
      </c>
      <c r="R855" s="1" t="s">
        <v>74</v>
      </c>
      <c r="S855" s="1" t="s">
        <v>74</v>
      </c>
      <c r="T855" s="1" t="s">
        <v>74</v>
      </c>
      <c r="U855" s="1" t="s">
        <v>74</v>
      </c>
      <c r="V855" s="1" t="s">
        <v>8538</v>
      </c>
      <c r="W855" s="1" t="s">
        <v>74</v>
      </c>
      <c r="X855" s="1" t="s">
        <v>74</v>
      </c>
      <c r="Y855" s="1" t="s">
        <v>74</v>
      </c>
      <c r="Z855" s="1" t="s">
        <v>74</v>
      </c>
      <c r="AA855" s="1" t="s">
        <v>8539</v>
      </c>
      <c r="AB855" s="1" t="s">
        <v>8540</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74</v>
      </c>
      <c r="AP855" s="1" t="s">
        <v>8541</v>
      </c>
      <c r="AQ855" s="1" t="s">
        <v>74</v>
      </c>
      <c r="AR855" s="1" t="s">
        <v>74</v>
      </c>
      <c r="AS855" s="1" t="s">
        <v>74</v>
      </c>
      <c r="AT855" s="1" t="s">
        <v>8542</v>
      </c>
      <c r="AU855" s="1">
        <v>2024.0</v>
      </c>
      <c r="AV855" s="1">
        <v>5.0</v>
      </c>
      <c r="AW855" s="1">
        <v>20.0</v>
      </c>
      <c r="AX855" s="1" t="s">
        <v>74</v>
      </c>
      <c r="AY855" s="1" t="s">
        <v>74</v>
      </c>
      <c r="AZ855" s="1" t="s">
        <v>74</v>
      </c>
      <c r="BA855" s="1" t="s">
        <v>74</v>
      </c>
      <c r="BB855" s="1">
        <v>7850.0</v>
      </c>
      <c r="BC855" s="1">
        <v>7861.0</v>
      </c>
      <c r="BD855" s="1" t="s">
        <v>74</v>
      </c>
      <c r="BE855" s="1" t="s">
        <v>8543</v>
      </c>
      <c r="BF855" s="2" t="str">
        <f>HYPERLINK("http://dx.doi.org/10.1039/d4ma00625a","http://dx.doi.org/10.1039/d4ma00625a")</f>
        <v>http://dx.doi.org/10.1039/d4ma00625a</v>
      </c>
      <c r="BG855" s="1" t="s">
        <v>74</v>
      </c>
      <c r="BH855" s="1" t="s">
        <v>548</v>
      </c>
      <c r="BI855" s="1" t="s">
        <v>74</v>
      </c>
      <c r="BJ855" s="1" t="s">
        <v>74</v>
      </c>
      <c r="BK855" s="1" t="s">
        <v>74</v>
      </c>
      <c r="BL855" s="1" t="s">
        <v>74</v>
      </c>
      <c r="BM855" s="1" t="s">
        <v>74</v>
      </c>
      <c r="BN855" s="1" t="s">
        <v>74</v>
      </c>
      <c r="BO855" s="1" t="s">
        <v>74</v>
      </c>
      <c r="BP855" s="1" t="s">
        <v>74</v>
      </c>
      <c r="BQ855" s="1" t="s">
        <v>74</v>
      </c>
      <c r="BR855" s="1" t="s">
        <v>74</v>
      </c>
      <c r="BS855" s="1" t="s">
        <v>8544</v>
      </c>
      <c r="BT855" s="1" t="str">
        <f>HYPERLINK("https%3A%2F%2Fwww.webofscience.com%2Fwos%2Fwoscc%2Ffull-record%2FWOS:001306392200001","View Full Record in Web of Science")</f>
        <v>View Full Record in Web of Science</v>
      </c>
    </row>
    <row r="856" ht="12.75" customHeight="1">
      <c r="A856" s="1" t="s">
        <v>72</v>
      </c>
      <c r="B856" s="1" t="s">
        <v>8545</v>
      </c>
      <c r="C856" s="1" t="s">
        <v>74</v>
      </c>
      <c r="D856" s="1" t="s">
        <v>74</v>
      </c>
      <c r="E856" s="1" t="s">
        <v>74</v>
      </c>
      <c r="F856" s="1" t="s">
        <v>8546</v>
      </c>
      <c r="G856" s="1" t="s">
        <v>74</v>
      </c>
      <c r="H856" s="1" t="s">
        <v>74</v>
      </c>
      <c r="I856" s="1" t="s">
        <v>8547</v>
      </c>
      <c r="J856" s="1" t="s">
        <v>8548</v>
      </c>
      <c r="K856" s="1" t="s">
        <v>74</v>
      </c>
      <c r="L856" s="1" t="s">
        <v>74</v>
      </c>
      <c r="M856" s="1" t="s">
        <v>74</v>
      </c>
      <c r="N856" s="1" t="s">
        <v>74</v>
      </c>
      <c r="O856" s="1" t="s">
        <v>74</v>
      </c>
      <c r="P856" s="1" t="s">
        <v>74</v>
      </c>
      <c r="Q856" s="1" t="s">
        <v>74</v>
      </c>
      <c r="R856" s="1" t="s">
        <v>74</v>
      </c>
      <c r="S856" s="1" t="s">
        <v>74</v>
      </c>
      <c r="T856" s="1" t="s">
        <v>74</v>
      </c>
      <c r="U856" s="1" t="s">
        <v>74</v>
      </c>
      <c r="V856" s="1" t="s">
        <v>8549</v>
      </c>
      <c r="W856" s="1" t="s">
        <v>74</v>
      </c>
      <c r="X856" s="1" t="s">
        <v>74</v>
      </c>
      <c r="Y856" s="1" t="s">
        <v>74</v>
      </c>
      <c r="Z856" s="1" t="s">
        <v>74</v>
      </c>
      <c r="AA856" s="1" t="s">
        <v>8550</v>
      </c>
      <c r="AB856" s="1" t="s">
        <v>8551</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8552</v>
      </c>
      <c r="AP856" s="1" t="s">
        <v>74</v>
      </c>
      <c r="AQ856" s="1" t="s">
        <v>74</v>
      </c>
      <c r="AR856" s="1" t="s">
        <v>74</v>
      </c>
      <c r="AS856" s="1" t="s">
        <v>74</v>
      </c>
      <c r="AT856" s="1" t="s">
        <v>82</v>
      </c>
      <c r="AU856" s="1">
        <v>2024.0</v>
      </c>
      <c r="AV856" s="1">
        <v>15.0</v>
      </c>
      <c r="AW856" s="1">
        <v>10.0</v>
      </c>
      <c r="AX856" s="1" t="s">
        <v>74</v>
      </c>
      <c r="AY856" s="1" t="s">
        <v>74</v>
      </c>
      <c r="AZ856" s="1" t="s">
        <v>74</v>
      </c>
      <c r="BA856" s="1" t="s">
        <v>74</v>
      </c>
      <c r="BB856" s="1" t="s">
        <v>74</v>
      </c>
      <c r="BC856" s="1" t="s">
        <v>74</v>
      </c>
      <c r="BD856" s="1">
        <v>102255.0</v>
      </c>
      <c r="BE856" s="1" t="s">
        <v>8553</v>
      </c>
      <c r="BF856" s="2" t="str">
        <f>HYPERLINK("http://dx.doi.org/10.1016/j.apr.2024.102255","http://dx.doi.org/10.1016/j.apr.2024.102255")</f>
        <v>http://dx.doi.org/10.1016/j.apr.2024.102255</v>
      </c>
      <c r="BG856" s="1" t="s">
        <v>74</v>
      </c>
      <c r="BH856" s="1" t="s">
        <v>557</v>
      </c>
      <c r="BI856" s="1" t="s">
        <v>74</v>
      </c>
      <c r="BJ856" s="1" t="s">
        <v>74</v>
      </c>
      <c r="BK856" s="1" t="s">
        <v>74</v>
      </c>
      <c r="BL856" s="1" t="s">
        <v>74</v>
      </c>
      <c r="BM856" s="1" t="s">
        <v>74</v>
      </c>
      <c r="BN856" s="1" t="s">
        <v>74</v>
      </c>
      <c r="BO856" s="1" t="s">
        <v>74</v>
      </c>
      <c r="BP856" s="1" t="s">
        <v>74</v>
      </c>
      <c r="BQ856" s="1" t="s">
        <v>74</v>
      </c>
      <c r="BR856" s="1" t="s">
        <v>74</v>
      </c>
      <c r="BS856" s="1" t="s">
        <v>8554</v>
      </c>
      <c r="BT856" s="1" t="str">
        <f>HYPERLINK("https%3A%2F%2Fwww.webofscience.com%2Fwos%2Fwoscc%2Ffull-record%2FWOS:001274648200001","View Full Record in Web of Science")</f>
        <v>View Full Record in Web of Science</v>
      </c>
    </row>
    <row r="857" ht="12.75" customHeight="1">
      <c r="A857" s="1" t="s">
        <v>72</v>
      </c>
      <c r="B857" s="1" t="s">
        <v>8555</v>
      </c>
      <c r="C857" s="1" t="s">
        <v>74</v>
      </c>
      <c r="D857" s="1" t="s">
        <v>74</v>
      </c>
      <c r="E857" s="1" t="s">
        <v>74</v>
      </c>
      <c r="F857" s="1" t="s">
        <v>8556</v>
      </c>
      <c r="G857" s="1" t="s">
        <v>74</v>
      </c>
      <c r="H857" s="1" t="s">
        <v>74</v>
      </c>
      <c r="I857" s="1" t="s">
        <v>8557</v>
      </c>
      <c r="J857" s="1" t="s">
        <v>6066</v>
      </c>
      <c r="K857" s="1" t="s">
        <v>74</v>
      </c>
      <c r="L857" s="1" t="s">
        <v>74</v>
      </c>
      <c r="M857" s="1" t="s">
        <v>74</v>
      </c>
      <c r="N857" s="1" t="s">
        <v>74</v>
      </c>
      <c r="O857" s="1" t="s">
        <v>74</v>
      </c>
      <c r="P857" s="1" t="s">
        <v>74</v>
      </c>
      <c r="Q857" s="1" t="s">
        <v>74</v>
      </c>
      <c r="R857" s="1" t="s">
        <v>74</v>
      </c>
      <c r="S857" s="1" t="s">
        <v>74</v>
      </c>
      <c r="T857" s="1" t="s">
        <v>74</v>
      </c>
      <c r="U857" s="1" t="s">
        <v>74</v>
      </c>
      <c r="V857" s="1" t="s">
        <v>8558</v>
      </c>
      <c r="W857" s="1" t="s">
        <v>74</v>
      </c>
      <c r="X857" s="1" t="s">
        <v>74</v>
      </c>
      <c r="Y857" s="1" t="s">
        <v>74</v>
      </c>
      <c r="Z857" s="1" t="s">
        <v>74</v>
      </c>
      <c r="AA857" s="1" t="s">
        <v>8559</v>
      </c>
      <c r="AB857" s="1" t="s">
        <v>8560</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6070</v>
      </c>
      <c r="AP857" s="1" t="s">
        <v>8561</v>
      </c>
      <c r="AQ857" s="1" t="s">
        <v>74</v>
      </c>
      <c r="AR857" s="1" t="s">
        <v>74</v>
      </c>
      <c r="AS857" s="1" t="s">
        <v>74</v>
      </c>
      <c r="AT857" s="1" t="s">
        <v>8562</v>
      </c>
      <c r="AU857" s="1">
        <v>2024.0</v>
      </c>
      <c r="AV857" s="1">
        <v>40.0</v>
      </c>
      <c r="AW857" s="1">
        <v>12.0</v>
      </c>
      <c r="AX857" s="1" t="s">
        <v>74</v>
      </c>
      <c r="AY857" s="1" t="s">
        <v>74</v>
      </c>
      <c r="AZ857" s="1" t="s">
        <v>74</v>
      </c>
      <c r="BA857" s="1" t="s">
        <v>74</v>
      </c>
      <c r="BB857" s="1">
        <v>6094.0</v>
      </c>
      <c r="BC857" s="1">
        <v>6106.0</v>
      </c>
      <c r="BD857" s="1" t="s">
        <v>74</v>
      </c>
      <c r="BE857" s="1" t="s">
        <v>8563</v>
      </c>
      <c r="BF857" s="2" t="str">
        <f>HYPERLINK("http://dx.doi.org/10.1021/acs.langmuir.3c02983","http://dx.doi.org/10.1021/acs.langmuir.3c02983")</f>
        <v>http://dx.doi.org/10.1021/acs.langmuir.3c02983</v>
      </c>
      <c r="BG857" s="1" t="s">
        <v>74</v>
      </c>
      <c r="BH857" s="1" t="s">
        <v>7923</v>
      </c>
      <c r="BI857" s="1" t="s">
        <v>74</v>
      </c>
      <c r="BJ857" s="1" t="s">
        <v>74</v>
      </c>
      <c r="BK857" s="1" t="s">
        <v>74</v>
      </c>
      <c r="BL857" s="1" t="s">
        <v>74</v>
      </c>
      <c r="BM857" s="1" t="s">
        <v>74</v>
      </c>
      <c r="BN857" s="1">
        <v>3.8470353E7</v>
      </c>
      <c r="BO857" s="1" t="s">
        <v>74</v>
      </c>
      <c r="BP857" s="1" t="s">
        <v>74</v>
      </c>
      <c r="BQ857" s="1" t="s">
        <v>74</v>
      </c>
      <c r="BR857" s="1" t="s">
        <v>74</v>
      </c>
      <c r="BS857" s="1" t="s">
        <v>8564</v>
      </c>
      <c r="BT857" s="1" t="str">
        <f>HYPERLINK("https%3A%2F%2Fwww.webofscience.com%2Fwos%2Fwoscc%2Ffull-record%2FWOS:001183933500001","View Full Record in Web of Science")</f>
        <v>View Full Record in Web of Science</v>
      </c>
    </row>
    <row r="858" ht="12.75" customHeight="1">
      <c r="A858" s="1" t="s">
        <v>207</v>
      </c>
      <c r="B858" s="1" t="s">
        <v>8565</v>
      </c>
      <c r="C858" s="1" t="s">
        <v>74</v>
      </c>
      <c r="D858" s="1" t="s">
        <v>74</v>
      </c>
      <c r="E858" s="1" t="s">
        <v>74</v>
      </c>
      <c r="F858" s="1" t="s">
        <v>8566</v>
      </c>
      <c r="G858" s="1" t="s">
        <v>74</v>
      </c>
      <c r="H858" s="1" t="s">
        <v>74</v>
      </c>
      <c r="I858" s="1" t="s">
        <v>8567</v>
      </c>
      <c r="J858" s="1" t="s">
        <v>8568</v>
      </c>
      <c r="K858" s="1" t="s">
        <v>74</v>
      </c>
      <c r="L858" s="1" t="s">
        <v>74</v>
      </c>
      <c r="M858" s="1" t="s">
        <v>74</v>
      </c>
      <c r="N858" s="1" t="s">
        <v>74</v>
      </c>
      <c r="O858" s="1" t="s">
        <v>8569</v>
      </c>
      <c r="P858" s="1" t="s">
        <v>8570</v>
      </c>
      <c r="Q858" s="1" t="s">
        <v>8571</v>
      </c>
      <c r="R858" s="1" t="s">
        <v>74</v>
      </c>
      <c r="S858" s="1" t="s">
        <v>74</v>
      </c>
      <c r="T858" s="1" t="s">
        <v>74</v>
      </c>
      <c r="U858" s="1" t="s">
        <v>74</v>
      </c>
      <c r="V858" s="1" t="s">
        <v>8572</v>
      </c>
      <c r="W858" s="1" t="s">
        <v>74</v>
      </c>
      <c r="X858" s="1" t="s">
        <v>74</v>
      </c>
      <c r="Y858" s="1" t="s">
        <v>74</v>
      </c>
      <c r="Z858" s="1" t="s">
        <v>74</v>
      </c>
      <c r="AA858" s="1" t="s">
        <v>8573</v>
      </c>
      <c r="AB858" s="1" t="s">
        <v>8574</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8575</v>
      </c>
      <c r="AP858" s="1" t="s">
        <v>74</v>
      </c>
      <c r="AQ858" s="1" t="s">
        <v>74</v>
      </c>
      <c r="AR858" s="1" t="s">
        <v>74</v>
      </c>
      <c r="AS858" s="1" t="s">
        <v>74</v>
      </c>
      <c r="AT858" s="1" t="s">
        <v>74</v>
      </c>
      <c r="AU858" s="1">
        <v>2023.0</v>
      </c>
      <c r="AV858" s="1">
        <v>56.0</v>
      </c>
      <c r="AW858" s="1">
        <v>2.0</v>
      </c>
      <c r="AX858" s="1" t="s">
        <v>74</v>
      </c>
      <c r="AY858" s="1" t="s">
        <v>74</v>
      </c>
      <c r="AZ858" s="1" t="s">
        <v>74</v>
      </c>
      <c r="BA858" s="1" t="s">
        <v>74</v>
      </c>
      <c r="BB858" s="1">
        <v>4228.0</v>
      </c>
      <c r="BC858" s="1">
        <v>4233.0</v>
      </c>
      <c r="BD858" s="1" t="s">
        <v>74</v>
      </c>
      <c r="BE858" s="1" t="s">
        <v>8576</v>
      </c>
      <c r="BF858" s="2" t="str">
        <f>HYPERLINK("http://dx.doi.org/10.1016/j.ifacol.2023.10.1778","http://dx.doi.org/10.1016/j.ifacol.2023.10.1778")</f>
        <v>http://dx.doi.org/10.1016/j.ifacol.2023.10.1778</v>
      </c>
      <c r="BG858" s="1" t="s">
        <v>74</v>
      </c>
      <c r="BH858" s="1" t="s">
        <v>5424</v>
      </c>
      <c r="BI858" s="1" t="s">
        <v>74</v>
      </c>
      <c r="BJ858" s="1" t="s">
        <v>74</v>
      </c>
      <c r="BK858" s="1" t="s">
        <v>74</v>
      </c>
      <c r="BL858" s="1" t="s">
        <v>74</v>
      </c>
      <c r="BM858" s="1" t="s">
        <v>74</v>
      </c>
      <c r="BN858" s="1" t="s">
        <v>74</v>
      </c>
      <c r="BO858" s="1" t="s">
        <v>74</v>
      </c>
      <c r="BP858" s="1" t="s">
        <v>74</v>
      </c>
      <c r="BQ858" s="1" t="s">
        <v>74</v>
      </c>
      <c r="BR858" s="1" t="s">
        <v>74</v>
      </c>
      <c r="BS858" s="1" t="s">
        <v>8577</v>
      </c>
      <c r="BT858" s="1" t="str">
        <f>HYPERLINK("https%3A%2F%2Fwww.webofscience.com%2Fwos%2Fwoscc%2Ffull-record%2FWOS:001196709200182","View Full Record in Web of Science")</f>
        <v>View Full Record in Web of Science</v>
      </c>
    </row>
    <row r="859" ht="12.75" customHeight="1">
      <c r="A859" s="1" t="s">
        <v>72</v>
      </c>
      <c r="B859" s="1" t="s">
        <v>5408</v>
      </c>
      <c r="C859" s="1" t="s">
        <v>74</v>
      </c>
      <c r="D859" s="1" t="s">
        <v>74</v>
      </c>
      <c r="E859" s="1" t="s">
        <v>74</v>
      </c>
      <c r="F859" s="1" t="s">
        <v>5409</v>
      </c>
      <c r="G859" s="1" t="s">
        <v>74</v>
      </c>
      <c r="H859" s="1" t="s">
        <v>74</v>
      </c>
      <c r="I859" s="1" t="s">
        <v>8578</v>
      </c>
      <c r="J859" s="1" t="s">
        <v>1381</v>
      </c>
      <c r="K859" s="1" t="s">
        <v>74</v>
      </c>
      <c r="L859" s="1" t="s">
        <v>74</v>
      </c>
      <c r="M859" s="1" t="s">
        <v>74</v>
      </c>
      <c r="N859" s="1" t="s">
        <v>74</v>
      </c>
      <c r="O859" s="1" t="s">
        <v>74</v>
      </c>
      <c r="P859" s="1" t="s">
        <v>74</v>
      </c>
      <c r="Q859" s="1" t="s">
        <v>74</v>
      </c>
      <c r="R859" s="1" t="s">
        <v>74</v>
      </c>
      <c r="S859" s="1" t="s">
        <v>74</v>
      </c>
      <c r="T859" s="1" t="s">
        <v>74</v>
      </c>
      <c r="U859" s="1" t="s">
        <v>74</v>
      </c>
      <c r="V859" s="1" t="s">
        <v>8579</v>
      </c>
      <c r="W859" s="1" t="s">
        <v>74</v>
      </c>
      <c r="X859" s="1" t="s">
        <v>74</v>
      </c>
      <c r="Y859" s="1" t="s">
        <v>74</v>
      </c>
      <c r="Z859" s="1" t="s">
        <v>74</v>
      </c>
      <c r="AA859" s="1" t="s">
        <v>5411</v>
      </c>
      <c r="AB859" s="1" t="s">
        <v>8580</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74</v>
      </c>
      <c r="AP859" s="1" t="s">
        <v>1385</v>
      </c>
      <c r="AQ859" s="1" t="s">
        <v>74</v>
      </c>
      <c r="AR859" s="1" t="s">
        <v>74</v>
      </c>
      <c r="AS859" s="1" t="s">
        <v>74</v>
      </c>
      <c r="AT859" s="1" t="s">
        <v>282</v>
      </c>
      <c r="AU859" s="1">
        <v>2023.0</v>
      </c>
      <c r="AV859" s="1">
        <v>23.0</v>
      </c>
      <c r="AW859" s="1">
        <v>15.0</v>
      </c>
      <c r="AX859" s="1" t="s">
        <v>74</v>
      </c>
      <c r="AY859" s="1" t="s">
        <v>74</v>
      </c>
      <c r="AZ859" s="1" t="s">
        <v>74</v>
      </c>
      <c r="BA859" s="1" t="s">
        <v>74</v>
      </c>
      <c r="BB859" s="1" t="s">
        <v>74</v>
      </c>
      <c r="BC859" s="1" t="s">
        <v>74</v>
      </c>
      <c r="BD859" s="1">
        <v>6894.0</v>
      </c>
      <c r="BE859" s="1" t="s">
        <v>8581</v>
      </c>
      <c r="BF859" s="2" t="str">
        <f>HYPERLINK("http://dx.doi.org/10.3390/s23156894","http://dx.doi.org/10.3390/s23156894")</f>
        <v>http://dx.doi.org/10.3390/s23156894</v>
      </c>
      <c r="BG859" s="1" t="s">
        <v>74</v>
      </c>
      <c r="BH859" s="1" t="s">
        <v>74</v>
      </c>
      <c r="BI859" s="1" t="s">
        <v>74</v>
      </c>
      <c r="BJ859" s="1" t="s">
        <v>74</v>
      </c>
      <c r="BK859" s="1" t="s">
        <v>74</v>
      </c>
      <c r="BL859" s="1" t="s">
        <v>74</v>
      </c>
      <c r="BM859" s="1" t="s">
        <v>74</v>
      </c>
      <c r="BN859" s="1">
        <v>3.7571681E7</v>
      </c>
      <c r="BO859" s="1" t="s">
        <v>74</v>
      </c>
      <c r="BP859" s="1" t="s">
        <v>74</v>
      </c>
      <c r="BQ859" s="1" t="s">
        <v>74</v>
      </c>
      <c r="BR859" s="1" t="s">
        <v>74</v>
      </c>
      <c r="BS859" s="1" t="s">
        <v>8582</v>
      </c>
      <c r="BT859" s="1" t="str">
        <f>HYPERLINK("https%3A%2F%2Fwww.webofscience.com%2Fwos%2Fwoscc%2Ffull-record%2FWOS:001046846400001","View Full Record in Web of Science")</f>
        <v>View Full Record in Web of Science</v>
      </c>
    </row>
    <row r="860" ht="12.75" customHeight="1">
      <c r="A860" s="1" t="s">
        <v>72</v>
      </c>
      <c r="B860" s="1" t="s">
        <v>8583</v>
      </c>
      <c r="C860" s="1" t="s">
        <v>74</v>
      </c>
      <c r="D860" s="1" t="s">
        <v>74</v>
      </c>
      <c r="E860" s="1" t="s">
        <v>74</v>
      </c>
      <c r="F860" s="1" t="s">
        <v>8584</v>
      </c>
      <c r="G860" s="1" t="s">
        <v>74</v>
      </c>
      <c r="H860" s="1" t="s">
        <v>74</v>
      </c>
      <c r="I860" s="1" t="s">
        <v>8585</v>
      </c>
      <c r="J860" s="1" t="s">
        <v>665</v>
      </c>
      <c r="K860" s="1" t="s">
        <v>74</v>
      </c>
      <c r="L860" s="1" t="s">
        <v>74</v>
      </c>
      <c r="M860" s="1" t="s">
        <v>74</v>
      </c>
      <c r="N860" s="1" t="s">
        <v>74</v>
      </c>
      <c r="O860" s="1" t="s">
        <v>74</v>
      </c>
      <c r="P860" s="1" t="s">
        <v>74</v>
      </c>
      <c r="Q860" s="1" t="s">
        <v>74</v>
      </c>
      <c r="R860" s="1" t="s">
        <v>74</v>
      </c>
      <c r="S860" s="1" t="s">
        <v>74</v>
      </c>
      <c r="T860" s="1" t="s">
        <v>74</v>
      </c>
      <c r="U860" s="1" t="s">
        <v>74</v>
      </c>
      <c r="V860" s="1" t="s">
        <v>8586</v>
      </c>
      <c r="W860" s="1" t="s">
        <v>74</v>
      </c>
      <c r="X860" s="1" t="s">
        <v>74</v>
      </c>
      <c r="Y860" s="1" t="s">
        <v>74</v>
      </c>
      <c r="Z860" s="1" t="s">
        <v>74</v>
      </c>
      <c r="AA860" s="1" t="s">
        <v>8587</v>
      </c>
      <c r="AB860" s="1" t="s">
        <v>8588</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74</v>
      </c>
      <c r="AP860" s="1" t="s">
        <v>669</v>
      </c>
      <c r="AQ860" s="1" t="s">
        <v>74</v>
      </c>
      <c r="AR860" s="1" t="s">
        <v>74</v>
      </c>
      <c r="AS860" s="1" t="s">
        <v>74</v>
      </c>
      <c r="AT860" s="1" t="s">
        <v>1279</v>
      </c>
      <c r="AU860" s="1">
        <v>2023.0</v>
      </c>
      <c r="AV860" s="1">
        <v>28.0</v>
      </c>
      <c r="AW860" s="1">
        <v>7.0</v>
      </c>
      <c r="AX860" s="1" t="s">
        <v>74</v>
      </c>
      <c r="AY860" s="1" t="s">
        <v>74</v>
      </c>
      <c r="AZ860" s="1" t="s">
        <v>74</v>
      </c>
      <c r="BA860" s="1" t="s">
        <v>74</v>
      </c>
      <c r="BB860" s="1" t="s">
        <v>74</v>
      </c>
      <c r="BC860" s="1" t="s">
        <v>74</v>
      </c>
      <c r="BD860" s="1">
        <v>3045.0</v>
      </c>
      <c r="BE860" s="1" t="s">
        <v>8589</v>
      </c>
      <c r="BF860" s="2" t="str">
        <f>HYPERLINK("http://dx.doi.org/10.3390/molecules28073045","http://dx.doi.org/10.3390/molecules28073045")</f>
        <v>http://dx.doi.org/10.3390/molecules28073045</v>
      </c>
      <c r="BG860" s="1" t="s">
        <v>74</v>
      </c>
      <c r="BH860" s="1" t="s">
        <v>74</v>
      </c>
      <c r="BI860" s="1" t="s">
        <v>74</v>
      </c>
      <c r="BJ860" s="1" t="s">
        <v>74</v>
      </c>
      <c r="BK860" s="1" t="s">
        <v>74</v>
      </c>
      <c r="BL860" s="1" t="s">
        <v>74</v>
      </c>
      <c r="BM860" s="1" t="s">
        <v>74</v>
      </c>
      <c r="BN860" s="1">
        <v>3.7049807E7</v>
      </c>
      <c r="BO860" s="1" t="s">
        <v>74</v>
      </c>
      <c r="BP860" s="1" t="s">
        <v>74</v>
      </c>
      <c r="BQ860" s="1" t="s">
        <v>74</v>
      </c>
      <c r="BR860" s="1" t="s">
        <v>74</v>
      </c>
      <c r="BS860" s="1" t="s">
        <v>8590</v>
      </c>
      <c r="BT860" s="1" t="str">
        <f>HYPERLINK("https%3A%2F%2Fwww.webofscience.com%2Fwos%2Fwoscc%2Ffull-record%2FWOS:000970207600001","View Full Record in Web of Science")</f>
        <v>View Full Record in Web of Science</v>
      </c>
    </row>
    <row r="861" ht="12.75" customHeight="1">
      <c r="A861" s="1" t="s">
        <v>72</v>
      </c>
      <c r="B861" s="1" t="s">
        <v>8591</v>
      </c>
      <c r="C861" s="1" t="s">
        <v>74</v>
      </c>
      <c r="D861" s="1" t="s">
        <v>74</v>
      </c>
      <c r="E861" s="1" t="s">
        <v>74</v>
      </c>
      <c r="F861" s="1" t="s">
        <v>8592</v>
      </c>
      <c r="G861" s="1" t="s">
        <v>74</v>
      </c>
      <c r="H861" s="1" t="s">
        <v>74</v>
      </c>
      <c r="I861" s="1" t="s">
        <v>8593</v>
      </c>
      <c r="J861" s="1" t="s">
        <v>1125</v>
      </c>
      <c r="K861" s="1" t="s">
        <v>74</v>
      </c>
      <c r="L861" s="1" t="s">
        <v>74</v>
      </c>
      <c r="M861" s="1" t="s">
        <v>74</v>
      </c>
      <c r="N861" s="1" t="s">
        <v>74</v>
      </c>
      <c r="O861" s="1" t="s">
        <v>74</v>
      </c>
      <c r="P861" s="1" t="s">
        <v>74</v>
      </c>
      <c r="Q861" s="1" t="s">
        <v>74</v>
      </c>
      <c r="R861" s="1" t="s">
        <v>74</v>
      </c>
      <c r="S861" s="1" t="s">
        <v>74</v>
      </c>
      <c r="T861" s="1" t="s">
        <v>74</v>
      </c>
      <c r="U861" s="1" t="s">
        <v>74</v>
      </c>
      <c r="V861" s="1" t="s">
        <v>8594</v>
      </c>
      <c r="W861" s="1" t="s">
        <v>74</v>
      </c>
      <c r="X861" s="1" t="s">
        <v>74</v>
      </c>
      <c r="Y861" s="1" t="s">
        <v>74</v>
      </c>
      <c r="Z861" s="1" t="s">
        <v>74</v>
      </c>
      <c r="AA861" s="1" t="s">
        <v>8595</v>
      </c>
      <c r="AB861" s="1" t="s">
        <v>8596</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1129</v>
      </c>
      <c r="AP861" s="1" t="s">
        <v>1130</v>
      </c>
      <c r="AQ861" s="1" t="s">
        <v>74</v>
      </c>
      <c r="AR861" s="1" t="s">
        <v>74</v>
      </c>
      <c r="AS861" s="1" t="s">
        <v>74</v>
      </c>
      <c r="AT861" s="1" t="s">
        <v>3327</v>
      </c>
      <c r="AU861" s="1">
        <v>2023.0</v>
      </c>
      <c r="AV861" s="1">
        <v>314.0</v>
      </c>
      <c r="AW861" s="1" t="s">
        <v>74</v>
      </c>
      <c r="AX861" s="1" t="s">
        <v>74</v>
      </c>
      <c r="AY861" s="1" t="s">
        <v>74</v>
      </c>
      <c r="AZ861" s="1" t="s">
        <v>74</v>
      </c>
      <c r="BA861" s="1" t="s">
        <v>74</v>
      </c>
      <c r="BB861" s="1" t="s">
        <v>74</v>
      </c>
      <c r="BC861" s="1" t="s">
        <v>74</v>
      </c>
      <c r="BD861" s="1">
        <v>123630.0</v>
      </c>
      <c r="BE861" s="1" t="s">
        <v>8597</v>
      </c>
      <c r="BF861" s="2" t="str">
        <f>HYPERLINK("http://dx.doi.org/10.1016/j.seppur.2023.123630","http://dx.doi.org/10.1016/j.seppur.2023.123630")</f>
        <v>http://dx.doi.org/10.1016/j.seppur.2023.123630</v>
      </c>
      <c r="BG861" s="1" t="s">
        <v>74</v>
      </c>
      <c r="BH861" s="1" t="s">
        <v>2989</v>
      </c>
      <c r="BI861" s="1" t="s">
        <v>74</v>
      </c>
      <c r="BJ861" s="1" t="s">
        <v>74</v>
      </c>
      <c r="BK861" s="1" t="s">
        <v>74</v>
      </c>
      <c r="BL861" s="1" t="s">
        <v>74</v>
      </c>
      <c r="BM861" s="1" t="s">
        <v>74</v>
      </c>
      <c r="BN861" s="1" t="s">
        <v>74</v>
      </c>
      <c r="BO861" s="1" t="s">
        <v>74</v>
      </c>
      <c r="BP861" s="1" t="s">
        <v>74</v>
      </c>
      <c r="BQ861" s="1" t="s">
        <v>74</v>
      </c>
      <c r="BR861" s="1" t="s">
        <v>74</v>
      </c>
      <c r="BS861" s="1" t="s">
        <v>8598</v>
      </c>
      <c r="BT861" s="1" t="str">
        <f>HYPERLINK("https%3A%2F%2Fwww.webofscience.com%2Fwos%2Fwoscc%2Ffull-record%2FWOS:000959266300001","View Full Record in Web of Science")</f>
        <v>View Full Record in Web of Science</v>
      </c>
    </row>
    <row r="862" ht="12.75" customHeight="1">
      <c r="A862" s="1" t="s">
        <v>72</v>
      </c>
      <c r="B862" s="1" t="s">
        <v>8599</v>
      </c>
      <c r="C862" s="1" t="s">
        <v>74</v>
      </c>
      <c r="D862" s="1" t="s">
        <v>74</v>
      </c>
      <c r="E862" s="1" t="s">
        <v>74</v>
      </c>
      <c r="F862" s="1" t="s">
        <v>8600</v>
      </c>
      <c r="G862" s="1" t="s">
        <v>74</v>
      </c>
      <c r="H862" s="1" t="s">
        <v>74</v>
      </c>
      <c r="I862" s="1" t="s">
        <v>8601</v>
      </c>
      <c r="J862" s="1" t="s">
        <v>1959</v>
      </c>
      <c r="K862" s="1" t="s">
        <v>74</v>
      </c>
      <c r="L862" s="1" t="s">
        <v>74</v>
      </c>
      <c r="M862" s="1" t="s">
        <v>74</v>
      </c>
      <c r="N862" s="1" t="s">
        <v>74</v>
      </c>
      <c r="O862" s="1" t="s">
        <v>74</v>
      </c>
      <c r="P862" s="1" t="s">
        <v>74</v>
      </c>
      <c r="Q862" s="1" t="s">
        <v>74</v>
      </c>
      <c r="R862" s="1" t="s">
        <v>74</v>
      </c>
      <c r="S862" s="1" t="s">
        <v>74</v>
      </c>
      <c r="T862" s="1" t="s">
        <v>74</v>
      </c>
      <c r="U862" s="1" t="s">
        <v>74</v>
      </c>
      <c r="V862" s="1" t="s">
        <v>8602</v>
      </c>
      <c r="W862" s="1" t="s">
        <v>74</v>
      </c>
      <c r="X862" s="1" t="s">
        <v>74</v>
      </c>
      <c r="Y862" s="1" t="s">
        <v>74</v>
      </c>
      <c r="Z862" s="1" t="s">
        <v>74</v>
      </c>
      <c r="AA862" s="1" t="s">
        <v>8603</v>
      </c>
      <c r="AB862" s="1" t="s">
        <v>8604</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1963</v>
      </c>
      <c r="AP862" s="1" t="s">
        <v>74</v>
      </c>
      <c r="AQ862" s="1" t="s">
        <v>74</v>
      </c>
      <c r="AR862" s="1" t="s">
        <v>74</v>
      </c>
      <c r="AS862" s="1" t="s">
        <v>74</v>
      </c>
      <c r="AT862" s="1" t="s">
        <v>6413</v>
      </c>
      <c r="AU862" s="1">
        <v>2022.0</v>
      </c>
      <c r="AV862" s="1">
        <v>12.0</v>
      </c>
      <c r="AW862" s="1">
        <v>1.0</v>
      </c>
      <c r="AX862" s="1" t="s">
        <v>74</v>
      </c>
      <c r="AY862" s="1" t="s">
        <v>74</v>
      </c>
      <c r="AZ862" s="1" t="s">
        <v>74</v>
      </c>
      <c r="BA862" s="1" t="s">
        <v>74</v>
      </c>
      <c r="BB862" s="1" t="s">
        <v>74</v>
      </c>
      <c r="BC862" s="1" t="s">
        <v>74</v>
      </c>
      <c r="BD862" s="1">
        <v>8072.0</v>
      </c>
      <c r="BE862" s="1" t="s">
        <v>8605</v>
      </c>
      <c r="BF862" s="2" t="str">
        <f>HYPERLINK("http://dx.doi.org/10.1038/s41598-022-11820-6","http://dx.doi.org/10.1038/s41598-022-11820-6")</f>
        <v>http://dx.doi.org/10.1038/s41598-022-11820-6</v>
      </c>
      <c r="BG862" s="1" t="s">
        <v>74</v>
      </c>
      <c r="BH862" s="1" t="s">
        <v>74</v>
      </c>
      <c r="BI862" s="1" t="s">
        <v>74</v>
      </c>
      <c r="BJ862" s="1" t="s">
        <v>74</v>
      </c>
      <c r="BK862" s="1" t="s">
        <v>74</v>
      </c>
      <c r="BL862" s="1" t="s">
        <v>74</v>
      </c>
      <c r="BM862" s="1" t="s">
        <v>74</v>
      </c>
      <c r="BN862" s="1">
        <v>3.5577862E7</v>
      </c>
      <c r="BO862" s="1" t="s">
        <v>74</v>
      </c>
      <c r="BP862" s="1" t="s">
        <v>74</v>
      </c>
      <c r="BQ862" s="1" t="s">
        <v>74</v>
      </c>
      <c r="BR862" s="1" t="s">
        <v>74</v>
      </c>
      <c r="BS862" s="1" t="s">
        <v>8606</v>
      </c>
      <c r="BT862" s="1" t="str">
        <f>HYPERLINK("https%3A%2F%2Fwww.webofscience.com%2Fwos%2Fwoscc%2Ffull-record%2FWOS:000796701700089","View Full Record in Web of Science")</f>
        <v>View Full Record in Web of Science</v>
      </c>
    </row>
    <row r="863" ht="12.75" customHeight="1">
      <c r="A863" s="1" t="s">
        <v>72</v>
      </c>
      <c r="B863" s="1" t="s">
        <v>8607</v>
      </c>
      <c r="C863" s="1" t="s">
        <v>74</v>
      </c>
      <c r="D863" s="1" t="s">
        <v>74</v>
      </c>
      <c r="E863" s="1" t="s">
        <v>74</v>
      </c>
      <c r="F863" s="1" t="s">
        <v>8608</v>
      </c>
      <c r="G863" s="1" t="s">
        <v>74</v>
      </c>
      <c r="H863" s="1" t="s">
        <v>74</v>
      </c>
      <c r="I863" s="1" t="s">
        <v>8609</v>
      </c>
      <c r="J863" s="1" t="s">
        <v>8610</v>
      </c>
      <c r="K863" s="1" t="s">
        <v>74</v>
      </c>
      <c r="L863" s="1" t="s">
        <v>74</v>
      </c>
      <c r="M863" s="1" t="s">
        <v>74</v>
      </c>
      <c r="N863" s="1" t="s">
        <v>74</v>
      </c>
      <c r="O863" s="1" t="s">
        <v>74</v>
      </c>
      <c r="P863" s="1" t="s">
        <v>74</v>
      </c>
      <c r="Q863" s="1" t="s">
        <v>74</v>
      </c>
      <c r="R863" s="1" t="s">
        <v>74</v>
      </c>
      <c r="S863" s="1" t="s">
        <v>74</v>
      </c>
      <c r="T863" s="1" t="s">
        <v>74</v>
      </c>
      <c r="U863" s="1" t="s">
        <v>74</v>
      </c>
      <c r="V863" s="1" t="s">
        <v>8611</v>
      </c>
      <c r="W863" s="1" t="s">
        <v>74</v>
      </c>
      <c r="X863" s="1" t="s">
        <v>74</v>
      </c>
      <c r="Y863" s="1" t="s">
        <v>74</v>
      </c>
      <c r="Z863" s="1" t="s">
        <v>74</v>
      </c>
      <c r="AA863" s="1" t="s">
        <v>8612</v>
      </c>
      <c r="AB863" s="1" t="s">
        <v>8613</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8614</v>
      </c>
      <c r="AP863" s="1" t="s">
        <v>8615</v>
      </c>
      <c r="AQ863" s="1" t="s">
        <v>74</v>
      </c>
      <c r="AR863" s="1" t="s">
        <v>74</v>
      </c>
      <c r="AS863" s="1" t="s">
        <v>74</v>
      </c>
      <c r="AT863" s="1" t="s">
        <v>74</v>
      </c>
      <c r="AU863" s="1">
        <v>2022.0</v>
      </c>
      <c r="AV863" s="1">
        <v>22.0</v>
      </c>
      <c r="AW863" s="1">
        <v>2.0</v>
      </c>
      <c r="AX863" s="1" t="s">
        <v>74</v>
      </c>
      <c r="AY863" s="1" t="s">
        <v>74</v>
      </c>
      <c r="AZ863" s="1" t="s">
        <v>74</v>
      </c>
      <c r="BA863" s="1" t="s">
        <v>74</v>
      </c>
      <c r="BB863" s="1">
        <v>23.0</v>
      </c>
      <c r="BC863" s="1">
        <v>31.0</v>
      </c>
      <c r="BD863" s="1" t="s">
        <v>74</v>
      </c>
      <c r="BE863" s="1" t="s">
        <v>8616</v>
      </c>
      <c r="BF863" s="2" t="str">
        <f>HYPERLINK("http://dx.doi.org/10.14589/ido.22.2.3","http://dx.doi.org/10.14589/ido.22.2.3")</f>
        <v>http://dx.doi.org/10.14589/ido.22.2.3</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8617</v>
      </c>
      <c r="BT863" s="1" t="str">
        <f>HYPERLINK("https%3A%2F%2Fwww.webofscience.com%2Fwos%2Fwoscc%2Ffull-record%2FWOS:000778144500003","View Full Record in Web of Science")</f>
        <v>View Full Record in Web of Science</v>
      </c>
    </row>
    <row r="864" ht="12.75" customHeight="1">
      <c r="A864" s="1" t="s">
        <v>72</v>
      </c>
      <c r="B864" s="1" t="s">
        <v>8618</v>
      </c>
      <c r="C864" s="1" t="s">
        <v>74</v>
      </c>
      <c r="D864" s="1" t="s">
        <v>74</v>
      </c>
      <c r="E864" s="1" t="s">
        <v>74</v>
      </c>
      <c r="F864" s="1" t="s">
        <v>8619</v>
      </c>
      <c r="G864" s="1" t="s">
        <v>74</v>
      </c>
      <c r="H864" s="1" t="s">
        <v>74</v>
      </c>
      <c r="I864" s="1" t="s">
        <v>8620</v>
      </c>
      <c r="J864" s="1" t="s">
        <v>3727</v>
      </c>
      <c r="K864" s="1" t="s">
        <v>74</v>
      </c>
      <c r="L864" s="1" t="s">
        <v>74</v>
      </c>
      <c r="M864" s="1" t="s">
        <v>74</v>
      </c>
      <c r="N864" s="1" t="s">
        <v>74</v>
      </c>
      <c r="O864" s="1" t="s">
        <v>74</v>
      </c>
      <c r="P864" s="1" t="s">
        <v>74</v>
      </c>
      <c r="Q864" s="1" t="s">
        <v>74</v>
      </c>
      <c r="R864" s="1" t="s">
        <v>74</v>
      </c>
      <c r="S864" s="1" t="s">
        <v>74</v>
      </c>
      <c r="T864" s="1" t="s">
        <v>74</v>
      </c>
      <c r="U864" s="1" t="s">
        <v>74</v>
      </c>
      <c r="V864" s="1" t="s">
        <v>8621</v>
      </c>
      <c r="W864" s="1" t="s">
        <v>74</v>
      </c>
      <c r="X864" s="1" t="s">
        <v>74</v>
      </c>
      <c r="Y864" s="1" t="s">
        <v>74</v>
      </c>
      <c r="Z864" s="1" t="s">
        <v>74</v>
      </c>
      <c r="AA864" s="1" t="s">
        <v>5629</v>
      </c>
      <c r="AB864" s="1" t="s">
        <v>8622</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3731</v>
      </c>
      <c r="AP864" s="1" t="s">
        <v>3732</v>
      </c>
      <c r="AQ864" s="1" t="s">
        <v>74</v>
      </c>
      <c r="AR864" s="1" t="s">
        <v>74</v>
      </c>
      <c r="AS864" s="1" t="s">
        <v>74</v>
      </c>
      <c r="AT864" s="1" t="s">
        <v>8623</v>
      </c>
      <c r="AU864" s="1">
        <v>2021.0</v>
      </c>
      <c r="AV864" s="1">
        <v>56.0</v>
      </c>
      <c r="AW864" s="1">
        <v>13.0</v>
      </c>
      <c r="AX864" s="1" t="s">
        <v>74</v>
      </c>
      <c r="AY864" s="1" t="s">
        <v>74</v>
      </c>
      <c r="AZ864" s="1" t="s">
        <v>74</v>
      </c>
      <c r="BA864" s="1" t="s">
        <v>74</v>
      </c>
      <c r="BB864" s="1">
        <v>1420.0</v>
      </c>
      <c r="BC864" s="1">
        <v>1427.0</v>
      </c>
      <c r="BD864" s="1" t="s">
        <v>74</v>
      </c>
      <c r="BE864" s="1" t="s">
        <v>8624</v>
      </c>
      <c r="BF864" s="2" t="str">
        <f>HYPERLINK("http://dx.doi.org/10.1080/10934529.2021.2004839","http://dx.doi.org/10.1080/10934529.2021.2004839")</f>
        <v>http://dx.doi.org/10.1080/10934529.2021.2004839</v>
      </c>
      <c r="BG864" s="1" t="s">
        <v>74</v>
      </c>
      <c r="BH864" s="1" t="s">
        <v>8625</v>
      </c>
      <c r="BI864" s="1" t="s">
        <v>74</v>
      </c>
      <c r="BJ864" s="1" t="s">
        <v>74</v>
      </c>
      <c r="BK864" s="1" t="s">
        <v>74</v>
      </c>
      <c r="BL864" s="1" t="s">
        <v>74</v>
      </c>
      <c r="BM864" s="1" t="s">
        <v>74</v>
      </c>
      <c r="BN864" s="1">
        <v>3.4851232E7</v>
      </c>
      <c r="BO864" s="1" t="s">
        <v>74</v>
      </c>
      <c r="BP864" s="1" t="s">
        <v>74</v>
      </c>
      <c r="BQ864" s="1" t="s">
        <v>74</v>
      </c>
      <c r="BR864" s="1" t="s">
        <v>74</v>
      </c>
      <c r="BS864" s="1" t="s">
        <v>8626</v>
      </c>
      <c r="BT864" s="1" t="str">
        <f>HYPERLINK("https%3A%2F%2Fwww.webofscience.com%2Fwos%2Fwoscc%2Ffull-record%2FWOS:000724716000001","View Full Record in Web of Science")</f>
        <v>View Full Record in Web of Science</v>
      </c>
    </row>
    <row r="865" ht="12.75" customHeight="1">
      <c r="A865" s="1" t="s">
        <v>72</v>
      </c>
      <c r="B865" s="1" t="s">
        <v>8627</v>
      </c>
      <c r="C865" s="1" t="s">
        <v>74</v>
      </c>
      <c r="D865" s="1" t="s">
        <v>74</v>
      </c>
      <c r="E865" s="1" t="s">
        <v>74</v>
      </c>
      <c r="F865" s="1" t="s">
        <v>8628</v>
      </c>
      <c r="G865" s="1" t="s">
        <v>74</v>
      </c>
      <c r="H865" s="1" t="s">
        <v>74</v>
      </c>
      <c r="I865" s="1" t="s">
        <v>8629</v>
      </c>
      <c r="J865" s="1" t="s">
        <v>8630</v>
      </c>
      <c r="K865" s="1" t="s">
        <v>74</v>
      </c>
      <c r="L865" s="1" t="s">
        <v>74</v>
      </c>
      <c r="M865" s="1" t="s">
        <v>74</v>
      </c>
      <c r="N865" s="1" t="s">
        <v>74</v>
      </c>
      <c r="O865" s="1" t="s">
        <v>74</v>
      </c>
      <c r="P865" s="1" t="s">
        <v>74</v>
      </c>
      <c r="Q865" s="1" t="s">
        <v>74</v>
      </c>
      <c r="R865" s="1" t="s">
        <v>74</v>
      </c>
      <c r="S865" s="1" t="s">
        <v>74</v>
      </c>
      <c r="T865" s="1" t="s">
        <v>74</v>
      </c>
      <c r="U865" s="1" t="s">
        <v>74</v>
      </c>
      <c r="V865" s="1" t="s">
        <v>8631</v>
      </c>
      <c r="W865" s="1" t="s">
        <v>74</v>
      </c>
      <c r="X865" s="1" t="s">
        <v>74</v>
      </c>
      <c r="Y865" s="1" t="s">
        <v>74</v>
      </c>
      <c r="Z865" s="1" t="s">
        <v>74</v>
      </c>
      <c r="AA865" s="1" t="s">
        <v>8632</v>
      </c>
      <c r="AB865" s="1" t="s">
        <v>8633</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74</v>
      </c>
      <c r="AP865" s="1" t="s">
        <v>8634</v>
      </c>
      <c r="AQ865" s="1" t="s">
        <v>74</v>
      </c>
      <c r="AR865" s="1" t="s">
        <v>74</v>
      </c>
      <c r="AS865" s="1" t="s">
        <v>74</v>
      </c>
      <c r="AT865" s="1" t="s">
        <v>282</v>
      </c>
      <c r="AU865" s="1">
        <v>2021.0</v>
      </c>
      <c r="AV865" s="1">
        <v>14.0</v>
      </c>
      <c r="AW865" s="1">
        <v>15.0</v>
      </c>
      <c r="AX865" s="1" t="s">
        <v>74</v>
      </c>
      <c r="AY865" s="1" t="s">
        <v>74</v>
      </c>
      <c r="AZ865" s="1" t="s">
        <v>74</v>
      </c>
      <c r="BA865" s="1" t="s">
        <v>74</v>
      </c>
      <c r="BB865" s="1" t="s">
        <v>74</v>
      </c>
      <c r="BC865" s="1" t="s">
        <v>74</v>
      </c>
      <c r="BD865" s="1">
        <v>4079.0</v>
      </c>
      <c r="BE865" s="1" t="s">
        <v>8635</v>
      </c>
      <c r="BF865" s="2" t="str">
        <f>HYPERLINK("http://dx.doi.org/10.3390/ma14154079","http://dx.doi.org/10.3390/ma14154079")</f>
        <v>http://dx.doi.org/10.3390/ma14154079</v>
      </c>
      <c r="BG865" s="1" t="s">
        <v>74</v>
      </c>
      <c r="BH865" s="1" t="s">
        <v>74</v>
      </c>
      <c r="BI865" s="1" t="s">
        <v>74</v>
      </c>
      <c r="BJ865" s="1" t="s">
        <v>74</v>
      </c>
      <c r="BK865" s="1" t="s">
        <v>74</v>
      </c>
      <c r="BL865" s="1" t="s">
        <v>74</v>
      </c>
      <c r="BM865" s="1" t="s">
        <v>74</v>
      </c>
      <c r="BN865" s="1">
        <v>3.4361272E7</v>
      </c>
      <c r="BO865" s="1" t="s">
        <v>74</v>
      </c>
      <c r="BP865" s="1" t="s">
        <v>74</v>
      </c>
      <c r="BQ865" s="1" t="s">
        <v>74</v>
      </c>
      <c r="BR865" s="1" t="s">
        <v>74</v>
      </c>
      <c r="BS865" s="1" t="s">
        <v>8636</v>
      </c>
      <c r="BT865" s="1" t="str">
        <f>HYPERLINK("https%3A%2F%2Fwww.webofscience.com%2Fwos%2Fwoscc%2Ffull-record%2FWOS:000682040700001","View Full Record in Web of Science")</f>
        <v>View Full Record in Web of Science</v>
      </c>
    </row>
    <row r="866" ht="12.75" customHeight="1">
      <c r="A866" s="1" t="s">
        <v>72</v>
      </c>
      <c r="B866" s="1" t="s">
        <v>8637</v>
      </c>
      <c r="C866" s="1" t="s">
        <v>74</v>
      </c>
      <c r="D866" s="1" t="s">
        <v>74</v>
      </c>
      <c r="E866" s="1" t="s">
        <v>74</v>
      </c>
      <c r="F866" s="1" t="s">
        <v>8638</v>
      </c>
      <c r="G866" s="1" t="s">
        <v>74</v>
      </c>
      <c r="H866" s="1" t="s">
        <v>74</v>
      </c>
      <c r="I866" s="1" t="s">
        <v>8639</v>
      </c>
      <c r="J866" s="1" t="s">
        <v>7886</v>
      </c>
      <c r="K866" s="1" t="s">
        <v>74</v>
      </c>
      <c r="L866" s="1" t="s">
        <v>74</v>
      </c>
      <c r="M866" s="1" t="s">
        <v>74</v>
      </c>
      <c r="N866" s="1" t="s">
        <v>74</v>
      </c>
      <c r="O866" s="1" t="s">
        <v>74</v>
      </c>
      <c r="P866" s="1" t="s">
        <v>74</v>
      </c>
      <c r="Q866" s="1" t="s">
        <v>74</v>
      </c>
      <c r="R866" s="1" t="s">
        <v>74</v>
      </c>
      <c r="S866" s="1" t="s">
        <v>74</v>
      </c>
      <c r="T866" s="1" t="s">
        <v>74</v>
      </c>
      <c r="U866" s="1" t="s">
        <v>74</v>
      </c>
      <c r="V866" s="1" t="s">
        <v>8640</v>
      </c>
      <c r="W866" s="1" t="s">
        <v>74</v>
      </c>
      <c r="X866" s="1" t="s">
        <v>74</v>
      </c>
      <c r="Y866" s="1" t="s">
        <v>74</v>
      </c>
      <c r="Z866" s="1" t="s">
        <v>74</v>
      </c>
      <c r="AA866" s="1" t="s">
        <v>8641</v>
      </c>
      <c r="AB866" s="1" t="s">
        <v>8642</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7890</v>
      </c>
      <c r="AP866" s="1" t="s">
        <v>7891</v>
      </c>
      <c r="AQ866" s="1" t="s">
        <v>74</v>
      </c>
      <c r="AR866" s="1" t="s">
        <v>74</v>
      </c>
      <c r="AS866" s="1" t="s">
        <v>74</v>
      </c>
      <c r="AT866" s="1" t="s">
        <v>534</v>
      </c>
      <c r="AU866" s="1">
        <v>2021.0</v>
      </c>
      <c r="AV866" s="1">
        <v>1224.0</v>
      </c>
      <c r="AW866" s="1" t="s">
        <v>74</v>
      </c>
      <c r="AX866" s="1" t="s">
        <v>74</v>
      </c>
      <c r="AY866" s="1" t="s">
        <v>74</v>
      </c>
      <c r="AZ866" s="1" t="s">
        <v>74</v>
      </c>
      <c r="BA866" s="1" t="s">
        <v>74</v>
      </c>
      <c r="BB866" s="1" t="s">
        <v>74</v>
      </c>
      <c r="BC866" s="1" t="s">
        <v>74</v>
      </c>
      <c r="BD866" s="1">
        <v>129172.0</v>
      </c>
      <c r="BE866" s="1" t="s">
        <v>8643</v>
      </c>
      <c r="BF866" s="2" t="str">
        <f>HYPERLINK("http://dx.doi.org/10.1016/j.molstruc.2020.129172","http://dx.doi.org/10.1016/j.molstruc.2020.129172")</f>
        <v>http://dx.doi.org/10.1016/j.molstruc.2020.129172</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8644</v>
      </c>
      <c r="BT866" s="1" t="str">
        <f>HYPERLINK("https%3A%2F%2Fwww.webofscience.com%2Fwos%2Fwoscc%2Ffull-record%2FWOS:000598092500009","View Full Record in Web of Science")</f>
        <v>View Full Record in Web of Science</v>
      </c>
    </row>
    <row r="867" ht="12.75" customHeight="1">
      <c r="A867" s="1" t="s">
        <v>72</v>
      </c>
      <c r="B867" s="1" t="s">
        <v>8645</v>
      </c>
      <c r="C867" s="1" t="s">
        <v>74</v>
      </c>
      <c r="D867" s="1" t="s">
        <v>74</v>
      </c>
      <c r="E867" s="1" t="s">
        <v>74</v>
      </c>
      <c r="F867" s="1" t="s">
        <v>8646</v>
      </c>
      <c r="G867" s="1" t="s">
        <v>74</v>
      </c>
      <c r="H867" s="1" t="s">
        <v>74</v>
      </c>
      <c r="I867" s="1" t="s">
        <v>8647</v>
      </c>
      <c r="J867" s="1" t="s">
        <v>8648</v>
      </c>
      <c r="K867" s="1" t="s">
        <v>74</v>
      </c>
      <c r="L867" s="1" t="s">
        <v>74</v>
      </c>
      <c r="M867" s="1" t="s">
        <v>74</v>
      </c>
      <c r="N867" s="1" t="s">
        <v>74</v>
      </c>
      <c r="O867" s="1" t="s">
        <v>74</v>
      </c>
      <c r="P867" s="1" t="s">
        <v>74</v>
      </c>
      <c r="Q867" s="1" t="s">
        <v>74</v>
      </c>
      <c r="R867" s="1" t="s">
        <v>74</v>
      </c>
      <c r="S867" s="1" t="s">
        <v>74</v>
      </c>
      <c r="T867" s="1" t="s">
        <v>74</v>
      </c>
      <c r="U867" s="1" t="s">
        <v>74</v>
      </c>
      <c r="V867" s="1" t="s">
        <v>8649</v>
      </c>
      <c r="W867" s="1" t="s">
        <v>74</v>
      </c>
      <c r="X867" s="1" t="s">
        <v>74</v>
      </c>
      <c r="Y867" s="1" t="s">
        <v>74</v>
      </c>
      <c r="Z867" s="1" t="s">
        <v>74</v>
      </c>
      <c r="AA867" s="1" t="s">
        <v>8650</v>
      </c>
      <c r="AB867" s="1" t="s">
        <v>8651</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8652</v>
      </c>
      <c r="AP867" s="1" t="s">
        <v>8653</v>
      </c>
      <c r="AQ867" s="1" t="s">
        <v>74</v>
      </c>
      <c r="AR867" s="1" t="s">
        <v>74</v>
      </c>
      <c r="AS867" s="1" t="s">
        <v>74</v>
      </c>
      <c r="AT867" s="1" t="s">
        <v>164</v>
      </c>
      <c r="AU867" s="1">
        <v>2020.0</v>
      </c>
      <c r="AV867" s="1">
        <v>7.0</v>
      </c>
      <c r="AW867" s="1">
        <v>2.0</v>
      </c>
      <c r="AX867" s="1" t="s">
        <v>74</v>
      </c>
      <c r="AY867" s="1" t="s">
        <v>74</v>
      </c>
      <c r="AZ867" s="1" t="s">
        <v>74</v>
      </c>
      <c r="BA867" s="1" t="s">
        <v>74</v>
      </c>
      <c r="BB867" s="1">
        <v>183.0</v>
      </c>
      <c r="BC867" s="1">
        <v>208.0</v>
      </c>
      <c r="BD867" s="1" t="s">
        <v>74</v>
      </c>
      <c r="BE867" s="1" t="s">
        <v>8654</v>
      </c>
      <c r="BF867" s="2" t="str">
        <f>HYPERLINK("http://dx.doi.org/10.3934/jcd.2020008","http://dx.doi.org/10.3934/jcd.2020008")</f>
        <v>http://dx.doi.org/10.3934/jcd.2020008</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8655</v>
      </c>
      <c r="BT867" s="1" t="str">
        <f>HYPERLINK("https%3A%2F%2Fwww.webofscience.com%2Fwos%2Fwoscc%2Ffull-record%2FWOS:000670031600002","View Full Record in Web of Science")</f>
        <v>View Full Record in Web of Science</v>
      </c>
    </row>
    <row r="868" ht="12.75" customHeight="1">
      <c r="A868" s="1" t="s">
        <v>72</v>
      </c>
      <c r="B868" s="1" t="s">
        <v>8656</v>
      </c>
      <c r="C868" s="1" t="s">
        <v>74</v>
      </c>
      <c r="D868" s="1" t="s">
        <v>74</v>
      </c>
      <c r="E868" s="1" t="s">
        <v>74</v>
      </c>
      <c r="F868" s="1" t="s">
        <v>8657</v>
      </c>
      <c r="G868" s="1" t="s">
        <v>74</v>
      </c>
      <c r="H868" s="1" t="s">
        <v>74</v>
      </c>
      <c r="I868" s="1" t="s">
        <v>8658</v>
      </c>
      <c r="J868" s="1" t="s">
        <v>2083</v>
      </c>
      <c r="K868" s="1" t="s">
        <v>74</v>
      </c>
      <c r="L868" s="1" t="s">
        <v>74</v>
      </c>
      <c r="M868" s="1" t="s">
        <v>74</v>
      </c>
      <c r="N868" s="1" t="s">
        <v>74</v>
      </c>
      <c r="O868" s="1" t="s">
        <v>74</v>
      </c>
      <c r="P868" s="1" t="s">
        <v>74</v>
      </c>
      <c r="Q868" s="1" t="s">
        <v>74</v>
      </c>
      <c r="R868" s="1" t="s">
        <v>74</v>
      </c>
      <c r="S868" s="1" t="s">
        <v>74</v>
      </c>
      <c r="T868" s="1" t="s">
        <v>74</v>
      </c>
      <c r="U868" s="1" t="s">
        <v>74</v>
      </c>
      <c r="V868" s="1" t="s">
        <v>8659</v>
      </c>
      <c r="W868" s="1" t="s">
        <v>74</v>
      </c>
      <c r="X868" s="1" t="s">
        <v>74</v>
      </c>
      <c r="Y868" s="1" t="s">
        <v>74</v>
      </c>
      <c r="Z868" s="1" t="s">
        <v>74</v>
      </c>
      <c r="AA868" s="1" t="s">
        <v>8660</v>
      </c>
      <c r="AB868" s="1" t="s">
        <v>8661</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2087</v>
      </c>
      <c r="AP868" s="1" t="s">
        <v>2088</v>
      </c>
      <c r="AQ868" s="1" t="s">
        <v>74</v>
      </c>
      <c r="AR868" s="1" t="s">
        <v>74</v>
      </c>
      <c r="AS868" s="1" t="s">
        <v>74</v>
      </c>
      <c r="AT868" s="1" t="s">
        <v>82</v>
      </c>
      <c r="AU868" s="1">
        <v>2020.0</v>
      </c>
      <c r="AV868" s="1">
        <v>38.0</v>
      </c>
      <c r="AW868" s="1">
        <v>5.0</v>
      </c>
      <c r="AX868" s="1" t="s">
        <v>74</v>
      </c>
      <c r="AY868" s="1" t="s">
        <v>74</v>
      </c>
      <c r="AZ868" s="1" t="s">
        <v>74</v>
      </c>
      <c r="BA868" s="1" t="s">
        <v>74</v>
      </c>
      <c r="BB868" s="1">
        <v>1223.0</v>
      </c>
      <c r="BC868" s="1">
        <v>1228.0</v>
      </c>
      <c r="BD868" s="1" t="s">
        <v>74</v>
      </c>
      <c r="BE868" s="1" t="s">
        <v>74</v>
      </c>
      <c r="BF868" s="1" t="s">
        <v>74</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8662</v>
      </c>
      <c r="BT868" s="1" t="str">
        <f>HYPERLINK("https%3A%2F%2Fwww.webofscience.com%2Fwos%2Fwoscc%2Ffull-record%2FWOS:000566485800012","View Full Record in Web of Science")</f>
        <v>View Full Record in Web of Science</v>
      </c>
    </row>
    <row r="869" ht="12.75" customHeight="1">
      <c r="A869" s="1" t="s">
        <v>72</v>
      </c>
      <c r="B869" s="1" t="s">
        <v>4730</v>
      </c>
      <c r="C869" s="1" t="s">
        <v>74</v>
      </c>
      <c r="D869" s="1" t="s">
        <v>74</v>
      </c>
      <c r="E869" s="1" t="s">
        <v>74</v>
      </c>
      <c r="F869" s="1" t="s">
        <v>4731</v>
      </c>
      <c r="G869" s="1" t="s">
        <v>74</v>
      </c>
      <c r="H869" s="1" t="s">
        <v>74</v>
      </c>
      <c r="I869" s="1" t="s">
        <v>8663</v>
      </c>
      <c r="J869" s="1" t="s">
        <v>8664</v>
      </c>
      <c r="K869" s="1" t="s">
        <v>74</v>
      </c>
      <c r="L869" s="1" t="s">
        <v>74</v>
      </c>
      <c r="M869" s="1" t="s">
        <v>74</v>
      </c>
      <c r="N869" s="1" t="s">
        <v>74</v>
      </c>
      <c r="O869" s="1" t="s">
        <v>74</v>
      </c>
      <c r="P869" s="1" t="s">
        <v>74</v>
      </c>
      <c r="Q869" s="1" t="s">
        <v>74</v>
      </c>
      <c r="R869" s="1" t="s">
        <v>74</v>
      </c>
      <c r="S869" s="1" t="s">
        <v>74</v>
      </c>
      <c r="T869" s="1" t="s">
        <v>74</v>
      </c>
      <c r="U869" s="1" t="s">
        <v>74</v>
      </c>
      <c r="V869" s="1" t="s">
        <v>8665</v>
      </c>
      <c r="W869" s="1" t="s">
        <v>74</v>
      </c>
      <c r="X869" s="1" t="s">
        <v>74</v>
      </c>
      <c r="Y869" s="1" t="s">
        <v>74</v>
      </c>
      <c r="Z869" s="1" t="s">
        <v>74</v>
      </c>
      <c r="AA869" s="1" t="s">
        <v>8666</v>
      </c>
      <c r="AB869" s="1" t="s">
        <v>8667</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8668</v>
      </c>
      <c r="AP869" s="1" t="s">
        <v>74</v>
      </c>
      <c r="AQ869" s="1" t="s">
        <v>74</v>
      </c>
      <c r="AR869" s="1" t="s">
        <v>74</v>
      </c>
      <c r="AS869" s="1" t="s">
        <v>74</v>
      </c>
      <c r="AT869" s="1" t="s">
        <v>271</v>
      </c>
      <c r="AU869" s="1">
        <v>2020.0</v>
      </c>
      <c r="AV869" s="1">
        <v>238.0</v>
      </c>
      <c r="AW869" s="1" t="s">
        <v>74</v>
      </c>
      <c r="AX869" s="1" t="s">
        <v>74</v>
      </c>
      <c r="AY869" s="1" t="s">
        <v>74</v>
      </c>
      <c r="AZ869" s="1" t="s">
        <v>74</v>
      </c>
      <c r="BA869" s="1" t="s">
        <v>74</v>
      </c>
      <c r="BB869" s="1" t="s">
        <v>74</v>
      </c>
      <c r="BC869" s="1" t="s">
        <v>74</v>
      </c>
      <c r="BD869" s="1">
        <v>126481.0</v>
      </c>
      <c r="BE869" s="1" t="s">
        <v>8669</v>
      </c>
      <c r="BF869" s="2" t="str">
        <f>HYPERLINK("http://dx.doi.org/10.1016/j.micres.2020.126481","http://dx.doi.org/10.1016/j.micres.2020.126481")</f>
        <v>http://dx.doi.org/10.1016/j.micres.2020.126481</v>
      </c>
      <c r="BG869" s="1" t="s">
        <v>74</v>
      </c>
      <c r="BH869" s="1" t="s">
        <v>74</v>
      </c>
      <c r="BI869" s="1" t="s">
        <v>74</v>
      </c>
      <c r="BJ869" s="1" t="s">
        <v>74</v>
      </c>
      <c r="BK869" s="1" t="s">
        <v>74</v>
      </c>
      <c r="BL869" s="1" t="s">
        <v>74</v>
      </c>
      <c r="BM869" s="1" t="s">
        <v>74</v>
      </c>
      <c r="BN869" s="1">
        <v>3.2497965E7</v>
      </c>
      <c r="BO869" s="1" t="s">
        <v>74</v>
      </c>
      <c r="BP869" s="1" t="s">
        <v>74</v>
      </c>
      <c r="BQ869" s="1" t="s">
        <v>74</v>
      </c>
      <c r="BR869" s="1" t="s">
        <v>74</v>
      </c>
      <c r="BS869" s="1" t="s">
        <v>8670</v>
      </c>
      <c r="BT869" s="1" t="str">
        <f>HYPERLINK("https%3A%2F%2Fwww.webofscience.com%2Fwos%2Fwoscc%2Ffull-record%2FWOS:000549369000001","View Full Record in Web of Science")</f>
        <v>View Full Record in Web of Science</v>
      </c>
    </row>
    <row r="870" ht="12.75" customHeight="1">
      <c r="A870" s="1" t="s">
        <v>72</v>
      </c>
      <c r="B870" s="1" t="s">
        <v>8671</v>
      </c>
      <c r="C870" s="1" t="s">
        <v>74</v>
      </c>
      <c r="D870" s="1" t="s">
        <v>74</v>
      </c>
      <c r="E870" s="1" t="s">
        <v>74</v>
      </c>
      <c r="F870" s="1" t="s">
        <v>8672</v>
      </c>
      <c r="G870" s="1" t="s">
        <v>74</v>
      </c>
      <c r="H870" s="1" t="s">
        <v>74</v>
      </c>
      <c r="I870" s="1" t="s">
        <v>8673</v>
      </c>
      <c r="J870" s="1" t="s">
        <v>1297</v>
      </c>
      <c r="K870" s="1" t="s">
        <v>74</v>
      </c>
      <c r="L870" s="1" t="s">
        <v>74</v>
      </c>
      <c r="M870" s="1" t="s">
        <v>74</v>
      </c>
      <c r="N870" s="1" t="s">
        <v>74</v>
      </c>
      <c r="O870" s="1" t="s">
        <v>74</v>
      </c>
      <c r="P870" s="1" t="s">
        <v>74</v>
      </c>
      <c r="Q870" s="1" t="s">
        <v>74</v>
      </c>
      <c r="R870" s="1" t="s">
        <v>74</v>
      </c>
      <c r="S870" s="1" t="s">
        <v>74</v>
      </c>
      <c r="T870" s="1" t="s">
        <v>74</v>
      </c>
      <c r="U870" s="1" t="s">
        <v>74</v>
      </c>
      <c r="V870" s="1" t="s">
        <v>8674</v>
      </c>
      <c r="W870" s="1" t="s">
        <v>74</v>
      </c>
      <c r="X870" s="1" t="s">
        <v>74</v>
      </c>
      <c r="Y870" s="1" t="s">
        <v>74</v>
      </c>
      <c r="Z870" s="1" t="s">
        <v>74</v>
      </c>
      <c r="AA870" s="1" t="s">
        <v>8675</v>
      </c>
      <c r="AB870" s="1" t="s">
        <v>8676</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1301</v>
      </c>
      <c r="AP870" s="1" t="s">
        <v>1302</v>
      </c>
      <c r="AQ870" s="1" t="s">
        <v>74</v>
      </c>
      <c r="AR870" s="1" t="s">
        <v>74</v>
      </c>
      <c r="AS870" s="1" t="s">
        <v>74</v>
      </c>
      <c r="AT870" s="1" t="s">
        <v>8677</v>
      </c>
      <c r="AU870" s="1">
        <v>2020.0</v>
      </c>
      <c r="AV870" s="1">
        <v>124.0</v>
      </c>
      <c r="AW870" s="1">
        <v>24.0</v>
      </c>
      <c r="AX870" s="1" t="s">
        <v>74</v>
      </c>
      <c r="AY870" s="1" t="s">
        <v>74</v>
      </c>
      <c r="AZ870" s="1" t="s">
        <v>74</v>
      </c>
      <c r="BA870" s="1" t="s">
        <v>74</v>
      </c>
      <c r="BB870" s="1">
        <v>12968.0</v>
      </c>
      <c r="BC870" s="1">
        <v>12981.0</v>
      </c>
      <c r="BD870" s="1" t="s">
        <v>74</v>
      </c>
      <c r="BE870" s="1" t="s">
        <v>8678</v>
      </c>
      <c r="BF870" s="2" t="str">
        <f>HYPERLINK("http://dx.doi.org/10.1021/acs.jpcc.0c02865","http://dx.doi.org/10.1021/acs.jpcc.0c02865")</f>
        <v>http://dx.doi.org/10.1021/acs.jpcc.0c02865</v>
      </c>
      <c r="BG870" s="1" t="s">
        <v>74</v>
      </c>
      <c r="BH870" s="1" t="s">
        <v>74</v>
      </c>
      <c r="BI870" s="1" t="s">
        <v>74</v>
      </c>
      <c r="BJ870" s="1" t="s">
        <v>74</v>
      </c>
      <c r="BK870" s="1" t="s">
        <v>74</v>
      </c>
      <c r="BL870" s="1" t="s">
        <v>74</v>
      </c>
      <c r="BM870" s="1" t="s">
        <v>74</v>
      </c>
      <c r="BN870" s="1" t="s">
        <v>74</v>
      </c>
      <c r="BO870" s="1" t="s">
        <v>74</v>
      </c>
      <c r="BP870" s="1" t="s">
        <v>74</v>
      </c>
      <c r="BQ870" s="1" t="s">
        <v>74</v>
      </c>
      <c r="BR870" s="1" t="s">
        <v>74</v>
      </c>
      <c r="BS870" s="1" t="s">
        <v>8679</v>
      </c>
      <c r="BT870" s="1" t="str">
        <f>HYPERLINK("https%3A%2F%2Fwww.webofscience.com%2Fwos%2Fwoscc%2Ffull-record%2FWOS:000549942500010","View Full Record in Web of Science")</f>
        <v>View Full Record in Web of Science</v>
      </c>
    </row>
    <row r="871" ht="12.75" customHeight="1">
      <c r="A871" s="1" t="s">
        <v>72</v>
      </c>
      <c r="B871" s="1" t="s">
        <v>8680</v>
      </c>
      <c r="C871" s="1" t="s">
        <v>74</v>
      </c>
      <c r="D871" s="1" t="s">
        <v>74</v>
      </c>
      <c r="E871" s="1" t="s">
        <v>74</v>
      </c>
      <c r="F871" s="1" t="s">
        <v>8681</v>
      </c>
      <c r="G871" s="1" t="s">
        <v>74</v>
      </c>
      <c r="H871" s="1" t="s">
        <v>74</v>
      </c>
      <c r="I871" s="1" t="s">
        <v>8682</v>
      </c>
      <c r="J871" s="1" t="s">
        <v>8683</v>
      </c>
      <c r="K871" s="1" t="s">
        <v>74</v>
      </c>
      <c r="L871" s="1" t="s">
        <v>74</v>
      </c>
      <c r="M871" s="1" t="s">
        <v>74</v>
      </c>
      <c r="N871" s="1" t="s">
        <v>74</v>
      </c>
      <c r="O871" s="1" t="s">
        <v>8684</v>
      </c>
      <c r="P871" s="1" t="s">
        <v>8685</v>
      </c>
      <c r="Q871" s="1" t="s">
        <v>1799</v>
      </c>
      <c r="R871" s="1" t="s">
        <v>74</v>
      </c>
      <c r="S871" s="1" t="s">
        <v>74</v>
      </c>
      <c r="T871" s="1" t="s">
        <v>74</v>
      </c>
      <c r="U871" s="1" t="s">
        <v>74</v>
      </c>
      <c r="V871" s="1" t="s">
        <v>74</v>
      </c>
      <c r="W871" s="1" t="s">
        <v>74</v>
      </c>
      <c r="X871" s="1" t="s">
        <v>74</v>
      </c>
      <c r="Y871" s="1" t="s">
        <v>74</v>
      </c>
      <c r="Z871" s="1" t="s">
        <v>74</v>
      </c>
      <c r="AA871" s="1" t="s">
        <v>8686</v>
      </c>
      <c r="AB871" s="1" t="s">
        <v>74</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8687</v>
      </c>
      <c r="AP871" s="1" t="s">
        <v>8688</v>
      </c>
      <c r="AQ871" s="1" t="s">
        <v>74</v>
      </c>
      <c r="AR871" s="1" t="s">
        <v>74</v>
      </c>
      <c r="AS871" s="1" t="s">
        <v>74</v>
      </c>
      <c r="AT871" s="1" t="s">
        <v>1279</v>
      </c>
      <c r="AU871" s="1">
        <v>2020.0</v>
      </c>
      <c r="AV871" s="1">
        <v>20.0</v>
      </c>
      <c r="AW871" s="1" t="s">
        <v>74</v>
      </c>
      <c r="AX871" s="1" t="s">
        <v>74</v>
      </c>
      <c r="AY871" s="1">
        <v>3.0</v>
      </c>
      <c r="AZ871" s="1" t="s">
        <v>569</v>
      </c>
      <c r="BA871" s="1" t="s">
        <v>8689</v>
      </c>
      <c r="BB871" s="1">
        <v>822.0</v>
      </c>
      <c r="BC871" s="1">
        <v>823.0</v>
      </c>
      <c r="BD871" s="1" t="s">
        <v>74</v>
      </c>
      <c r="BE871" s="1" t="s">
        <v>74</v>
      </c>
      <c r="BF871" s="1" t="s">
        <v>74</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8690</v>
      </c>
      <c r="BT871" s="1" t="str">
        <f>HYPERLINK("https%3A%2F%2Fwww.webofscience.com%2Fwos%2Fwoscc%2Ffull-record%2FWOS:000546629503159","View Full Record in Web of Science")</f>
        <v>View Full Record in Web of Science</v>
      </c>
    </row>
    <row r="872" ht="12.75" customHeight="1">
      <c r="A872" s="1" t="s">
        <v>72</v>
      </c>
      <c r="B872" s="1" t="s">
        <v>8691</v>
      </c>
      <c r="C872" s="1" t="s">
        <v>74</v>
      </c>
      <c r="D872" s="1" t="s">
        <v>74</v>
      </c>
      <c r="E872" s="1" t="s">
        <v>74</v>
      </c>
      <c r="F872" s="1" t="s">
        <v>8692</v>
      </c>
      <c r="G872" s="1" t="s">
        <v>74</v>
      </c>
      <c r="H872" s="1" t="s">
        <v>74</v>
      </c>
      <c r="I872" s="1" t="s">
        <v>8693</v>
      </c>
      <c r="J872" s="1" t="s">
        <v>5056</v>
      </c>
      <c r="K872" s="1" t="s">
        <v>74</v>
      </c>
      <c r="L872" s="1" t="s">
        <v>74</v>
      </c>
      <c r="M872" s="1" t="s">
        <v>74</v>
      </c>
      <c r="N872" s="1" t="s">
        <v>74</v>
      </c>
      <c r="O872" s="1" t="s">
        <v>74</v>
      </c>
      <c r="P872" s="1" t="s">
        <v>74</v>
      </c>
      <c r="Q872" s="1" t="s">
        <v>74</v>
      </c>
      <c r="R872" s="1" t="s">
        <v>74</v>
      </c>
      <c r="S872" s="1" t="s">
        <v>74</v>
      </c>
      <c r="T872" s="1" t="s">
        <v>74</v>
      </c>
      <c r="U872" s="1" t="s">
        <v>74</v>
      </c>
      <c r="V872" s="1" t="s">
        <v>8694</v>
      </c>
      <c r="W872" s="1" t="s">
        <v>74</v>
      </c>
      <c r="X872" s="1" t="s">
        <v>74</v>
      </c>
      <c r="Y872" s="1" t="s">
        <v>74</v>
      </c>
      <c r="Z872" s="1" t="s">
        <v>74</v>
      </c>
      <c r="AA872" s="1" t="s">
        <v>8695</v>
      </c>
      <c r="AB872" s="1" t="s">
        <v>8696</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5060</v>
      </c>
      <c r="AP872" s="1" t="s">
        <v>5061</v>
      </c>
      <c r="AQ872" s="1" t="s">
        <v>74</v>
      </c>
      <c r="AR872" s="1" t="s">
        <v>74</v>
      </c>
      <c r="AS872" s="1" t="s">
        <v>74</v>
      </c>
      <c r="AT872" s="1" t="s">
        <v>8697</v>
      </c>
      <c r="AU872" s="1">
        <v>2020.0</v>
      </c>
      <c r="AV872" s="1">
        <v>152.0</v>
      </c>
      <c r="AW872" s="1">
        <v>10.0</v>
      </c>
      <c r="AX872" s="1" t="s">
        <v>74</v>
      </c>
      <c r="AY872" s="1" t="s">
        <v>74</v>
      </c>
      <c r="AZ872" s="1" t="s">
        <v>74</v>
      </c>
      <c r="BA872" s="1" t="s">
        <v>74</v>
      </c>
      <c r="BB872" s="1" t="s">
        <v>74</v>
      </c>
      <c r="BC872" s="1" t="s">
        <v>74</v>
      </c>
      <c r="BD872" s="1">
        <v>100902.0</v>
      </c>
      <c r="BE872" s="1" t="s">
        <v>8698</v>
      </c>
      <c r="BF872" s="2" t="str">
        <f>HYPERLINK("http://dx.doi.org/10.1063/1.5136320","http://dx.doi.org/10.1063/1.5136320")</f>
        <v>http://dx.doi.org/10.1063/1.5136320</v>
      </c>
      <c r="BG872" s="1" t="s">
        <v>74</v>
      </c>
      <c r="BH872" s="1" t="s">
        <v>74</v>
      </c>
      <c r="BI872" s="1" t="s">
        <v>74</v>
      </c>
      <c r="BJ872" s="1" t="s">
        <v>74</v>
      </c>
      <c r="BK872" s="1" t="s">
        <v>74</v>
      </c>
      <c r="BL872" s="1" t="s">
        <v>74</v>
      </c>
      <c r="BM872" s="1" t="s">
        <v>74</v>
      </c>
      <c r="BN872" s="1">
        <v>3.2171209E7</v>
      </c>
      <c r="BO872" s="1" t="s">
        <v>74</v>
      </c>
      <c r="BP872" s="1" t="s">
        <v>74</v>
      </c>
      <c r="BQ872" s="1" t="s">
        <v>74</v>
      </c>
      <c r="BR872" s="1" t="s">
        <v>74</v>
      </c>
      <c r="BS872" s="1" t="s">
        <v>8699</v>
      </c>
      <c r="BT872" s="1" t="str">
        <f>HYPERLINK("https%3A%2F%2Fwww.webofscience.com%2Fwos%2Fwoscc%2Ffull-record%2FWOS:000519631100001","View Full Record in Web of Science")</f>
        <v>View Full Record in Web of Science</v>
      </c>
    </row>
    <row r="873" ht="12.75" customHeight="1">
      <c r="A873" s="1" t="s">
        <v>72</v>
      </c>
      <c r="B873" s="1" t="s">
        <v>8700</v>
      </c>
      <c r="C873" s="1" t="s">
        <v>74</v>
      </c>
      <c r="D873" s="1" t="s">
        <v>74</v>
      </c>
      <c r="E873" s="1" t="s">
        <v>74</v>
      </c>
      <c r="F873" s="1" t="s">
        <v>8701</v>
      </c>
      <c r="G873" s="1" t="s">
        <v>74</v>
      </c>
      <c r="H873" s="1" t="s">
        <v>74</v>
      </c>
      <c r="I873" s="1" t="s">
        <v>8702</v>
      </c>
      <c r="J873" s="1" t="s">
        <v>6496</v>
      </c>
      <c r="K873" s="1" t="s">
        <v>74</v>
      </c>
      <c r="L873" s="1" t="s">
        <v>74</v>
      </c>
      <c r="M873" s="1" t="s">
        <v>74</v>
      </c>
      <c r="N873" s="1" t="s">
        <v>74</v>
      </c>
      <c r="O873" s="1" t="s">
        <v>74</v>
      </c>
      <c r="P873" s="1" t="s">
        <v>74</v>
      </c>
      <c r="Q873" s="1" t="s">
        <v>74</v>
      </c>
      <c r="R873" s="1" t="s">
        <v>74</v>
      </c>
      <c r="S873" s="1" t="s">
        <v>74</v>
      </c>
      <c r="T873" s="1" t="s">
        <v>74</v>
      </c>
      <c r="U873" s="1" t="s">
        <v>74</v>
      </c>
      <c r="V873" s="1" t="s">
        <v>8703</v>
      </c>
      <c r="W873" s="1" t="s">
        <v>74</v>
      </c>
      <c r="X873" s="1" t="s">
        <v>74</v>
      </c>
      <c r="Y873" s="1" t="s">
        <v>74</v>
      </c>
      <c r="Z873" s="1" t="s">
        <v>74</v>
      </c>
      <c r="AA873" s="1" t="s">
        <v>8704</v>
      </c>
      <c r="AB873" s="1" t="s">
        <v>8705</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6500</v>
      </c>
      <c r="AP873" s="1" t="s">
        <v>74</v>
      </c>
      <c r="AQ873" s="1" t="s">
        <v>74</v>
      </c>
      <c r="AR873" s="1" t="s">
        <v>74</v>
      </c>
      <c r="AS873" s="1" t="s">
        <v>74</v>
      </c>
      <c r="AT873" s="1" t="s">
        <v>74</v>
      </c>
      <c r="AU873" s="1">
        <v>2020.0</v>
      </c>
      <c r="AV873" s="1">
        <v>10.0</v>
      </c>
      <c r="AW873" s="1">
        <v>6.0</v>
      </c>
      <c r="AX873" s="1" t="s">
        <v>74</v>
      </c>
      <c r="AY873" s="1" t="s">
        <v>74</v>
      </c>
      <c r="AZ873" s="1" t="s">
        <v>74</v>
      </c>
      <c r="BA873" s="1" t="s">
        <v>74</v>
      </c>
      <c r="BB873" s="1" t="s">
        <v>74</v>
      </c>
      <c r="BC873" s="1" t="s">
        <v>74</v>
      </c>
      <c r="BD873" s="1" t="s">
        <v>8706</v>
      </c>
      <c r="BE873" s="1" t="s">
        <v>8707</v>
      </c>
      <c r="BF873" s="2" t="str">
        <f>HYPERLINK("http://dx.doi.org/10.1136/bmjopen-2019-036148","http://dx.doi.org/10.1136/bmjopen-2019-036148")</f>
        <v>http://dx.doi.org/10.1136/bmjopen-2019-036148</v>
      </c>
      <c r="BG873" s="1" t="s">
        <v>74</v>
      </c>
      <c r="BH873" s="1" t="s">
        <v>74</v>
      </c>
      <c r="BI873" s="1" t="s">
        <v>74</v>
      </c>
      <c r="BJ873" s="1" t="s">
        <v>74</v>
      </c>
      <c r="BK873" s="1" t="s">
        <v>74</v>
      </c>
      <c r="BL873" s="1" t="s">
        <v>74</v>
      </c>
      <c r="BM873" s="1" t="s">
        <v>74</v>
      </c>
      <c r="BN873" s="1">
        <v>3.2565468E7</v>
      </c>
      <c r="BO873" s="1" t="s">
        <v>74</v>
      </c>
      <c r="BP873" s="1" t="s">
        <v>74</v>
      </c>
      <c r="BQ873" s="1" t="s">
        <v>74</v>
      </c>
      <c r="BR873" s="1" t="s">
        <v>74</v>
      </c>
      <c r="BS873" s="1" t="s">
        <v>8708</v>
      </c>
      <c r="BT873" s="1" t="str">
        <f>HYPERLINK("https%3A%2F%2Fwww.webofscience.com%2Fwos%2Fwoscc%2Ffull-record%2FWOS:000561434500042","View Full Record in Web of Science")</f>
        <v>View Full Record in Web of Science</v>
      </c>
    </row>
    <row r="874" ht="12.75" customHeight="1">
      <c r="A874" s="1" t="s">
        <v>72</v>
      </c>
      <c r="B874" s="1" t="s">
        <v>8709</v>
      </c>
      <c r="C874" s="1" t="s">
        <v>74</v>
      </c>
      <c r="D874" s="1" t="s">
        <v>74</v>
      </c>
      <c r="E874" s="1" t="s">
        <v>74</v>
      </c>
      <c r="F874" s="1" t="s">
        <v>8710</v>
      </c>
      <c r="G874" s="1" t="s">
        <v>74</v>
      </c>
      <c r="H874" s="1" t="s">
        <v>74</v>
      </c>
      <c r="I874" s="1" t="s">
        <v>8711</v>
      </c>
      <c r="J874" s="1" t="s">
        <v>5966</v>
      </c>
      <c r="K874" s="1" t="s">
        <v>74</v>
      </c>
      <c r="L874" s="1" t="s">
        <v>74</v>
      </c>
      <c r="M874" s="1" t="s">
        <v>74</v>
      </c>
      <c r="N874" s="1" t="s">
        <v>74</v>
      </c>
      <c r="O874" s="1" t="s">
        <v>74</v>
      </c>
      <c r="P874" s="1" t="s">
        <v>74</v>
      </c>
      <c r="Q874" s="1" t="s">
        <v>74</v>
      </c>
      <c r="R874" s="1" t="s">
        <v>74</v>
      </c>
      <c r="S874" s="1" t="s">
        <v>74</v>
      </c>
      <c r="T874" s="1" t="s">
        <v>74</v>
      </c>
      <c r="U874" s="1" t="s">
        <v>74</v>
      </c>
      <c r="V874" s="1" t="s">
        <v>8712</v>
      </c>
      <c r="W874" s="1" t="s">
        <v>74</v>
      </c>
      <c r="X874" s="1" t="s">
        <v>74</v>
      </c>
      <c r="Y874" s="1" t="s">
        <v>74</v>
      </c>
      <c r="Z874" s="1" t="s">
        <v>74</v>
      </c>
      <c r="AA874" s="1" t="s">
        <v>8713</v>
      </c>
      <c r="AB874" s="1" t="s">
        <v>8714</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5969</v>
      </c>
      <c r="AP874" s="1" t="s">
        <v>5970</v>
      </c>
      <c r="AQ874" s="1" t="s">
        <v>74</v>
      </c>
      <c r="AR874" s="1" t="s">
        <v>74</v>
      </c>
      <c r="AS874" s="1" t="s">
        <v>74</v>
      </c>
      <c r="AT874" s="1" t="s">
        <v>3269</v>
      </c>
      <c r="AU874" s="1">
        <v>2019.0</v>
      </c>
      <c r="AV874" s="1">
        <v>80.0</v>
      </c>
      <c r="AW874" s="1">
        <v>7.0</v>
      </c>
      <c r="AX874" s="1" t="s">
        <v>74</v>
      </c>
      <c r="AY874" s="1" t="s">
        <v>74</v>
      </c>
      <c r="AZ874" s="1" t="s">
        <v>74</v>
      </c>
      <c r="BA874" s="1" t="s">
        <v>74</v>
      </c>
      <c r="BB874" s="1">
        <v>1384.0</v>
      </c>
      <c r="BC874" s="1">
        <v>1391.0</v>
      </c>
      <c r="BD874" s="1" t="s">
        <v>74</v>
      </c>
      <c r="BE874" s="1" t="s">
        <v>8715</v>
      </c>
      <c r="BF874" s="2" t="str">
        <f>HYPERLINK("http://dx.doi.org/10.2166/wst.2019.391","http://dx.doi.org/10.2166/wst.2019.391")</f>
        <v>http://dx.doi.org/10.2166/wst.2019.391</v>
      </c>
      <c r="BG874" s="1" t="s">
        <v>74</v>
      </c>
      <c r="BH874" s="1" t="s">
        <v>74</v>
      </c>
      <c r="BI874" s="1" t="s">
        <v>74</v>
      </c>
      <c r="BJ874" s="1" t="s">
        <v>74</v>
      </c>
      <c r="BK874" s="1" t="s">
        <v>74</v>
      </c>
      <c r="BL874" s="1" t="s">
        <v>74</v>
      </c>
      <c r="BM874" s="1" t="s">
        <v>74</v>
      </c>
      <c r="BN874" s="1">
        <v>3.185089E7</v>
      </c>
      <c r="BO874" s="1" t="s">
        <v>74</v>
      </c>
      <c r="BP874" s="1" t="s">
        <v>74</v>
      </c>
      <c r="BQ874" s="1" t="s">
        <v>74</v>
      </c>
      <c r="BR874" s="1" t="s">
        <v>74</v>
      </c>
      <c r="BS874" s="1" t="s">
        <v>8716</v>
      </c>
      <c r="BT874" s="1" t="str">
        <f>HYPERLINK("https%3A%2F%2Fwww.webofscience.com%2Fwos%2Fwoscc%2Ffull-record%2FWOS:000503485300018","View Full Record in Web of Science")</f>
        <v>View Full Record in Web of Science</v>
      </c>
    </row>
    <row r="875" ht="12.75" customHeight="1">
      <c r="A875" s="1" t="s">
        <v>72</v>
      </c>
      <c r="B875" s="1" t="s">
        <v>8717</v>
      </c>
      <c r="C875" s="1" t="s">
        <v>74</v>
      </c>
      <c r="D875" s="1" t="s">
        <v>74</v>
      </c>
      <c r="E875" s="1" t="s">
        <v>74</v>
      </c>
      <c r="F875" s="1" t="s">
        <v>8718</v>
      </c>
      <c r="G875" s="1" t="s">
        <v>74</v>
      </c>
      <c r="H875" s="1" t="s">
        <v>74</v>
      </c>
      <c r="I875" s="1" t="s">
        <v>8719</v>
      </c>
      <c r="J875" s="1" t="s">
        <v>2789</v>
      </c>
      <c r="K875" s="1" t="s">
        <v>74</v>
      </c>
      <c r="L875" s="1" t="s">
        <v>74</v>
      </c>
      <c r="M875" s="1" t="s">
        <v>74</v>
      </c>
      <c r="N875" s="1" t="s">
        <v>74</v>
      </c>
      <c r="O875" s="1" t="s">
        <v>74</v>
      </c>
      <c r="P875" s="1" t="s">
        <v>74</v>
      </c>
      <c r="Q875" s="1" t="s">
        <v>74</v>
      </c>
      <c r="R875" s="1" t="s">
        <v>74</v>
      </c>
      <c r="S875" s="1" t="s">
        <v>74</v>
      </c>
      <c r="T875" s="1" t="s">
        <v>74</v>
      </c>
      <c r="U875" s="1" t="s">
        <v>74</v>
      </c>
      <c r="V875" s="1" t="s">
        <v>8720</v>
      </c>
      <c r="W875" s="1" t="s">
        <v>74</v>
      </c>
      <c r="X875" s="1" t="s">
        <v>74</v>
      </c>
      <c r="Y875" s="1" t="s">
        <v>74</v>
      </c>
      <c r="Z875" s="1" t="s">
        <v>74</v>
      </c>
      <c r="AA875" s="1" t="s">
        <v>8721</v>
      </c>
      <c r="AB875" s="1" t="s">
        <v>8722</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2793</v>
      </c>
      <c r="AP875" s="1" t="s">
        <v>8054</v>
      </c>
      <c r="AQ875" s="1" t="s">
        <v>74</v>
      </c>
      <c r="AR875" s="1" t="s">
        <v>74</v>
      </c>
      <c r="AS875" s="1" t="s">
        <v>74</v>
      </c>
      <c r="AT875" s="1" t="s">
        <v>8723</v>
      </c>
      <c r="AU875" s="1">
        <v>2019.0</v>
      </c>
      <c r="AV875" s="1">
        <v>115.0</v>
      </c>
      <c r="AW875" s="1">
        <v>8.0</v>
      </c>
      <c r="AX875" s="1" t="s">
        <v>74</v>
      </c>
      <c r="AY875" s="1" t="s">
        <v>74</v>
      </c>
      <c r="AZ875" s="1" t="s">
        <v>74</v>
      </c>
      <c r="BA875" s="1" t="s">
        <v>74</v>
      </c>
      <c r="BB875" s="1" t="s">
        <v>74</v>
      </c>
      <c r="BC875" s="1" t="s">
        <v>74</v>
      </c>
      <c r="BD875" s="1">
        <v>82405.0</v>
      </c>
      <c r="BE875" s="1" t="s">
        <v>8724</v>
      </c>
      <c r="BF875" s="2" t="str">
        <f>HYPERLINK("http://dx.doi.org/10.1063/1.5099898","http://dx.doi.org/10.1063/1.5099898")</f>
        <v>http://dx.doi.org/10.1063/1.5099898</v>
      </c>
      <c r="BG875" s="1" t="s">
        <v>74</v>
      </c>
      <c r="BH875" s="1" t="s">
        <v>74</v>
      </c>
      <c r="BI875" s="1" t="s">
        <v>74</v>
      </c>
      <c r="BJ875" s="1" t="s">
        <v>74</v>
      </c>
      <c r="BK875" s="1" t="s">
        <v>74</v>
      </c>
      <c r="BL875" s="1" t="s">
        <v>74</v>
      </c>
      <c r="BM875" s="1" t="s">
        <v>74</v>
      </c>
      <c r="BN875" s="1" t="s">
        <v>74</v>
      </c>
      <c r="BO875" s="1" t="s">
        <v>74</v>
      </c>
      <c r="BP875" s="1" t="s">
        <v>74</v>
      </c>
      <c r="BQ875" s="1" t="s">
        <v>74</v>
      </c>
      <c r="BR875" s="1" t="s">
        <v>74</v>
      </c>
      <c r="BS875" s="1" t="s">
        <v>8725</v>
      </c>
      <c r="BT875" s="1" t="str">
        <f>HYPERLINK("https%3A%2F%2Fwww.webofscience.com%2Fwos%2Fwoscc%2Ffull-record%2FWOS:000482474300010","View Full Record in Web of Science")</f>
        <v>View Full Record in Web of Science</v>
      </c>
    </row>
    <row r="876" ht="12.75" customHeight="1">
      <c r="A876" s="1" t="s">
        <v>72</v>
      </c>
      <c r="B876" s="1" t="s">
        <v>8726</v>
      </c>
      <c r="C876" s="1" t="s">
        <v>74</v>
      </c>
      <c r="D876" s="1" t="s">
        <v>74</v>
      </c>
      <c r="E876" s="1" t="s">
        <v>74</v>
      </c>
      <c r="F876" s="1" t="s">
        <v>8727</v>
      </c>
      <c r="G876" s="1" t="s">
        <v>74</v>
      </c>
      <c r="H876" s="1" t="s">
        <v>74</v>
      </c>
      <c r="I876" s="1" t="s">
        <v>8728</v>
      </c>
      <c r="J876" s="1" t="s">
        <v>8729</v>
      </c>
      <c r="K876" s="1" t="s">
        <v>74</v>
      </c>
      <c r="L876" s="1" t="s">
        <v>74</v>
      </c>
      <c r="M876" s="1" t="s">
        <v>74</v>
      </c>
      <c r="N876" s="1" t="s">
        <v>74</v>
      </c>
      <c r="O876" s="1" t="s">
        <v>74</v>
      </c>
      <c r="P876" s="1" t="s">
        <v>74</v>
      </c>
      <c r="Q876" s="1" t="s">
        <v>74</v>
      </c>
      <c r="R876" s="1" t="s">
        <v>74</v>
      </c>
      <c r="S876" s="1" t="s">
        <v>74</v>
      </c>
      <c r="T876" s="1" t="s">
        <v>74</v>
      </c>
      <c r="U876" s="1" t="s">
        <v>74</v>
      </c>
      <c r="V876" s="1" t="s">
        <v>8730</v>
      </c>
      <c r="W876" s="1" t="s">
        <v>74</v>
      </c>
      <c r="X876" s="1" t="s">
        <v>74</v>
      </c>
      <c r="Y876" s="1" t="s">
        <v>74</v>
      </c>
      <c r="Z876" s="1" t="s">
        <v>74</v>
      </c>
      <c r="AA876" s="1" t="s">
        <v>74</v>
      </c>
      <c r="AB876" s="1" t="s">
        <v>8731</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8732</v>
      </c>
      <c r="AP876" s="1" t="s">
        <v>8733</v>
      </c>
      <c r="AQ876" s="1" t="s">
        <v>74</v>
      </c>
      <c r="AR876" s="1" t="s">
        <v>74</v>
      </c>
      <c r="AS876" s="1" t="s">
        <v>74</v>
      </c>
      <c r="AT876" s="1" t="s">
        <v>2604</v>
      </c>
      <c r="AU876" s="1">
        <v>2019.0</v>
      </c>
      <c r="AV876" s="1">
        <v>47.0</v>
      </c>
      <c r="AW876" s="1">
        <v>4.0</v>
      </c>
      <c r="AX876" s="1" t="s">
        <v>74</v>
      </c>
      <c r="AY876" s="1" t="s">
        <v>74</v>
      </c>
      <c r="AZ876" s="1" t="s">
        <v>74</v>
      </c>
      <c r="BA876" s="1" t="s">
        <v>74</v>
      </c>
      <c r="BB876" s="1">
        <v>313.0</v>
      </c>
      <c r="BC876" s="1">
        <v>321.0</v>
      </c>
      <c r="BD876" s="1" t="s">
        <v>74</v>
      </c>
      <c r="BE876" s="1" t="s">
        <v>8734</v>
      </c>
      <c r="BF876" s="2" t="str">
        <f>HYPERLINK("http://dx.doi.org/10.1016/j.aller.2018.10.001","http://dx.doi.org/10.1016/j.aller.2018.10.001")</f>
        <v>http://dx.doi.org/10.1016/j.aller.2018.10.001</v>
      </c>
      <c r="BG876" s="1" t="s">
        <v>74</v>
      </c>
      <c r="BH876" s="1" t="s">
        <v>74</v>
      </c>
      <c r="BI876" s="1" t="s">
        <v>74</v>
      </c>
      <c r="BJ876" s="1" t="s">
        <v>74</v>
      </c>
      <c r="BK876" s="1" t="s">
        <v>74</v>
      </c>
      <c r="BL876" s="1" t="s">
        <v>74</v>
      </c>
      <c r="BM876" s="1" t="s">
        <v>74</v>
      </c>
      <c r="BN876" s="1">
        <v>3.0503672E7</v>
      </c>
      <c r="BO876" s="1" t="s">
        <v>74</v>
      </c>
      <c r="BP876" s="1" t="s">
        <v>74</v>
      </c>
      <c r="BQ876" s="1" t="s">
        <v>74</v>
      </c>
      <c r="BR876" s="1" t="s">
        <v>74</v>
      </c>
      <c r="BS876" s="1" t="s">
        <v>8735</v>
      </c>
      <c r="BT876" s="1" t="str">
        <f>HYPERLINK("https%3A%2F%2Fwww.webofscience.com%2Fwos%2Fwoscc%2Ffull-record%2FWOS:000476694100002","View Full Record in Web of Science")</f>
        <v>View Full Record in Web of Science</v>
      </c>
    </row>
    <row r="877" ht="12.75" customHeight="1">
      <c r="A877" s="1" t="s">
        <v>72</v>
      </c>
      <c r="B877" s="1" t="s">
        <v>8736</v>
      </c>
      <c r="C877" s="1" t="s">
        <v>74</v>
      </c>
      <c r="D877" s="1" t="s">
        <v>74</v>
      </c>
      <c r="E877" s="1" t="s">
        <v>74</v>
      </c>
      <c r="F877" s="1" t="s">
        <v>8737</v>
      </c>
      <c r="G877" s="1" t="s">
        <v>74</v>
      </c>
      <c r="H877" s="1" t="s">
        <v>74</v>
      </c>
      <c r="I877" s="1" t="s">
        <v>8738</v>
      </c>
      <c r="J877" s="1" t="s">
        <v>3805</v>
      </c>
      <c r="K877" s="1" t="s">
        <v>74</v>
      </c>
      <c r="L877" s="1" t="s">
        <v>74</v>
      </c>
      <c r="M877" s="1" t="s">
        <v>74</v>
      </c>
      <c r="N877" s="1" t="s">
        <v>74</v>
      </c>
      <c r="O877" s="1" t="s">
        <v>74</v>
      </c>
      <c r="P877" s="1" t="s">
        <v>74</v>
      </c>
      <c r="Q877" s="1" t="s">
        <v>74</v>
      </c>
      <c r="R877" s="1" t="s">
        <v>74</v>
      </c>
      <c r="S877" s="1" t="s">
        <v>74</v>
      </c>
      <c r="T877" s="1" t="s">
        <v>74</v>
      </c>
      <c r="U877" s="1" t="s">
        <v>74</v>
      </c>
      <c r="V877" s="1" t="s">
        <v>8739</v>
      </c>
      <c r="W877" s="1" t="s">
        <v>74</v>
      </c>
      <c r="X877" s="1" t="s">
        <v>74</v>
      </c>
      <c r="Y877" s="1" t="s">
        <v>74</v>
      </c>
      <c r="Z877" s="1" t="s">
        <v>74</v>
      </c>
      <c r="AA877" s="1" t="s">
        <v>8740</v>
      </c>
      <c r="AB877" s="1" t="s">
        <v>74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3809</v>
      </c>
      <c r="AP877" s="1" t="s">
        <v>3810</v>
      </c>
      <c r="AQ877" s="1" t="s">
        <v>74</v>
      </c>
      <c r="AR877" s="1" t="s">
        <v>74</v>
      </c>
      <c r="AS877" s="1" t="s">
        <v>74</v>
      </c>
      <c r="AT877" s="1" t="s">
        <v>4433</v>
      </c>
      <c r="AU877" s="1">
        <v>2016.0</v>
      </c>
      <c r="AV877" s="1">
        <v>33.0</v>
      </c>
      <c r="AW877" s="1">
        <v>2.0</v>
      </c>
      <c r="AX877" s="1" t="s">
        <v>74</v>
      </c>
      <c r="AY877" s="1" t="s">
        <v>74</v>
      </c>
      <c r="AZ877" s="1" t="s">
        <v>74</v>
      </c>
      <c r="BA877" s="1" t="s">
        <v>74</v>
      </c>
      <c r="BB877" s="1">
        <v>401.0</v>
      </c>
      <c r="BC877" s="1">
        <v>404.0</v>
      </c>
      <c r="BD877" s="1" t="s">
        <v>74</v>
      </c>
      <c r="BE877" s="1" t="s">
        <v>74</v>
      </c>
      <c r="BF877" s="1" t="s">
        <v>74</v>
      </c>
      <c r="BG877" s="1" t="s">
        <v>74</v>
      </c>
      <c r="BH877" s="1" t="s">
        <v>74</v>
      </c>
      <c r="BI877" s="1" t="s">
        <v>74</v>
      </c>
      <c r="BJ877" s="1" t="s">
        <v>74</v>
      </c>
      <c r="BK877" s="1" t="s">
        <v>74</v>
      </c>
      <c r="BL877" s="1" t="s">
        <v>74</v>
      </c>
      <c r="BM877" s="1" t="s">
        <v>74</v>
      </c>
      <c r="BN877" s="1" t="s">
        <v>74</v>
      </c>
      <c r="BO877" s="1" t="s">
        <v>74</v>
      </c>
      <c r="BP877" s="1" t="s">
        <v>74</v>
      </c>
      <c r="BQ877" s="1" t="s">
        <v>74</v>
      </c>
      <c r="BR877" s="1" t="s">
        <v>74</v>
      </c>
      <c r="BS877" s="1" t="s">
        <v>8741</v>
      </c>
      <c r="BT877" s="1" t="str">
        <f>HYPERLINK("https%3A%2F%2Fwww.webofscience.com%2Fwos%2Fwoscc%2Ffull-record%2FWOS:000378466100034","View Full Record in Web of Science")</f>
        <v>View Full Record in Web of Science</v>
      </c>
    </row>
    <row r="878" ht="12.75" customHeight="1">
      <c r="A878" s="1" t="s">
        <v>72</v>
      </c>
      <c r="B878" s="1" t="s">
        <v>8742</v>
      </c>
      <c r="C878" s="1" t="s">
        <v>74</v>
      </c>
      <c r="D878" s="1" t="s">
        <v>74</v>
      </c>
      <c r="E878" s="1" t="s">
        <v>74</v>
      </c>
      <c r="F878" s="1" t="s">
        <v>8743</v>
      </c>
      <c r="G878" s="1" t="s">
        <v>74</v>
      </c>
      <c r="H878" s="1" t="s">
        <v>74</v>
      </c>
      <c r="I878" s="1" t="s">
        <v>8744</v>
      </c>
      <c r="J878" s="1" t="s">
        <v>2460</v>
      </c>
      <c r="K878" s="1" t="s">
        <v>74</v>
      </c>
      <c r="L878" s="1" t="s">
        <v>74</v>
      </c>
      <c r="M878" s="1" t="s">
        <v>74</v>
      </c>
      <c r="N878" s="1" t="s">
        <v>74</v>
      </c>
      <c r="O878" s="1" t="s">
        <v>74</v>
      </c>
      <c r="P878" s="1" t="s">
        <v>74</v>
      </c>
      <c r="Q878" s="1" t="s">
        <v>74</v>
      </c>
      <c r="R878" s="1" t="s">
        <v>74</v>
      </c>
      <c r="S878" s="1" t="s">
        <v>74</v>
      </c>
      <c r="T878" s="1" t="s">
        <v>74</v>
      </c>
      <c r="U878" s="1" t="s">
        <v>74</v>
      </c>
      <c r="V878" s="1" t="s">
        <v>8745</v>
      </c>
      <c r="W878" s="1" t="s">
        <v>74</v>
      </c>
      <c r="X878" s="1" t="s">
        <v>74</v>
      </c>
      <c r="Y878" s="1" t="s">
        <v>74</v>
      </c>
      <c r="Z878" s="1" t="s">
        <v>74</v>
      </c>
      <c r="AA878" s="1" t="s">
        <v>74</v>
      </c>
      <c r="AB878" s="1" t="s">
        <v>8746</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2464</v>
      </c>
      <c r="AP878" s="1" t="s">
        <v>2465</v>
      </c>
      <c r="AQ878" s="1" t="s">
        <v>74</v>
      </c>
      <c r="AR878" s="1" t="s">
        <v>74</v>
      </c>
      <c r="AS878" s="1" t="s">
        <v>74</v>
      </c>
      <c r="AT878" s="1" t="s">
        <v>1279</v>
      </c>
      <c r="AU878" s="1">
        <v>2015.0</v>
      </c>
      <c r="AV878" s="1">
        <v>143.0</v>
      </c>
      <c r="AW878" s="1">
        <v>4.0</v>
      </c>
      <c r="AX878" s="1" t="s">
        <v>74</v>
      </c>
      <c r="AY878" s="1" t="s">
        <v>74</v>
      </c>
      <c r="AZ878" s="1" t="s">
        <v>74</v>
      </c>
      <c r="BA878" s="1" t="s">
        <v>74</v>
      </c>
      <c r="BB878" s="1">
        <v>467.0</v>
      </c>
      <c r="BC878" s="1">
        <v>474.0</v>
      </c>
      <c r="BD878" s="1" t="s">
        <v>74</v>
      </c>
      <c r="BE878" s="1" t="s">
        <v>8747</v>
      </c>
      <c r="BF878" s="2" t="str">
        <f>HYPERLINK("http://dx.doi.org/10.4067/S0034-98872015000400008","http://dx.doi.org/10.4067/S0034-98872015000400008")</f>
        <v>http://dx.doi.org/10.4067/S0034-98872015000400008</v>
      </c>
      <c r="BG878" s="1" t="s">
        <v>74</v>
      </c>
      <c r="BH878" s="1" t="s">
        <v>74</v>
      </c>
      <c r="BI878" s="1" t="s">
        <v>74</v>
      </c>
      <c r="BJ878" s="1" t="s">
        <v>74</v>
      </c>
      <c r="BK878" s="1" t="s">
        <v>74</v>
      </c>
      <c r="BL878" s="1" t="s">
        <v>74</v>
      </c>
      <c r="BM878" s="1" t="s">
        <v>74</v>
      </c>
      <c r="BN878" s="1">
        <v>2.6204538E7</v>
      </c>
      <c r="BO878" s="1" t="s">
        <v>74</v>
      </c>
      <c r="BP878" s="1" t="s">
        <v>74</v>
      </c>
      <c r="BQ878" s="1" t="s">
        <v>74</v>
      </c>
      <c r="BR878" s="1" t="s">
        <v>74</v>
      </c>
      <c r="BS878" s="1" t="s">
        <v>8748</v>
      </c>
      <c r="BT878" s="1" t="str">
        <f>HYPERLINK("https%3A%2F%2Fwww.webofscience.com%2Fwos%2Fwoscc%2Ffull-record%2FWOS:000354661300008","View Full Record in Web of Science")</f>
        <v>View Full Record in Web of Science</v>
      </c>
    </row>
    <row r="879" ht="12.75" customHeight="1">
      <c r="A879" s="1" t="s">
        <v>72</v>
      </c>
      <c r="B879" s="1" t="s">
        <v>8749</v>
      </c>
      <c r="C879" s="1" t="s">
        <v>74</v>
      </c>
      <c r="D879" s="1" t="s">
        <v>74</v>
      </c>
      <c r="E879" s="1" t="s">
        <v>74</v>
      </c>
      <c r="F879" s="1" t="s">
        <v>8750</v>
      </c>
      <c r="G879" s="1" t="s">
        <v>74</v>
      </c>
      <c r="H879" s="1" t="s">
        <v>74</v>
      </c>
      <c r="I879" s="1" t="s">
        <v>8751</v>
      </c>
      <c r="J879" s="1" t="s">
        <v>4471</v>
      </c>
      <c r="K879" s="1" t="s">
        <v>74</v>
      </c>
      <c r="L879" s="1" t="s">
        <v>74</v>
      </c>
      <c r="M879" s="1" t="s">
        <v>74</v>
      </c>
      <c r="N879" s="1" t="s">
        <v>74</v>
      </c>
      <c r="O879" s="1" t="s">
        <v>74</v>
      </c>
      <c r="P879" s="1" t="s">
        <v>74</v>
      </c>
      <c r="Q879" s="1" t="s">
        <v>74</v>
      </c>
      <c r="R879" s="1" t="s">
        <v>74</v>
      </c>
      <c r="S879" s="1" t="s">
        <v>74</v>
      </c>
      <c r="T879" s="1" t="s">
        <v>74</v>
      </c>
      <c r="U879" s="1" t="s">
        <v>74</v>
      </c>
      <c r="V879" s="1" t="s">
        <v>8752</v>
      </c>
      <c r="W879" s="1" t="s">
        <v>74</v>
      </c>
      <c r="X879" s="1" t="s">
        <v>74</v>
      </c>
      <c r="Y879" s="1" t="s">
        <v>74</v>
      </c>
      <c r="Z879" s="1" t="s">
        <v>74</v>
      </c>
      <c r="AA879" s="1" t="s">
        <v>8753</v>
      </c>
      <c r="AB879" s="1" t="s">
        <v>8754</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4475</v>
      </c>
      <c r="AP879" s="1" t="s">
        <v>4476</v>
      </c>
      <c r="AQ879" s="1" t="s">
        <v>74</v>
      </c>
      <c r="AR879" s="1" t="s">
        <v>74</v>
      </c>
      <c r="AS879" s="1" t="s">
        <v>74</v>
      </c>
      <c r="AT879" s="1" t="s">
        <v>271</v>
      </c>
      <c r="AU879" s="1">
        <v>2014.0</v>
      </c>
      <c r="AV879" s="1">
        <v>58.0</v>
      </c>
      <c r="AW879" s="1">
        <v>1.0</v>
      </c>
      <c r="AX879" s="1" t="s">
        <v>74</v>
      </c>
      <c r="AY879" s="1" t="s">
        <v>74</v>
      </c>
      <c r="AZ879" s="1" t="s">
        <v>74</v>
      </c>
      <c r="BA879" s="1" t="s">
        <v>74</v>
      </c>
      <c r="BB879" s="1">
        <v>158.0</v>
      </c>
      <c r="BC879" s="1">
        <v>165.0</v>
      </c>
      <c r="BD879" s="1" t="s">
        <v>74</v>
      </c>
      <c r="BE879" s="1" t="s">
        <v>8755</v>
      </c>
      <c r="BF879" s="2" t="str">
        <f>HYPERLINK("http://dx.doi.org/10.1016/j.lwt.2014.02.034","http://dx.doi.org/10.1016/j.lwt.2014.02.034")</f>
        <v>http://dx.doi.org/10.1016/j.lwt.2014.02.034</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8756</v>
      </c>
      <c r="BT879" s="1" t="str">
        <f>HYPERLINK("https%3A%2F%2Fwww.webofscience.com%2Fwos%2Fwoscc%2Ffull-record%2FWOS:000335619100021","View Full Record in Web of Science")</f>
        <v>View Full Record in Web of Science</v>
      </c>
    </row>
    <row r="880" ht="12.75" customHeight="1">
      <c r="A880" s="1" t="s">
        <v>72</v>
      </c>
      <c r="B880" s="1" t="s">
        <v>8757</v>
      </c>
      <c r="C880" s="1" t="s">
        <v>74</v>
      </c>
      <c r="D880" s="1" t="s">
        <v>74</v>
      </c>
      <c r="E880" s="1" t="s">
        <v>74</v>
      </c>
      <c r="F880" s="1" t="s">
        <v>8758</v>
      </c>
      <c r="G880" s="1" t="s">
        <v>74</v>
      </c>
      <c r="H880" s="1" t="s">
        <v>74</v>
      </c>
      <c r="I880" s="1" t="s">
        <v>8759</v>
      </c>
      <c r="J880" s="1" t="s">
        <v>5601</v>
      </c>
      <c r="K880" s="1" t="s">
        <v>74</v>
      </c>
      <c r="L880" s="1" t="s">
        <v>74</v>
      </c>
      <c r="M880" s="1" t="s">
        <v>74</v>
      </c>
      <c r="N880" s="1" t="s">
        <v>74</v>
      </c>
      <c r="O880" s="1" t="s">
        <v>74</v>
      </c>
      <c r="P880" s="1" t="s">
        <v>74</v>
      </c>
      <c r="Q880" s="1" t="s">
        <v>74</v>
      </c>
      <c r="R880" s="1" t="s">
        <v>74</v>
      </c>
      <c r="S880" s="1" t="s">
        <v>74</v>
      </c>
      <c r="T880" s="1" t="s">
        <v>74</v>
      </c>
      <c r="U880" s="1" t="s">
        <v>74</v>
      </c>
      <c r="V880" s="1" t="s">
        <v>8760</v>
      </c>
      <c r="W880" s="1" t="s">
        <v>74</v>
      </c>
      <c r="X880" s="1" t="s">
        <v>74</v>
      </c>
      <c r="Y880" s="1" t="s">
        <v>74</v>
      </c>
      <c r="Z880" s="1" t="s">
        <v>74</v>
      </c>
      <c r="AA880" s="1" t="s">
        <v>8761</v>
      </c>
      <c r="AB880" s="1" t="s">
        <v>8762</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5605</v>
      </c>
      <c r="AP880" s="1" t="s">
        <v>5606</v>
      </c>
      <c r="AQ880" s="1" t="s">
        <v>74</v>
      </c>
      <c r="AR880" s="1" t="s">
        <v>74</v>
      </c>
      <c r="AS880" s="1" t="s">
        <v>74</v>
      </c>
      <c r="AT880" s="1" t="s">
        <v>1816</v>
      </c>
      <c r="AU880" s="1">
        <v>2012.0</v>
      </c>
      <c r="AV880" s="1">
        <v>85.0</v>
      </c>
      <c r="AW880" s="1">
        <v>3.0</v>
      </c>
      <c r="AX880" s="1" t="s">
        <v>74</v>
      </c>
      <c r="AY880" s="1" t="s">
        <v>74</v>
      </c>
      <c r="AZ880" s="1" t="s">
        <v>74</v>
      </c>
      <c r="BA880" s="1" t="s">
        <v>74</v>
      </c>
      <c r="BB880" s="1" t="s">
        <v>74</v>
      </c>
      <c r="BC880" s="1" t="s">
        <v>74</v>
      </c>
      <c r="BD880" s="1">
        <v>32319.0</v>
      </c>
      <c r="BE880" s="1" t="s">
        <v>8763</v>
      </c>
      <c r="BF880" s="2" t="str">
        <f>HYPERLINK("http://dx.doi.org/10.1103/PhysRevA.85.032319","http://dx.doi.org/10.1103/PhysRevA.85.032319")</f>
        <v>http://dx.doi.org/10.1103/PhysRevA.85.032319</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8764</v>
      </c>
      <c r="BT880" s="1" t="str">
        <f>HYPERLINK("https%3A%2F%2Fwww.webofscience.com%2Fwos%2Fwoscc%2Ffull-record%2FWOS:000301571500004","View Full Record in Web of Science")</f>
        <v>View Full Record in Web of Science</v>
      </c>
    </row>
    <row r="881" ht="12.75" customHeight="1">
      <c r="A881" s="1" t="s">
        <v>72</v>
      </c>
      <c r="B881" s="1" t="s">
        <v>8765</v>
      </c>
      <c r="C881" s="1" t="s">
        <v>74</v>
      </c>
      <c r="D881" s="1" t="s">
        <v>74</v>
      </c>
      <c r="E881" s="1" t="s">
        <v>74</v>
      </c>
      <c r="F881" s="1" t="s">
        <v>8766</v>
      </c>
      <c r="G881" s="1" t="s">
        <v>74</v>
      </c>
      <c r="H881" s="1" t="s">
        <v>74</v>
      </c>
      <c r="I881" s="1" t="s">
        <v>8767</v>
      </c>
      <c r="J881" s="1" t="s">
        <v>8768</v>
      </c>
      <c r="K881" s="1" t="s">
        <v>74</v>
      </c>
      <c r="L881" s="1" t="s">
        <v>74</v>
      </c>
      <c r="M881" s="1" t="s">
        <v>74</v>
      </c>
      <c r="N881" s="1" t="s">
        <v>74</v>
      </c>
      <c r="O881" s="1" t="s">
        <v>8769</v>
      </c>
      <c r="P881" s="1" t="s">
        <v>8770</v>
      </c>
      <c r="Q881" s="1" t="s">
        <v>8771</v>
      </c>
      <c r="R881" s="1" t="s">
        <v>74</v>
      </c>
      <c r="S881" s="1" t="s">
        <v>8772</v>
      </c>
      <c r="T881" s="1" t="s">
        <v>74</v>
      </c>
      <c r="U881" s="1" t="s">
        <v>74</v>
      </c>
      <c r="V881" s="1" t="s">
        <v>8773</v>
      </c>
      <c r="W881" s="1" t="s">
        <v>74</v>
      </c>
      <c r="X881" s="1" t="s">
        <v>74</v>
      </c>
      <c r="Y881" s="1" t="s">
        <v>74</v>
      </c>
      <c r="Z881" s="1" t="s">
        <v>74</v>
      </c>
      <c r="AA881" s="1" t="s">
        <v>8774</v>
      </c>
      <c r="AB881" s="1" t="s">
        <v>8775</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8776</v>
      </c>
      <c r="AP881" s="1" t="s">
        <v>74</v>
      </c>
      <c r="AQ881" s="1" t="s">
        <v>74</v>
      </c>
      <c r="AR881" s="1" t="s">
        <v>74</v>
      </c>
      <c r="AS881" s="1" t="s">
        <v>74</v>
      </c>
      <c r="AT881" s="1" t="s">
        <v>94</v>
      </c>
      <c r="AU881" s="1">
        <v>2011.0</v>
      </c>
      <c r="AV881" s="1">
        <v>47.0</v>
      </c>
      <c r="AW881" s="1" t="s">
        <v>3388</v>
      </c>
      <c r="AX881" s="1" t="s">
        <v>74</v>
      </c>
      <c r="AY881" s="1" t="s">
        <v>74</v>
      </c>
      <c r="AZ881" s="1" t="s">
        <v>74</v>
      </c>
      <c r="BA881" s="1" t="s">
        <v>74</v>
      </c>
      <c r="BB881" s="1">
        <v>205.0</v>
      </c>
      <c r="BC881" s="1">
        <v>246.0</v>
      </c>
      <c r="BD881" s="1" t="s">
        <v>74</v>
      </c>
      <c r="BE881" s="1" t="s">
        <v>8777</v>
      </c>
      <c r="BF881" s="2" t="str">
        <f>HYPERLINK("http://dx.doi.org/10.1007/s00199-010-0556-8","http://dx.doi.org/10.1007/s00199-010-0556-8")</f>
        <v>http://dx.doi.org/10.1007/s00199-010-0556-8</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8778</v>
      </c>
      <c r="BT881" s="1" t="str">
        <f>HYPERLINK("https%3A%2F%2Fwww.webofscience.com%2Fwos%2Fwoscc%2Ffull-record%2FWOS:000290492100002","View Full Record in Web of Science")</f>
        <v>View Full Record in Web of Science</v>
      </c>
    </row>
    <row r="882" ht="12.75" customHeight="1">
      <c r="A882" s="1" t="s">
        <v>72</v>
      </c>
      <c r="B882" s="1" t="s">
        <v>8779</v>
      </c>
      <c r="C882" s="1" t="s">
        <v>74</v>
      </c>
      <c r="D882" s="1" t="s">
        <v>74</v>
      </c>
      <c r="E882" s="1" t="s">
        <v>74</v>
      </c>
      <c r="F882" s="1" t="s">
        <v>8780</v>
      </c>
      <c r="G882" s="1" t="s">
        <v>74</v>
      </c>
      <c r="H882" s="1" t="s">
        <v>74</v>
      </c>
      <c r="I882" s="1" t="s">
        <v>8781</v>
      </c>
      <c r="J882" s="1" t="s">
        <v>8782</v>
      </c>
      <c r="K882" s="1" t="s">
        <v>74</v>
      </c>
      <c r="L882" s="1" t="s">
        <v>74</v>
      </c>
      <c r="M882" s="1" t="s">
        <v>74</v>
      </c>
      <c r="N882" s="1" t="s">
        <v>74</v>
      </c>
      <c r="O882" s="1" t="s">
        <v>8783</v>
      </c>
      <c r="P882" s="1" t="s">
        <v>8784</v>
      </c>
      <c r="Q882" s="1" t="s">
        <v>8785</v>
      </c>
      <c r="R882" s="1" t="s">
        <v>8786</v>
      </c>
      <c r="S882" s="1" t="s">
        <v>74</v>
      </c>
      <c r="T882" s="1" t="s">
        <v>74</v>
      </c>
      <c r="U882" s="1" t="s">
        <v>74</v>
      </c>
      <c r="V882" s="1" t="s">
        <v>74</v>
      </c>
      <c r="W882" s="1" t="s">
        <v>74</v>
      </c>
      <c r="X882" s="1" t="s">
        <v>74</v>
      </c>
      <c r="Y882" s="1" t="s">
        <v>74</v>
      </c>
      <c r="Z882" s="1" t="s">
        <v>74</v>
      </c>
      <c r="AA882" s="1" t="s">
        <v>74</v>
      </c>
      <c r="AB882" s="1" t="s">
        <v>74</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8787</v>
      </c>
      <c r="AP882" s="1" t="s">
        <v>8788</v>
      </c>
      <c r="AQ882" s="1" t="s">
        <v>74</v>
      </c>
      <c r="AR882" s="1" t="s">
        <v>74</v>
      </c>
      <c r="AS882" s="1" t="s">
        <v>74</v>
      </c>
      <c r="AT882" s="1" t="s">
        <v>94</v>
      </c>
      <c r="AU882" s="1">
        <v>2010.0</v>
      </c>
      <c r="AV882" s="1">
        <v>65.0</v>
      </c>
      <c r="AW882" s="1" t="s">
        <v>74</v>
      </c>
      <c r="AX882" s="1" t="s">
        <v>74</v>
      </c>
      <c r="AY882" s="1">
        <v>92.0</v>
      </c>
      <c r="AZ882" s="1" t="s">
        <v>569</v>
      </c>
      <c r="BA882" s="1">
        <v>461.0</v>
      </c>
      <c r="BB882" s="1">
        <v>187.0</v>
      </c>
      <c r="BC882" s="1">
        <v>187.0</v>
      </c>
      <c r="BD882" s="1" t="s">
        <v>74</v>
      </c>
      <c r="BE882" s="1" t="s">
        <v>74</v>
      </c>
      <c r="BF882" s="1" t="s">
        <v>74</v>
      </c>
      <c r="BG882" s="1" t="s">
        <v>74</v>
      </c>
      <c r="BH882" s="1" t="s">
        <v>74</v>
      </c>
      <c r="BI882" s="1" t="s">
        <v>74</v>
      </c>
      <c r="BJ882" s="1" t="s">
        <v>74</v>
      </c>
      <c r="BK882" s="1" t="s">
        <v>74</v>
      </c>
      <c r="BL882" s="1" t="s">
        <v>74</v>
      </c>
      <c r="BM882" s="1" t="s">
        <v>74</v>
      </c>
      <c r="BN882" s="1" t="s">
        <v>74</v>
      </c>
      <c r="BO882" s="1" t="s">
        <v>74</v>
      </c>
      <c r="BP882" s="1" t="s">
        <v>74</v>
      </c>
      <c r="BQ882" s="1" t="s">
        <v>74</v>
      </c>
      <c r="BR882" s="1" t="s">
        <v>74</v>
      </c>
      <c r="BS882" s="1" t="s">
        <v>8789</v>
      </c>
      <c r="BT882" s="1" t="str">
        <f>HYPERLINK("https%3A%2F%2Fwww.webofscience.com%2Fwos%2Fwoscc%2Ffull-record%2FWOS:000329462100452","View Full Record in Web of Science")</f>
        <v>View Full Record in Web of Science</v>
      </c>
    </row>
    <row r="883" ht="12.75" customHeight="1">
      <c r="A883" s="1" t="s">
        <v>72</v>
      </c>
      <c r="B883" s="1" t="s">
        <v>8790</v>
      </c>
      <c r="C883" s="1" t="s">
        <v>74</v>
      </c>
      <c r="D883" s="1" t="s">
        <v>74</v>
      </c>
      <c r="E883" s="1" t="s">
        <v>74</v>
      </c>
      <c r="F883" s="1" t="s">
        <v>8791</v>
      </c>
      <c r="G883" s="1" t="s">
        <v>74</v>
      </c>
      <c r="H883" s="1" t="s">
        <v>74</v>
      </c>
      <c r="I883" s="1" t="s">
        <v>8792</v>
      </c>
      <c r="J883" s="1" t="s">
        <v>2460</v>
      </c>
      <c r="K883" s="1" t="s">
        <v>74</v>
      </c>
      <c r="L883" s="1" t="s">
        <v>74</v>
      </c>
      <c r="M883" s="1" t="s">
        <v>74</v>
      </c>
      <c r="N883" s="1" t="s">
        <v>74</v>
      </c>
      <c r="O883" s="1" t="s">
        <v>74</v>
      </c>
      <c r="P883" s="1" t="s">
        <v>74</v>
      </c>
      <c r="Q883" s="1" t="s">
        <v>74</v>
      </c>
      <c r="R883" s="1" t="s">
        <v>74</v>
      </c>
      <c r="S883" s="1" t="s">
        <v>74</v>
      </c>
      <c r="T883" s="1" t="s">
        <v>74</v>
      </c>
      <c r="U883" s="1" t="s">
        <v>74</v>
      </c>
      <c r="V883" s="1" t="s">
        <v>8793</v>
      </c>
      <c r="W883" s="1" t="s">
        <v>74</v>
      </c>
      <c r="X883" s="1" t="s">
        <v>74</v>
      </c>
      <c r="Y883" s="1" t="s">
        <v>74</v>
      </c>
      <c r="Z883" s="1" t="s">
        <v>74</v>
      </c>
      <c r="AA883" s="1" t="s">
        <v>74</v>
      </c>
      <c r="AB883" s="1" t="s">
        <v>74</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2464</v>
      </c>
      <c r="AP883" s="1" t="s">
        <v>2465</v>
      </c>
      <c r="AQ883" s="1" t="s">
        <v>74</v>
      </c>
      <c r="AR883" s="1" t="s">
        <v>74</v>
      </c>
      <c r="AS883" s="1" t="s">
        <v>74</v>
      </c>
      <c r="AT883" s="1" t="s">
        <v>271</v>
      </c>
      <c r="AU883" s="1">
        <v>2006.0</v>
      </c>
      <c r="AV883" s="1">
        <v>134.0</v>
      </c>
      <c r="AW883" s="1">
        <v>9.0</v>
      </c>
      <c r="AX883" s="1" t="s">
        <v>74</v>
      </c>
      <c r="AY883" s="1" t="s">
        <v>74</v>
      </c>
      <c r="AZ883" s="1" t="s">
        <v>74</v>
      </c>
      <c r="BA883" s="1" t="s">
        <v>74</v>
      </c>
      <c r="BB883" s="1">
        <v>1129.0</v>
      </c>
      <c r="BC883" s="1">
        <v>1134.0</v>
      </c>
      <c r="BD883" s="1" t="s">
        <v>74</v>
      </c>
      <c r="BE883" s="1" t="s">
        <v>74</v>
      </c>
      <c r="BF883" s="1" t="s">
        <v>74</v>
      </c>
      <c r="BG883" s="1" t="s">
        <v>74</v>
      </c>
      <c r="BH883" s="1" t="s">
        <v>74</v>
      </c>
      <c r="BI883" s="1" t="s">
        <v>74</v>
      </c>
      <c r="BJ883" s="1" t="s">
        <v>74</v>
      </c>
      <c r="BK883" s="1" t="s">
        <v>74</v>
      </c>
      <c r="BL883" s="1" t="s">
        <v>74</v>
      </c>
      <c r="BM883" s="1" t="s">
        <v>74</v>
      </c>
      <c r="BN883" s="1">
        <v>1.7171214E7</v>
      </c>
      <c r="BO883" s="1" t="s">
        <v>74</v>
      </c>
      <c r="BP883" s="1" t="s">
        <v>74</v>
      </c>
      <c r="BQ883" s="1" t="s">
        <v>74</v>
      </c>
      <c r="BR883" s="1" t="s">
        <v>74</v>
      </c>
      <c r="BS883" s="1" t="s">
        <v>8794</v>
      </c>
      <c r="BT883" s="1" t="str">
        <f>HYPERLINK("https%3A%2F%2Fwww.webofscience.com%2Fwos%2Fwoscc%2Ffull-record%2FWOS:000241738800007","View Full Record in Web of Science")</f>
        <v>View Full Record in Web of Science</v>
      </c>
    </row>
    <row r="884" ht="12.75" customHeight="1">
      <c r="A884" s="1" t="s">
        <v>72</v>
      </c>
      <c r="B884" s="1" t="s">
        <v>8795</v>
      </c>
      <c r="C884" s="1" t="s">
        <v>74</v>
      </c>
      <c r="D884" s="1" t="s">
        <v>74</v>
      </c>
      <c r="E884" s="1" t="s">
        <v>74</v>
      </c>
      <c r="F884" s="1" t="s">
        <v>8795</v>
      </c>
      <c r="G884" s="1" t="s">
        <v>74</v>
      </c>
      <c r="H884" s="1" t="s">
        <v>74</v>
      </c>
      <c r="I884" s="1" t="s">
        <v>8796</v>
      </c>
      <c r="J884" s="1" t="s">
        <v>8797</v>
      </c>
      <c r="K884" s="1" t="s">
        <v>74</v>
      </c>
      <c r="L884" s="1" t="s">
        <v>74</v>
      </c>
      <c r="M884" s="1" t="s">
        <v>74</v>
      </c>
      <c r="N884" s="1" t="s">
        <v>74</v>
      </c>
      <c r="O884" s="1" t="s">
        <v>74</v>
      </c>
      <c r="P884" s="1" t="s">
        <v>74</v>
      </c>
      <c r="Q884" s="1" t="s">
        <v>74</v>
      </c>
      <c r="R884" s="1" t="s">
        <v>74</v>
      </c>
      <c r="S884" s="1" t="s">
        <v>74</v>
      </c>
      <c r="T884" s="1" t="s">
        <v>74</v>
      </c>
      <c r="U884" s="1" t="s">
        <v>74</v>
      </c>
      <c r="V884" s="1" t="s">
        <v>8798</v>
      </c>
      <c r="W884" s="1" t="s">
        <v>74</v>
      </c>
      <c r="X884" s="1" t="s">
        <v>74</v>
      </c>
      <c r="Y884" s="1" t="s">
        <v>74</v>
      </c>
      <c r="Z884" s="1" t="s">
        <v>74</v>
      </c>
      <c r="AA884" s="1" t="s">
        <v>8799</v>
      </c>
      <c r="AB884" s="1" t="s">
        <v>8800</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8801</v>
      </c>
      <c r="AP884" s="1" t="s">
        <v>74</v>
      </c>
      <c r="AQ884" s="1" t="s">
        <v>74</v>
      </c>
      <c r="AR884" s="1" t="s">
        <v>74</v>
      </c>
      <c r="AS884" s="1" t="s">
        <v>74</v>
      </c>
      <c r="AT884" s="1" t="s">
        <v>374</v>
      </c>
      <c r="AU884" s="1">
        <v>1998.0</v>
      </c>
      <c r="AV884" s="1" t="s">
        <v>74</v>
      </c>
      <c r="AW884" s="1">
        <v>11.0</v>
      </c>
      <c r="AX884" s="1" t="s">
        <v>74</v>
      </c>
      <c r="AY884" s="1" t="s">
        <v>74</v>
      </c>
      <c r="AZ884" s="1" t="s">
        <v>74</v>
      </c>
      <c r="BA884" s="1" t="s">
        <v>74</v>
      </c>
      <c r="BB884" s="1">
        <v>698.0</v>
      </c>
      <c r="BC884" s="1">
        <v>699.0</v>
      </c>
      <c r="BD884" s="1" t="s">
        <v>74</v>
      </c>
      <c r="BE884" s="1" t="s">
        <v>8802</v>
      </c>
      <c r="BF884" s="2" t="str">
        <f>HYPERLINK("http://dx.doi.org/10.1039/a805473h","http://dx.doi.org/10.1039/a805473h")</f>
        <v>http://dx.doi.org/10.1039/a805473h</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8803</v>
      </c>
      <c r="BT884" s="1" t="str">
        <f>HYPERLINK("https%3A%2F%2Fwww.webofscience.com%2Fwos%2Fwoscc%2Ffull-record%2FWOS:000079045600017","View Full Record in Web of Science")</f>
        <v>View Full Record in Web of Science</v>
      </c>
    </row>
    <row r="885" ht="12.75" customHeight="1">
      <c r="A885" s="1" t="s">
        <v>72</v>
      </c>
      <c r="B885" s="1" t="s">
        <v>8804</v>
      </c>
      <c r="C885" s="1" t="s">
        <v>74</v>
      </c>
      <c r="D885" s="1" t="s">
        <v>74</v>
      </c>
      <c r="E885" s="1" t="s">
        <v>74</v>
      </c>
      <c r="F885" s="1" t="s">
        <v>8805</v>
      </c>
      <c r="G885" s="1" t="s">
        <v>74</v>
      </c>
      <c r="H885" s="1" t="s">
        <v>74</v>
      </c>
      <c r="I885" s="1" t="s">
        <v>8806</v>
      </c>
      <c r="J885" s="1" t="s">
        <v>4751</v>
      </c>
      <c r="K885" s="1" t="s">
        <v>74</v>
      </c>
      <c r="L885" s="1" t="s">
        <v>74</v>
      </c>
      <c r="M885" s="1" t="s">
        <v>74</v>
      </c>
      <c r="N885" s="1" t="s">
        <v>74</v>
      </c>
      <c r="O885" s="1" t="s">
        <v>74</v>
      </c>
      <c r="P885" s="1" t="s">
        <v>74</v>
      </c>
      <c r="Q885" s="1" t="s">
        <v>74</v>
      </c>
      <c r="R885" s="1" t="s">
        <v>74</v>
      </c>
      <c r="S885" s="1" t="s">
        <v>74</v>
      </c>
      <c r="T885" s="1" t="s">
        <v>74</v>
      </c>
      <c r="U885" s="1" t="s">
        <v>74</v>
      </c>
      <c r="V885" s="1" t="s">
        <v>8807</v>
      </c>
      <c r="W885" s="1" t="s">
        <v>74</v>
      </c>
      <c r="X885" s="1" t="s">
        <v>74</v>
      </c>
      <c r="Y885" s="1" t="s">
        <v>74</v>
      </c>
      <c r="Z885" s="1" t="s">
        <v>74</v>
      </c>
      <c r="AA885" s="1" t="s">
        <v>8808</v>
      </c>
      <c r="AB885" s="1" t="s">
        <v>8809</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4755</v>
      </c>
      <c r="AP885" s="1" t="s">
        <v>4756</v>
      </c>
      <c r="AQ885" s="1" t="s">
        <v>74</v>
      </c>
      <c r="AR885" s="1" t="s">
        <v>74</v>
      </c>
      <c r="AS885" s="1" t="s">
        <v>74</v>
      </c>
      <c r="AT885" s="1" t="s">
        <v>374</v>
      </c>
      <c r="AU885" s="1">
        <v>2024.0</v>
      </c>
      <c r="AV885" s="1">
        <v>99.0</v>
      </c>
      <c r="AW885" s="1">
        <v>11.0</v>
      </c>
      <c r="AX885" s="1" t="s">
        <v>74</v>
      </c>
      <c r="AY885" s="1" t="s">
        <v>74</v>
      </c>
      <c r="AZ885" s="1" t="s">
        <v>74</v>
      </c>
      <c r="BA885" s="1" t="s">
        <v>74</v>
      </c>
      <c r="BB885" s="1">
        <v>2381.0</v>
      </c>
      <c r="BC885" s="1">
        <v>2394.0</v>
      </c>
      <c r="BD885" s="1" t="s">
        <v>74</v>
      </c>
      <c r="BE885" s="1" t="s">
        <v>8810</v>
      </c>
      <c r="BF885" s="2" t="str">
        <f>HYPERLINK("http://dx.doi.org/10.1002/jctb.7726","http://dx.doi.org/10.1002/jctb.7726")</f>
        <v>http://dx.doi.org/10.1002/jctb.7726</v>
      </c>
      <c r="BG885" s="1" t="s">
        <v>74</v>
      </c>
      <c r="BH885" s="1" t="s">
        <v>548</v>
      </c>
      <c r="BI885" s="1" t="s">
        <v>74</v>
      </c>
      <c r="BJ885" s="1" t="s">
        <v>74</v>
      </c>
      <c r="BK885" s="1" t="s">
        <v>74</v>
      </c>
      <c r="BL885" s="1" t="s">
        <v>74</v>
      </c>
      <c r="BM885" s="1" t="s">
        <v>74</v>
      </c>
      <c r="BN885" s="1" t="s">
        <v>74</v>
      </c>
      <c r="BO885" s="1" t="s">
        <v>74</v>
      </c>
      <c r="BP885" s="1" t="s">
        <v>74</v>
      </c>
      <c r="BQ885" s="1" t="s">
        <v>74</v>
      </c>
      <c r="BR885" s="1" t="s">
        <v>74</v>
      </c>
      <c r="BS885" s="1" t="s">
        <v>8811</v>
      </c>
      <c r="BT885" s="1" t="str">
        <f>HYPERLINK("https%3A%2F%2Fwww.webofscience.com%2Fwos%2Fwoscc%2Ffull-record%2FWOS:001285533200001","View Full Record in Web of Science")</f>
        <v>View Full Record in Web of Science</v>
      </c>
    </row>
    <row r="886" ht="12.75" customHeight="1">
      <c r="A886" s="1" t="s">
        <v>72</v>
      </c>
      <c r="B886" s="1" t="s">
        <v>8812</v>
      </c>
      <c r="C886" s="1" t="s">
        <v>74</v>
      </c>
      <c r="D886" s="1" t="s">
        <v>74</v>
      </c>
      <c r="E886" s="1" t="s">
        <v>74</v>
      </c>
      <c r="F886" s="1" t="s">
        <v>8813</v>
      </c>
      <c r="G886" s="1" t="s">
        <v>74</v>
      </c>
      <c r="H886" s="1" t="s">
        <v>74</v>
      </c>
      <c r="I886" s="1" t="s">
        <v>8814</v>
      </c>
      <c r="J886" s="1" t="s">
        <v>2686</v>
      </c>
      <c r="K886" s="1" t="s">
        <v>74</v>
      </c>
      <c r="L886" s="1" t="s">
        <v>74</v>
      </c>
      <c r="M886" s="1" t="s">
        <v>74</v>
      </c>
      <c r="N886" s="1" t="s">
        <v>74</v>
      </c>
      <c r="O886" s="1" t="s">
        <v>74</v>
      </c>
      <c r="P886" s="1" t="s">
        <v>74</v>
      </c>
      <c r="Q886" s="1" t="s">
        <v>74</v>
      </c>
      <c r="R886" s="1" t="s">
        <v>74</v>
      </c>
      <c r="S886" s="1" t="s">
        <v>74</v>
      </c>
      <c r="T886" s="1" t="s">
        <v>74</v>
      </c>
      <c r="U886" s="1" t="s">
        <v>74</v>
      </c>
      <c r="V886" s="1" t="s">
        <v>8815</v>
      </c>
      <c r="W886" s="1" t="s">
        <v>74</v>
      </c>
      <c r="X886" s="1" t="s">
        <v>74</v>
      </c>
      <c r="Y886" s="1" t="s">
        <v>74</v>
      </c>
      <c r="Z886" s="1" t="s">
        <v>74</v>
      </c>
      <c r="AA886" s="1" t="s">
        <v>8816</v>
      </c>
      <c r="AB886" s="1" t="s">
        <v>8817</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2689</v>
      </c>
      <c r="AP886" s="1" t="s">
        <v>2690</v>
      </c>
      <c r="AQ886" s="1" t="s">
        <v>74</v>
      </c>
      <c r="AR886" s="1" t="s">
        <v>74</v>
      </c>
      <c r="AS886" s="1" t="s">
        <v>74</v>
      </c>
      <c r="AT886" s="1" t="s">
        <v>977</v>
      </c>
      <c r="AU886" s="1">
        <v>2024.0</v>
      </c>
      <c r="AV886" s="1">
        <v>277.0</v>
      </c>
      <c r="AW886" s="1" t="s">
        <v>74</v>
      </c>
      <c r="AX886" s="1" t="s">
        <v>74</v>
      </c>
      <c r="AY886" s="1" t="s">
        <v>74</v>
      </c>
      <c r="AZ886" s="1" t="s">
        <v>74</v>
      </c>
      <c r="BA886" s="1" t="s">
        <v>74</v>
      </c>
      <c r="BB886" s="1" t="s">
        <v>74</v>
      </c>
      <c r="BC886" s="1" t="s">
        <v>74</v>
      </c>
      <c r="BD886" s="1">
        <v>126391.0</v>
      </c>
      <c r="BE886" s="1" t="s">
        <v>8818</v>
      </c>
      <c r="BF886" s="2" t="str">
        <f>HYPERLINK("http://dx.doi.org/10.1016/j.talanta.2024.126391","http://dx.doi.org/10.1016/j.talanta.2024.126391")</f>
        <v>http://dx.doi.org/10.1016/j.talanta.2024.126391</v>
      </c>
      <c r="BG886" s="1" t="s">
        <v>74</v>
      </c>
      <c r="BH886" s="1" t="s">
        <v>4970</v>
      </c>
      <c r="BI886" s="1" t="s">
        <v>74</v>
      </c>
      <c r="BJ886" s="1" t="s">
        <v>74</v>
      </c>
      <c r="BK886" s="1" t="s">
        <v>74</v>
      </c>
      <c r="BL886" s="1" t="s">
        <v>74</v>
      </c>
      <c r="BM886" s="1" t="s">
        <v>74</v>
      </c>
      <c r="BN886" s="1">
        <v>3.8861764E7</v>
      </c>
      <c r="BO886" s="1" t="s">
        <v>74</v>
      </c>
      <c r="BP886" s="1" t="s">
        <v>74</v>
      </c>
      <c r="BQ886" s="1" t="s">
        <v>74</v>
      </c>
      <c r="BR886" s="1" t="s">
        <v>74</v>
      </c>
      <c r="BS886" s="1" t="s">
        <v>8819</v>
      </c>
      <c r="BT886" s="1" t="str">
        <f>HYPERLINK("https%3A%2F%2Fwww.webofscience.com%2Fwos%2Fwoscc%2Ffull-record%2FWOS:001252966200001","View Full Record in Web of Science")</f>
        <v>View Full Record in Web of Science</v>
      </c>
    </row>
    <row r="887" ht="12.75" customHeight="1">
      <c r="A887" s="1" t="s">
        <v>72</v>
      </c>
      <c r="B887" s="1" t="s">
        <v>8820</v>
      </c>
      <c r="C887" s="1" t="s">
        <v>74</v>
      </c>
      <c r="D887" s="1" t="s">
        <v>74</v>
      </c>
      <c r="E887" s="1" t="s">
        <v>74</v>
      </c>
      <c r="F887" s="1" t="s">
        <v>8821</v>
      </c>
      <c r="G887" s="1" t="s">
        <v>74</v>
      </c>
      <c r="H887" s="1" t="s">
        <v>74</v>
      </c>
      <c r="I887" s="1" t="s">
        <v>8822</v>
      </c>
      <c r="J887" s="1" t="s">
        <v>4168</v>
      </c>
      <c r="K887" s="1" t="s">
        <v>74</v>
      </c>
      <c r="L887" s="1" t="s">
        <v>74</v>
      </c>
      <c r="M887" s="1" t="s">
        <v>74</v>
      </c>
      <c r="N887" s="1" t="s">
        <v>74</v>
      </c>
      <c r="O887" s="1" t="s">
        <v>74</v>
      </c>
      <c r="P887" s="1" t="s">
        <v>74</v>
      </c>
      <c r="Q887" s="1" t="s">
        <v>74</v>
      </c>
      <c r="R887" s="1" t="s">
        <v>74</v>
      </c>
      <c r="S887" s="1" t="s">
        <v>74</v>
      </c>
      <c r="T887" s="1" t="s">
        <v>74</v>
      </c>
      <c r="U887" s="1" t="s">
        <v>74</v>
      </c>
      <c r="V887" s="1" t="s">
        <v>8823</v>
      </c>
      <c r="W887" s="1" t="s">
        <v>74</v>
      </c>
      <c r="X887" s="1" t="s">
        <v>74</v>
      </c>
      <c r="Y887" s="1" t="s">
        <v>74</v>
      </c>
      <c r="Z887" s="1" t="s">
        <v>74</v>
      </c>
      <c r="AA887" s="1" t="s">
        <v>8824</v>
      </c>
      <c r="AB887" s="1" t="s">
        <v>8825</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74</v>
      </c>
      <c r="AP887" s="1" t="s">
        <v>4172</v>
      </c>
      <c r="AQ887" s="1" t="s">
        <v>74</v>
      </c>
      <c r="AR887" s="1" t="s">
        <v>74</v>
      </c>
      <c r="AS887" s="1" t="s">
        <v>74</v>
      </c>
      <c r="AT887" s="1" t="s">
        <v>94</v>
      </c>
      <c r="AU887" s="1">
        <v>2024.0</v>
      </c>
      <c r="AV887" s="1">
        <v>14.0</v>
      </c>
      <c r="AW887" s="1">
        <v>6.0</v>
      </c>
      <c r="AX887" s="1" t="s">
        <v>74</v>
      </c>
      <c r="AY887" s="1" t="s">
        <v>74</v>
      </c>
      <c r="AZ887" s="1" t="s">
        <v>74</v>
      </c>
      <c r="BA887" s="1" t="s">
        <v>74</v>
      </c>
      <c r="BB887" s="1" t="s">
        <v>74</v>
      </c>
      <c r="BC887" s="1" t="s">
        <v>74</v>
      </c>
      <c r="BD887" s="1">
        <v>359.0</v>
      </c>
      <c r="BE887" s="1" t="s">
        <v>8826</v>
      </c>
      <c r="BF887" s="2" t="str">
        <f>HYPERLINK("http://dx.doi.org/10.3390/catal14060359","http://dx.doi.org/10.3390/catal14060359")</f>
        <v>http://dx.doi.org/10.3390/catal14060359</v>
      </c>
      <c r="BG887" s="1" t="s">
        <v>74</v>
      </c>
      <c r="BH887" s="1" t="s">
        <v>74</v>
      </c>
      <c r="BI887" s="1" t="s">
        <v>74</v>
      </c>
      <c r="BJ887" s="1" t="s">
        <v>74</v>
      </c>
      <c r="BK887" s="1" t="s">
        <v>74</v>
      </c>
      <c r="BL887" s="1" t="s">
        <v>74</v>
      </c>
      <c r="BM887" s="1" t="s">
        <v>74</v>
      </c>
      <c r="BN887" s="1" t="s">
        <v>74</v>
      </c>
      <c r="BO887" s="1" t="s">
        <v>74</v>
      </c>
      <c r="BP887" s="1" t="s">
        <v>74</v>
      </c>
      <c r="BQ887" s="1" t="s">
        <v>74</v>
      </c>
      <c r="BR887" s="1" t="s">
        <v>74</v>
      </c>
      <c r="BS887" s="1" t="s">
        <v>8827</v>
      </c>
      <c r="BT887" s="1" t="str">
        <f>HYPERLINK("https%3A%2F%2Fwww.webofscience.com%2Fwos%2Fwoscc%2Ffull-record%2FWOS:001254632200001","View Full Record in Web of Science")</f>
        <v>View Full Record in Web of Science</v>
      </c>
    </row>
    <row r="888" ht="12.75" customHeight="1">
      <c r="A888" s="1" t="s">
        <v>72</v>
      </c>
      <c r="B888" s="1" t="s">
        <v>8828</v>
      </c>
      <c r="C888" s="1" t="s">
        <v>74</v>
      </c>
      <c r="D888" s="1" t="s">
        <v>74</v>
      </c>
      <c r="E888" s="1" t="s">
        <v>74</v>
      </c>
      <c r="F888" s="1" t="s">
        <v>8829</v>
      </c>
      <c r="G888" s="1" t="s">
        <v>74</v>
      </c>
      <c r="H888" s="1" t="s">
        <v>74</v>
      </c>
      <c r="I888" s="1" t="s">
        <v>8830</v>
      </c>
      <c r="J888" s="1" t="s">
        <v>1675</v>
      </c>
      <c r="K888" s="1" t="s">
        <v>74</v>
      </c>
      <c r="L888" s="1" t="s">
        <v>74</v>
      </c>
      <c r="M888" s="1" t="s">
        <v>74</v>
      </c>
      <c r="N888" s="1" t="s">
        <v>74</v>
      </c>
      <c r="O888" s="1" t="s">
        <v>74</v>
      </c>
      <c r="P888" s="1" t="s">
        <v>74</v>
      </c>
      <c r="Q888" s="1" t="s">
        <v>74</v>
      </c>
      <c r="R888" s="1" t="s">
        <v>74</v>
      </c>
      <c r="S888" s="1" t="s">
        <v>74</v>
      </c>
      <c r="T888" s="1" t="s">
        <v>74</v>
      </c>
      <c r="U888" s="1" t="s">
        <v>74</v>
      </c>
      <c r="V888" s="1" t="s">
        <v>8831</v>
      </c>
      <c r="W888" s="1" t="s">
        <v>74</v>
      </c>
      <c r="X888" s="1" t="s">
        <v>74</v>
      </c>
      <c r="Y888" s="1" t="s">
        <v>74</v>
      </c>
      <c r="Z888" s="1" t="s">
        <v>74</v>
      </c>
      <c r="AA888" s="1" t="s">
        <v>8832</v>
      </c>
      <c r="AB888" s="1" t="s">
        <v>8833</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1677</v>
      </c>
      <c r="AP888" s="1" t="s">
        <v>1678</v>
      </c>
      <c r="AQ888" s="1" t="s">
        <v>74</v>
      </c>
      <c r="AR888" s="1" t="s">
        <v>74</v>
      </c>
      <c r="AS888" s="1" t="s">
        <v>74</v>
      </c>
      <c r="AT888" s="1" t="s">
        <v>3995</v>
      </c>
      <c r="AU888" s="1">
        <v>2023.0</v>
      </c>
      <c r="AV888" s="1">
        <v>98.0</v>
      </c>
      <c r="AW888" s="1">
        <v>8.0</v>
      </c>
      <c r="AX888" s="1" t="s">
        <v>74</v>
      </c>
      <c r="AY888" s="1" t="s">
        <v>74</v>
      </c>
      <c r="AZ888" s="1" t="s">
        <v>74</v>
      </c>
      <c r="BA888" s="1" t="s">
        <v>74</v>
      </c>
      <c r="BB888" s="1" t="s">
        <v>74</v>
      </c>
      <c r="BC888" s="1" t="s">
        <v>74</v>
      </c>
      <c r="BD888" s="1">
        <v>85201.0</v>
      </c>
      <c r="BE888" s="1" t="s">
        <v>8834</v>
      </c>
      <c r="BF888" s="2" t="str">
        <f>HYPERLINK("http://dx.doi.org/10.1088/1402-4896/ace08c","http://dx.doi.org/10.1088/1402-4896/ace08c")</f>
        <v>http://dx.doi.org/10.1088/1402-4896/ace08c</v>
      </c>
      <c r="BG888" s="1" t="s">
        <v>74</v>
      </c>
      <c r="BH888" s="1" t="s">
        <v>74</v>
      </c>
      <c r="BI888" s="1" t="s">
        <v>74</v>
      </c>
      <c r="BJ888" s="1" t="s">
        <v>74</v>
      </c>
      <c r="BK888" s="1" t="s">
        <v>74</v>
      </c>
      <c r="BL888" s="1" t="s">
        <v>74</v>
      </c>
      <c r="BM888" s="1" t="s">
        <v>74</v>
      </c>
      <c r="BN888" s="1" t="s">
        <v>74</v>
      </c>
      <c r="BO888" s="1" t="s">
        <v>74</v>
      </c>
      <c r="BP888" s="1" t="s">
        <v>74</v>
      </c>
      <c r="BQ888" s="1" t="s">
        <v>74</v>
      </c>
      <c r="BR888" s="1" t="s">
        <v>74</v>
      </c>
      <c r="BS888" s="1" t="s">
        <v>8835</v>
      </c>
      <c r="BT888" s="1" t="str">
        <f>HYPERLINK("https%3A%2F%2Fwww.webofscience.com%2Fwos%2Fwoscc%2Ffull-record%2FWOS:001021248000001","View Full Record in Web of Science")</f>
        <v>View Full Record in Web of Science</v>
      </c>
    </row>
    <row r="889" ht="12.75" customHeight="1">
      <c r="A889" s="1" t="s">
        <v>72</v>
      </c>
      <c r="B889" s="1" t="s">
        <v>8836</v>
      </c>
      <c r="C889" s="1" t="s">
        <v>74</v>
      </c>
      <c r="D889" s="1" t="s">
        <v>74</v>
      </c>
      <c r="E889" s="1" t="s">
        <v>74</v>
      </c>
      <c r="F889" s="1" t="s">
        <v>8837</v>
      </c>
      <c r="G889" s="1" t="s">
        <v>74</v>
      </c>
      <c r="H889" s="1" t="s">
        <v>74</v>
      </c>
      <c r="I889" s="1" t="s">
        <v>8838</v>
      </c>
      <c r="J889" s="1" t="s">
        <v>5601</v>
      </c>
      <c r="K889" s="1" t="s">
        <v>74</v>
      </c>
      <c r="L889" s="1" t="s">
        <v>74</v>
      </c>
      <c r="M889" s="1" t="s">
        <v>74</v>
      </c>
      <c r="N889" s="1" t="s">
        <v>74</v>
      </c>
      <c r="O889" s="1" t="s">
        <v>74</v>
      </c>
      <c r="P889" s="1" t="s">
        <v>74</v>
      </c>
      <c r="Q889" s="1" t="s">
        <v>74</v>
      </c>
      <c r="R889" s="1" t="s">
        <v>74</v>
      </c>
      <c r="S889" s="1" t="s">
        <v>74</v>
      </c>
      <c r="T889" s="1" t="s">
        <v>74</v>
      </c>
      <c r="U889" s="1" t="s">
        <v>74</v>
      </c>
      <c r="V889" s="1" t="s">
        <v>8839</v>
      </c>
      <c r="W889" s="1" t="s">
        <v>74</v>
      </c>
      <c r="X889" s="1" t="s">
        <v>74</v>
      </c>
      <c r="Y889" s="1" t="s">
        <v>74</v>
      </c>
      <c r="Z889" s="1" t="s">
        <v>74</v>
      </c>
      <c r="AA889" s="1" t="s">
        <v>8840</v>
      </c>
      <c r="AB889" s="1" t="s">
        <v>8841</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8842</v>
      </c>
      <c r="AP889" s="1" t="s">
        <v>8843</v>
      </c>
      <c r="AQ889" s="1" t="s">
        <v>74</v>
      </c>
      <c r="AR889" s="1" t="s">
        <v>74</v>
      </c>
      <c r="AS889" s="1" t="s">
        <v>74</v>
      </c>
      <c r="AT889" s="1" t="s">
        <v>8844</v>
      </c>
      <c r="AU889" s="1">
        <v>2023.0</v>
      </c>
      <c r="AV889" s="1">
        <v>108.0</v>
      </c>
      <c r="AW889" s="1">
        <v>1.0</v>
      </c>
      <c r="AX889" s="1" t="s">
        <v>74</v>
      </c>
      <c r="AY889" s="1" t="s">
        <v>74</v>
      </c>
      <c r="AZ889" s="1" t="s">
        <v>74</v>
      </c>
      <c r="BA889" s="1" t="s">
        <v>74</v>
      </c>
      <c r="BB889" s="1" t="s">
        <v>74</v>
      </c>
      <c r="BC889" s="1" t="s">
        <v>74</v>
      </c>
      <c r="BD889" s="1">
        <v>12433.0</v>
      </c>
      <c r="BE889" s="1" t="s">
        <v>8845</v>
      </c>
      <c r="BF889" s="2" t="str">
        <f>HYPERLINK("http://dx.doi.org/10.1103/PhysRevA.108.012433","http://dx.doi.org/10.1103/PhysRevA.108.012433")</f>
        <v>http://dx.doi.org/10.1103/PhysRevA.108.012433</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8846</v>
      </c>
      <c r="BT889" s="1" t="str">
        <f>HYPERLINK("https%3A%2F%2Fwww.webofscience.com%2Fwos%2Fwoscc%2Ffull-record%2FWOS:001130449300005","View Full Record in Web of Science")</f>
        <v>View Full Record in Web of Science</v>
      </c>
    </row>
    <row r="890" ht="12.75" customHeight="1">
      <c r="A890" s="1" t="s">
        <v>72</v>
      </c>
      <c r="B890" s="1" t="s">
        <v>8847</v>
      </c>
      <c r="C890" s="1" t="s">
        <v>74</v>
      </c>
      <c r="D890" s="1" t="s">
        <v>74</v>
      </c>
      <c r="E890" s="1" t="s">
        <v>74</v>
      </c>
      <c r="F890" s="1" t="s">
        <v>8848</v>
      </c>
      <c r="G890" s="1" t="s">
        <v>74</v>
      </c>
      <c r="H890" s="1" t="s">
        <v>74</v>
      </c>
      <c r="I890" s="1" t="s">
        <v>8849</v>
      </c>
      <c r="J890" s="1" t="s">
        <v>4095</v>
      </c>
      <c r="K890" s="1" t="s">
        <v>74</v>
      </c>
      <c r="L890" s="1" t="s">
        <v>74</v>
      </c>
      <c r="M890" s="1" t="s">
        <v>74</v>
      </c>
      <c r="N890" s="1" t="s">
        <v>74</v>
      </c>
      <c r="O890" s="1" t="s">
        <v>74</v>
      </c>
      <c r="P890" s="1" t="s">
        <v>74</v>
      </c>
      <c r="Q890" s="1" t="s">
        <v>74</v>
      </c>
      <c r="R890" s="1" t="s">
        <v>74</v>
      </c>
      <c r="S890" s="1" t="s">
        <v>74</v>
      </c>
      <c r="T890" s="1" t="s">
        <v>74</v>
      </c>
      <c r="U890" s="1" t="s">
        <v>74</v>
      </c>
      <c r="V890" s="1" t="s">
        <v>8850</v>
      </c>
      <c r="W890" s="1" t="s">
        <v>74</v>
      </c>
      <c r="X890" s="1" t="s">
        <v>74</v>
      </c>
      <c r="Y890" s="1" t="s">
        <v>74</v>
      </c>
      <c r="Z890" s="1" t="s">
        <v>74</v>
      </c>
      <c r="AA890" s="1" t="s">
        <v>8851</v>
      </c>
      <c r="AB890" s="1" t="s">
        <v>8852</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4099</v>
      </c>
      <c r="AP890" s="1" t="s">
        <v>74</v>
      </c>
      <c r="AQ890" s="1" t="s">
        <v>74</v>
      </c>
      <c r="AR890" s="1" t="s">
        <v>74</v>
      </c>
      <c r="AS890" s="1" t="s">
        <v>74</v>
      </c>
      <c r="AT890" s="1" t="s">
        <v>1279</v>
      </c>
      <c r="AU890" s="1">
        <v>2022.0</v>
      </c>
      <c r="AV890" s="1">
        <v>35.0</v>
      </c>
      <c r="AW890" s="1" t="s">
        <v>74</v>
      </c>
      <c r="AX890" s="1" t="s">
        <v>74</v>
      </c>
      <c r="AY890" s="1" t="s">
        <v>74</v>
      </c>
      <c r="AZ890" s="1" t="s">
        <v>74</v>
      </c>
      <c r="BA890" s="1" t="s">
        <v>74</v>
      </c>
      <c r="BB890" s="1" t="s">
        <v>74</v>
      </c>
      <c r="BC890" s="1" t="s">
        <v>74</v>
      </c>
      <c r="BD890" s="1">
        <v>105290.0</v>
      </c>
      <c r="BE890" s="1" t="s">
        <v>8853</v>
      </c>
      <c r="BF890" s="2" t="str">
        <f>HYPERLINK("http://dx.doi.org/10.1016/j.rinp.2022.105290","http://dx.doi.org/10.1016/j.rinp.2022.105290")</f>
        <v>http://dx.doi.org/10.1016/j.rinp.2022.105290</v>
      </c>
      <c r="BG890" s="1" t="s">
        <v>74</v>
      </c>
      <c r="BH890" s="1" t="s">
        <v>649</v>
      </c>
      <c r="BI890" s="1" t="s">
        <v>74</v>
      </c>
      <c r="BJ890" s="1" t="s">
        <v>74</v>
      </c>
      <c r="BK890" s="1" t="s">
        <v>74</v>
      </c>
      <c r="BL890" s="1" t="s">
        <v>74</v>
      </c>
      <c r="BM890" s="1" t="s">
        <v>74</v>
      </c>
      <c r="BN890" s="1" t="s">
        <v>74</v>
      </c>
      <c r="BO890" s="1" t="s">
        <v>74</v>
      </c>
      <c r="BP890" s="1" t="s">
        <v>74</v>
      </c>
      <c r="BQ890" s="1" t="s">
        <v>74</v>
      </c>
      <c r="BR890" s="1" t="s">
        <v>74</v>
      </c>
      <c r="BS890" s="1" t="s">
        <v>8854</v>
      </c>
      <c r="BT890" s="1" t="str">
        <f>HYPERLINK("https%3A%2F%2Fwww.webofscience.com%2Fwos%2Fwoscc%2Ffull-record%2FWOS:000772298200005","View Full Record in Web of Science")</f>
        <v>View Full Record in Web of Science</v>
      </c>
    </row>
    <row r="891" ht="12.75" customHeight="1">
      <c r="A891" s="1" t="s">
        <v>72</v>
      </c>
      <c r="B891" s="1" t="s">
        <v>8855</v>
      </c>
      <c r="C891" s="1" t="s">
        <v>74</v>
      </c>
      <c r="D891" s="1" t="s">
        <v>74</v>
      </c>
      <c r="E891" s="1" t="s">
        <v>74</v>
      </c>
      <c r="F891" s="1" t="s">
        <v>8856</v>
      </c>
      <c r="G891" s="1" t="s">
        <v>74</v>
      </c>
      <c r="H891" s="1" t="s">
        <v>74</v>
      </c>
      <c r="I891" s="1" t="s">
        <v>8857</v>
      </c>
      <c r="J891" s="1" t="s">
        <v>8858</v>
      </c>
      <c r="K891" s="1" t="s">
        <v>74</v>
      </c>
      <c r="L891" s="1" t="s">
        <v>74</v>
      </c>
      <c r="M891" s="1" t="s">
        <v>74</v>
      </c>
      <c r="N891" s="1" t="s">
        <v>74</v>
      </c>
      <c r="O891" s="1" t="s">
        <v>74</v>
      </c>
      <c r="P891" s="1" t="s">
        <v>74</v>
      </c>
      <c r="Q891" s="1" t="s">
        <v>74</v>
      </c>
      <c r="R891" s="1" t="s">
        <v>74</v>
      </c>
      <c r="S891" s="1" t="s">
        <v>74</v>
      </c>
      <c r="T891" s="1" t="s">
        <v>74</v>
      </c>
      <c r="U891" s="1" t="s">
        <v>74</v>
      </c>
      <c r="V891" s="1" t="s">
        <v>8859</v>
      </c>
      <c r="W891" s="1" t="s">
        <v>74</v>
      </c>
      <c r="X891" s="1" t="s">
        <v>74</v>
      </c>
      <c r="Y891" s="1" t="s">
        <v>74</v>
      </c>
      <c r="Z891" s="1" t="s">
        <v>74</v>
      </c>
      <c r="AA891" s="1" t="s">
        <v>8860</v>
      </c>
      <c r="AB891" s="1" t="s">
        <v>8861</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8862</v>
      </c>
      <c r="AP891" s="1" t="s">
        <v>8863</v>
      </c>
      <c r="AQ891" s="1" t="s">
        <v>74</v>
      </c>
      <c r="AR891" s="1" t="s">
        <v>74</v>
      </c>
      <c r="AS891" s="1" t="s">
        <v>74</v>
      </c>
      <c r="AT891" s="1" t="s">
        <v>94</v>
      </c>
      <c r="AU891" s="1">
        <v>2021.0</v>
      </c>
      <c r="AV891" s="1">
        <v>28.0</v>
      </c>
      <c r="AW891" s="1" t="s">
        <v>74</v>
      </c>
      <c r="AX891" s="1" t="s">
        <v>74</v>
      </c>
      <c r="AY891" s="1" t="s">
        <v>74</v>
      </c>
      <c r="AZ891" s="1" t="s">
        <v>74</v>
      </c>
      <c r="BA891" s="1" t="s">
        <v>74</v>
      </c>
      <c r="BB891" s="1" t="s">
        <v>74</v>
      </c>
      <c r="BC891" s="1" t="s">
        <v>74</v>
      </c>
      <c r="BD891" s="1">
        <v>100653.0</v>
      </c>
      <c r="BE891" s="1" t="s">
        <v>8864</v>
      </c>
      <c r="BF891" s="2" t="str">
        <f>HYPERLINK("http://dx.doi.org/10.1016/j.polar.2021.100653","http://dx.doi.org/10.1016/j.polar.2021.100653")</f>
        <v>http://dx.doi.org/10.1016/j.polar.2021.100653</v>
      </c>
      <c r="BG891" s="1" t="s">
        <v>74</v>
      </c>
      <c r="BH891" s="1" t="s">
        <v>1229</v>
      </c>
      <c r="BI891" s="1" t="s">
        <v>74</v>
      </c>
      <c r="BJ891" s="1" t="s">
        <v>74</v>
      </c>
      <c r="BK891" s="1" t="s">
        <v>74</v>
      </c>
      <c r="BL891" s="1" t="s">
        <v>74</v>
      </c>
      <c r="BM891" s="1" t="s">
        <v>74</v>
      </c>
      <c r="BN891" s="1" t="s">
        <v>74</v>
      </c>
      <c r="BO891" s="1" t="s">
        <v>74</v>
      </c>
      <c r="BP891" s="1" t="s">
        <v>74</v>
      </c>
      <c r="BQ891" s="1" t="s">
        <v>74</v>
      </c>
      <c r="BR891" s="1" t="s">
        <v>74</v>
      </c>
      <c r="BS891" s="1" t="s">
        <v>8865</v>
      </c>
      <c r="BT891" s="1" t="str">
        <f>HYPERLINK("https%3A%2F%2Fwww.webofscience.com%2Fwos%2Fwoscc%2Ffull-record%2FWOS:000670361800001","View Full Record in Web of Science")</f>
        <v>View Full Record in Web of Science</v>
      </c>
    </row>
    <row r="892" ht="12.75" customHeight="1">
      <c r="A892" s="1" t="s">
        <v>72</v>
      </c>
      <c r="B892" s="1" t="s">
        <v>8866</v>
      </c>
      <c r="C892" s="1" t="s">
        <v>74</v>
      </c>
      <c r="D892" s="1" t="s">
        <v>74</v>
      </c>
      <c r="E892" s="1" t="s">
        <v>74</v>
      </c>
      <c r="F892" s="1" t="s">
        <v>8867</v>
      </c>
      <c r="G892" s="1" t="s">
        <v>74</v>
      </c>
      <c r="H892" s="1" t="s">
        <v>74</v>
      </c>
      <c r="I892" s="1" t="s">
        <v>8868</v>
      </c>
      <c r="J892" s="1" t="s">
        <v>7012</v>
      </c>
      <c r="K892" s="1" t="s">
        <v>74</v>
      </c>
      <c r="L892" s="1" t="s">
        <v>74</v>
      </c>
      <c r="M892" s="1" t="s">
        <v>74</v>
      </c>
      <c r="N892" s="1" t="s">
        <v>74</v>
      </c>
      <c r="O892" s="1" t="s">
        <v>74</v>
      </c>
      <c r="P892" s="1" t="s">
        <v>74</v>
      </c>
      <c r="Q892" s="1" t="s">
        <v>74</v>
      </c>
      <c r="R892" s="1" t="s">
        <v>74</v>
      </c>
      <c r="S892" s="1" t="s">
        <v>74</v>
      </c>
      <c r="T892" s="1" t="s">
        <v>74</v>
      </c>
      <c r="U892" s="1" t="s">
        <v>74</v>
      </c>
      <c r="V892" s="1" t="s">
        <v>8869</v>
      </c>
      <c r="W892" s="1" t="s">
        <v>74</v>
      </c>
      <c r="X892" s="1" t="s">
        <v>74</v>
      </c>
      <c r="Y892" s="1" t="s">
        <v>74</v>
      </c>
      <c r="Z892" s="1" t="s">
        <v>74</v>
      </c>
      <c r="AA892" s="1" t="s">
        <v>8870</v>
      </c>
      <c r="AB892" s="1" t="s">
        <v>8871</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74</v>
      </c>
      <c r="AP892" s="1" t="s">
        <v>7016</v>
      </c>
      <c r="AQ892" s="1" t="s">
        <v>74</v>
      </c>
      <c r="AR892" s="1" t="s">
        <v>74</v>
      </c>
      <c r="AS892" s="1" t="s">
        <v>74</v>
      </c>
      <c r="AT892" s="1" t="s">
        <v>374</v>
      </c>
      <c r="AU892" s="1">
        <v>2020.0</v>
      </c>
      <c r="AV892" s="1">
        <v>17.0</v>
      </c>
      <c r="AW892" s="1">
        <v>21.0</v>
      </c>
      <c r="AX892" s="1" t="s">
        <v>74</v>
      </c>
      <c r="AY892" s="1" t="s">
        <v>74</v>
      </c>
      <c r="AZ892" s="1" t="s">
        <v>74</v>
      </c>
      <c r="BA892" s="1" t="s">
        <v>74</v>
      </c>
      <c r="BB892" s="1" t="s">
        <v>74</v>
      </c>
      <c r="BC892" s="1" t="s">
        <v>74</v>
      </c>
      <c r="BD892" s="1">
        <v>8058.0</v>
      </c>
      <c r="BE892" s="1" t="s">
        <v>8872</v>
      </c>
      <c r="BF892" s="2" t="str">
        <f>HYPERLINK("http://dx.doi.org/10.3390/ijerph17218058","http://dx.doi.org/10.3390/ijerph17218058")</f>
        <v>http://dx.doi.org/10.3390/ijerph17218058</v>
      </c>
      <c r="BG892" s="1" t="s">
        <v>74</v>
      </c>
      <c r="BH892" s="1" t="s">
        <v>74</v>
      </c>
      <c r="BI892" s="1" t="s">
        <v>74</v>
      </c>
      <c r="BJ892" s="1" t="s">
        <v>74</v>
      </c>
      <c r="BK892" s="1" t="s">
        <v>74</v>
      </c>
      <c r="BL892" s="1" t="s">
        <v>74</v>
      </c>
      <c r="BM892" s="1" t="s">
        <v>74</v>
      </c>
      <c r="BN892" s="1">
        <v>3.3139664E7</v>
      </c>
      <c r="BO892" s="1" t="s">
        <v>74</v>
      </c>
      <c r="BP892" s="1" t="s">
        <v>74</v>
      </c>
      <c r="BQ892" s="1" t="s">
        <v>74</v>
      </c>
      <c r="BR892" s="1" t="s">
        <v>74</v>
      </c>
      <c r="BS892" s="1" t="s">
        <v>8873</v>
      </c>
      <c r="BT892" s="1" t="str">
        <f>HYPERLINK("https%3A%2F%2Fwww.webofscience.com%2Fwos%2Fwoscc%2Ffull-record%2FWOS:000588966900001","View Full Record in Web of Science")</f>
        <v>View Full Record in Web of Science</v>
      </c>
    </row>
    <row r="893" ht="12.75" customHeight="1">
      <c r="A893" s="1" t="s">
        <v>72</v>
      </c>
      <c r="B893" s="1" t="s">
        <v>8874</v>
      </c>
      <c r="C893" s="1" t="s">
        <v>74</v>
      </c>
      <c r="D893" s="1" t="s">
        <v>74</v>
      </c>
      <c r="E893" s="1" t="s">
        <v>74</v>
      </c>
      <c r="F893" s="1" t="s">
        <v>8875</v>
      </c>
      <c r="G893" s="1" t="s">
        <v>74</v>
      </c>
      <c r="H893" s="1" t="s">
        <v>74</v>
      </c>
      <c r="I893" s="1" t="s">
        <v>8876</v>
      </c>
      <c r="J893" s="1" t="s">
        <v>8877</v>
      </c>
      <c r="K893" s="1" t="s">
        <v>74</v>
      </c>
      <c r="L893" s="1" t="s">
        <v>74</v>
      </c>
      <c r="M893" s="1" t="s">
        <v>74</v>
      </c>
      <c r="N893" s="1" t="s">
        <v>74</v>
      </c>
      <c r="O893" s="1" t="s">
        <v>74</v>
      </c>
      <c r="P893" s="1" t="s">
        <v>74</v>
      </c>
      <c r="Q893" s="1" t="s">
        <v>74</v>
      </c>
      <c r="R893" s="1" t="s">
        <v>74</v>
      </c>
      <c r="S893" s="1" t="s">
        <v>74</v>
      </c>
      <c r="T893" s="1" t="s">
        <v>74</v>
      </c>
      <c r="U893" s="1" t="s">
        <v>74</v>
      </c>
      <c r="V893" s="1" t="s">
        <v>8878</v>
      </c>
      <c r="W893" s="1" t="s">
        <v>74</v>
      </c>
      <c r="X893" s="1" t="s">
        <v>74</v>
      </c>
      <c r="Y893" s="1" t="s">
        <v>74</v>
      </c>
      <c r="Z893" s="1" t="s">
        <v>74</v>
      </c>
      <c r="AA893" s="1" t="s">
        <v>8879</v>
      </c>
      <c r="AB893" s="1" t="s">
        <v>8880</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8881</v>
      </c>
      <c r="AP893" s="1" t="s">
        <v>74</v>
      </c>
      <c r="AQ893" s="1" t="s">
        <v>74</v>
      </c>
      <c r="AR893" s="1" t="s">
        <v>74</v>
      </c>
      <c r="AS893" s="1" t="s">
        <v>74</v>
      </c>
      <c r="AT893" s="1" t="s">
        <v>271</v>
      </c>
      <c r="AU893" s="1">
        <v>2020.0</v>
      </c>
      <c r="AV893" s="1">
        <v>19.0</v>
      </c>
      <c r="AW893" s="1">
        <v>2.0</v>
      </c>
      <c r="AX893" s="1" t="s">
        <v>74</v>
      </c>
      <c r="AY893" s="1" t="s">
        <v>74</v>
      </c>
      <c r="AZ893" s="1" t="s">
        <v>74</v>
      </c>
      <c r="BA893" s="1" t="s">
        <v>74</v>
      </c>
      <c r="BB893" s="1">
        <v>370.0</v>
      </c>
      <c r="BC893" s="1">
        <v>380.0</v>
      </c>
      <c r="BD893" s="1" t="s">
        <v>74</v>
      </c>
      <c r="BE893" s="1" t="s">
        <v>8882</v>
      </c>
      <c r="BF893" s="2" t="str">
        <f>HYPERLINK("http://dx.doi.org/10.7764/RDLC.19.2.370","http://dx.doi.org/10.7764/RDLC.19.2.370")</f>
        <v>http://dx.doi.org/10.7764/RDLC.19.2.370</v>
      </c>
      <c r="BG893" s="1" t="s">
        <v>74</v>
      </c>
      <c r="BH893" s="1" t="s">
        <v>74</v>
      </c>
      <c r="BI893" s="1" t="s">
        <v>74</v>
      </c>
      <c r="BJ893" s="1" t="s">
        <v>74</v>
      </c>
      <c r="BK893" s="1" t="s">
        <v>74</v>
      </c>
      <c r="BL893" s="1" t="s">
        <v>74</v>
      </c>
      <c r="BM893" s="1" t="s">
        <v>74</v>
      </c>
      <c r="BN893" s="1" t="s">
        <v>74</v>
      </c>
      <c r="BO893" s="1" t="s">
        <v>74</v>
      </c>
      <c r="BP893" s="1" t="s">
        <v>74</v>
      </c>
      <c r="BQ893" s="1" t="s">
        <v>74</v>
      </c>
      <c r="BR893" s="1" t="s">
        <v>74</v>
      </c>
      <c r="BS893" s="1" t="s">
        <v>8883</v>
      </c>
      <c r="BT893" s="1" t="str">
        <f>HYPERLINK("https%3A%2F%2Fwww.webofscience.com%2Fwos%2Fwoscc%2Ffull-record%2FWOS:000579018900016","View Full Record in Web of Science")</f>
        <v>View Full Record in Web of Science</v>
      </c>
    </row>
    <row r="894" ht="12.75" customHeight="1">
      <c r="A894" s="1" t="s">
        <v>72</v>
      </c>
      <c r="B894" s="1" t="s">
        <v>8884</v>
      </c>
      <c r="C894" s="1" t="s">
        <v>74</v>
      </c>
      <c r="D894" s="1" t="s">
        <v>74</v>
      </c>
      <c r="E894" s="1" t="s">
        <v>74</v>
      </c>
      <c r="F894" s="1" t="s">
        <v>8885</v>
      </c>
      <c r="G894" s="1" t="s">
        <v>74</v>
      </c>
      <c r="H894" s="1" t="s">
        <v>74</v>
      </c>
      <c r="I894" s="1" t="s">
        <v>8886</v>
      </c>
      <c r="J894" s="1" t="s">
        <v>6815</v>
      </c>
      <c r="K894" s="1" t="s">
        <v>74</v>
      </c>
      <c r="L894" s="1" t="s">
        <v>74</v>
      </c>
      <c r="M894" s="1" t="s">
        <v>74</v>
      </c>
      <c r="N894" s="1" t="s">
        <v>74</v>
      </c>
      <c r="O894" s="1" t="s">
        <v>74</v>
      </c>
      <c r="P894" s="1" t="s">
        <v>74</v>
      </c>
      <c r="Q894" s="1" t="s">
        <v>74</v>
      </c>
      <c r="R894" s="1" t="s">
        <v>74</v>
      </c>
      <c r="S894" s="1" t="s">
        <v>74</v>
      </c>
      <c r="T894" s="1" t="s">
        <v>74</v>
      </c>
      <c r="U894" s="1" t="s">
        <v>74</v>
      </c>
      <c r="V894" s="1" t="s">
        <v>8887</v>
      </c>
      <c r="W894" s="1" t="s">
        <v>74</v>
      </c>
      <c r="X894" s="1" t="s">
        <v>74</v>
      </c>
      <c r="Y894" s="1" t="s">
        <v>74</v>
      </c>
      <c r="Z894" s="1" t="s">
        <v>74</v>
      </c>
      <c r="AA894" s="1" t="s">
        <v>8888</v>
      </c>
      <c r="AB894" s="1" t="s">
        <v>8889</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74</v>
      </c>
      <c r="AP894" s="1" t="s">
        <v>6819</v>
      </c>
      <c r="AQ894" s="1" t="s">
        <v>74</v>
      </c>
      <c r="AR894" s="1" t="s">
        <v>74</v>
      </c>
      <c r="AS894" s="1" t="s">
        <v>74</v>
      </c>
      <c r="AT894" s="1" t="s">
        <v>282</v>
      </c>
      <c r="AU894" s="1">
        <v>2020.0</v>
      </c>
      <c r="AV894" s="1">
        <v>9.0</v>
      </c>
      <c r="AW894" s="1">
        <v>8.0</v>
      </c>
      <c r="AX894" s="1" t="s">
        <v>74</v>
      </c>
      <c r="AY894" s="1" t="s">
        <v>74</v>
      </c>
      <c r="AZ894" s="1" t="s">
        <v>74</v>
      </c>
      <c r="BA894" s="1" t="s">
        <v>74</v>
      </c>
      <c r="BB894" s="1" t="s">
        <v>74</v>
      </c>
      <c r="BC894" s="1" t="s">
        <v>74</v>
      </c>
      <c r="BD894" s="1">
        <v>735.0</v>
      </c>
      <c r="BE894" s="1" t="s">
        <v>8890</v>
      </c>
      <c r="BF894" s="2" t="str">
        <f>HYPERLINK("http://dx.doi.org/10.3390/antiox9080735","http://dx.doi.org/10.3390/antiox9080735")</f>
        <v>http://dx.doi.org/10.3390/antiox9080735</v>
      </c>
      <c r="BG894" s="1" t="s">
        <v>74</v>
      </c>
      <c r="BH894" s="1" t="s">
        <v>74</v>
      </c>
      <c r="BI894" s="1" t="s">
        <v>74</v>
      </c>
      <c r="BJ894" s="1" t="s">
        <v>74</v>
      </c>
      <c r="BK894" s="1" t="s">
        <v>74</v>
      </c>
      <c r="BL894" s="1" t="s">
        <v>74</v>
      </c>
      <c r="BM894" s="1" t="s">
        <v>74</v>
      </c>
      <c r="BN894" s="1">
        <v>3.2796756E7</v>
      </c>
      <c r="BO894" s="1" t="s">
        <v>74</v>
      </c>
      <c r="BP894" s="1" t="s">
        <v>74</v>
      </c>
      <c r="BQ894" s="1" t="s">
        <v>74</v>
      </c>
      <c r="BR894" s="1" t="s">
        <v>74</v>
      </c>
      <c r="BS894" s="1" t="s">
        <v>8891</v>
      </c>
      <c r="BT894" s="1" t="str">
        <f>HYPERLINK("https%3A%2F%2Fwww.webofscience.com%2Fwos%2Fwoscc%2Ffull-record%2FWOS:000565524500001","View Full Record in Web of Science")</f>
        <v>View Full Record in Web of Science</v>
      </c>
    </row>
    <row r="895" ht="12.75" customHeight="1">
      <c r="A895" s="1" t="s">
        <v>72</v>
      </c>
      <c r="B895" s="1" t="s">
        <v>8892</v>
      </c>
      <c r="C895" s="1" t="s">
        <v>74</v>
      </c>
      <c r="D895" s="1" t="s">
        <v>74</v>
      </c>
      <c r="E895" s="1" t="s">
        <v>74</v>
      </c>
      <c r="F895" s="1" t="s">
        <v>8893</v>
      </c>
      <c r="G895" s="1" t="s">
        <v>74</v>
      </c>
      <c r="H895" s="1" t="s">
        <v>74</v>
      </c>
      <c r="I895" s="1" t="s">
        <v>8894</v>
      </c>
      <c r="J895" s="1" t="s">
        <v>8895</v>
      </c>
      <c r="K895" s="1" t="s">
        <v>74</v>
      </c>
      <c r="L895" s="1" t="s">
        <v>74</v>
      </c>
      <c r="M895" s="1" t="s">
        <v>74</v>
      </c>
      <c r="N895" s="1" t="s">
        <v>74</v>
      </c>
      <c r="O895" s="1" t="s">
        <v>74</v>
      </c>
      <c r="P895" s="1" t="s">
        <v>74</v>
      </c>
      <c r="Q895" s="1" t="s">
        <v>74</v>
      </c>
      <c r="R895" s="1" t="s">
        <v>74</v>
      </c>
      <c r="S895" s="1" t="s">
        <v>74</v>
      </c>
      <c r="T895" s="1" t="s">
        <v>74</v>
      </c>
      <c r="U895" s="1" t="s">
        <v>74</v>
      </c>
      <c r="V895" s="1" t="s">
        <v>8896</v>
      </c>
      <c r="W895" s="1" t="s">
        <v>74</v>
      </c>
      <c r="X895" s="1" t="s">
        <v>74</v>
      </c>
      <c r="Y895" s="1" t="s">
        <v>74</v>
      </c>
      <c r="Z895" s="1" t="s">
        <v>74</v>
      </c>
      <c r="AA895" s="1" t="s">
        <v>8897</v>
      </c>
      <c r="AB895" s="1" t="s">
        <v>6559</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8898</v>
      </c>
      <c r="AP895" s="1" t="s">
        <v>8899</v>
      </c>
      <c r="AQ895" s="1" t="s">
        <v>74</v>
      </c>
      <c r="AR895" s="1" t="s">
        <v>74</v>
      </c>
      <c r="AS895" s="1" t="s">
        <v>74</v>
      </c>
      <c r="AT895" s="1" t="s">
        <v>397</v>
      </c>
      <c r="AU895" s="1">
        <v>2020.0</v>
      </c>
      <c r="AV895" s="1">
        <v>232.0</v>
      </c>
      <c r="AW895" s="1" t="s">
        <v>74</v>
      </c>
      <c r="AX895" s="1" t="s">
        <v>74</v>
      </c>
      <c r="AY895" s="1" t="s">
        <v>74</v>
      </c>
      <c r="AZ895" s="1" t="s">
        <v>74</v>
      </c>
      <c r="BA895" s="1" t="s">
        <v>74</v>
      </c>
      <c r="BB895" s="1" t="s">
        <v>74</v>
      </c>
      <c r="BC895" s="1" t="s">
        <v>74</v>
      </c>
      <c r="BD895" s="1">
        <v>117546.0</v>
      </c>
      <c r="BE895" s="1" t="s">
        <v>8900</v>
      </c>
      <c r="BF895" s="2" t="str">
        <f>HYPERLINK("http://dx.doi.org/10.1016/j.atmosenv.2020.117546","http://dx.doi.org/10.1016/j.atmosenv.2020.117546")</f>
        <v>http://dx.doi.org/10.1016/j.atmosenv.2020.117546</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8901</v>
      </c>
      <c r="BT895" s="1" t="str">
        <f>HYPERLINK("https%3A%2F%2Fwww.webofscience.com%2Fwos%2Fwoscc%2Ffull-record%2FWOS:000539152100012","View Full Record in Web of Science")</f>
        <v>View Full Record in Web of Science</v>
      </c>
    </row>
    <row r="896" ht="12.75" customHeight="1">
      <c r="A896" s="1" t="s">
        <v>72</v>
      </c>
      <c r="B896" s="1" t="s">
        <v>8902</v>
      </c>
      <c r="C896" s="1" t="s">
        <v>74</v>
      </c>
      <c r="D896" s="1" t="s">
        <v>74</v>
      </c>
      <c r="E896" s="1" t="s">
        <v>74</v>
      </c>
      <c r="F896" s="1" t="s">
        <v>8903</v>
      </c>
      <c r="G896" s="1" t="s">
        <v>74</v>
      </c>
      <c r="H896" s="1" t="s">
        <v>74</v>
      </c>
      <c r="I896" s="1" t="s">
        <v>8904</v>
      </c>
      <c r="J896" s="1" t="s">
        <v>7954</v>
      </c>
      <c r="K896" s="1" t="s">
        <v>74</v>
      </c>
      <c r="L896" s="1" t="s">
        <v>74</v>
      </c>
      <c r="M896" s="1" t="s">
        <v>74</v>
      </c>
      <c r="N896" s="1" t="s">
        <v>74</v>
      </c>
      <c r="O896" s="1" t="s">
        <v>74</v>
      </c>
      <c r="P896" s="1" t="s">
        <v>74</v>
      </c>
      <c r="Q896" s="1" t="s">
        <v>74</v>
      </c>
      <c r="R896" s="1" t="s">
        <v>74</v>
      </c>
      <c r="S896" s="1" t="s">
        <v>74</v>
      </c>
      <c r="T896" s="1" t="s">
        <v>74</v>
      </c>
      <c r="U896" s="1" t="s">
        <v>74</v>
      </c>
      <c r="V896" s="1" t="s">
        <v>8905</v>
      </c>
      <c r="W896" s="1" t="s">
        <v>74</v>
      </c>
      <c r="X896" s="1" t="s">
        <v>74</v>
      </c>
      <c r="Y896" s="1" t="s">
        <v>74</v>
      </c>
      <c r="Z896" s="1" t="s">
        <v>74</v>
      </c>
      <c r="AA896" s="1" t="s">
        <v>7726</v>
      </c>
      <c r="AB896" s="1" t="s">
        <v>7727</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7958</v>
      </c>
      <c r="AP896" s="1" t="s">
        <v>74</v>
      </c>
      <c r="AQ896" s="1" t="s">
        <v>74</v>
      </c>
      <c r="AR896" s="1" t="s">
        <v>74</v>
      </c>
      <c r="AS896" s="1" t="s">
        <v>74</v>
      </c>
      <c r="AT896" s="1" t="s">
        <v>7959</v>
      </c>
      <c r="AU896" s="1">
        <v>2020.0</v>
      </c>
      <c r="AV896" s="1">
        <v>15.0</v>
      </c>
      <c r="AW896" s="1">
        <v>1.0</v>
      </c>
      <c r="AX896" s="1" t="s">
        <v>74</v>
      </c>
      <c r="AY896" s="1" t="s">
        <v>74</v>
      </c>
      <c r="AZ896" s="1" t="s">
        <v>74</v>
      </c>
      <c r="BA896" s="1" t="s">
        <v>74</v>
      </c>
      <c r="BB896" s="1">
        <v>1.0</v>
      </c>
      <c r="BC896" s="1">
        <v>3.0</v>
      </c>
      <c r="BD896" s="1" t="s">
        <v>74</v>
      </c>
      <c r="BE896" s="1" t="s">
        <v>8906</v>
      </c>
      <c r="BF896" s="2" t="str">
        <f>HYPERLINK("http://dx.doi.org/10.18002/rama.v15i1.6230","http://dx.doi.org/10.18002/rama.v15i1.6230")</f>
        <v>http://dx.doi.org/10.18002/rama.v15i1.6230</v>
      </c>
      <c r="BG896" s="1" t="s">
        <v>74</v>
      </c>
      <c r="BH896" s="1" t="s">
        <v>74</v>
      </c>
      <c r="BI896" s="1" t="s">
        <v>74</v>
      </c>
      <c r="BJ896" s="1" t="s">
        <v>74</v>
      </c>
      <c r="BK896" s="1" t="s">
        <v>74</v>
      </c>
      <c r="BL896" s="1" t="s">
        <v>74</v>
      </c>
      <c r="BM896" s="1" t="s">
        <v>74</v>
      </c>
      <c r="BN896" s="1" t="s">
        <v>74</v>
      </c>
      <c r="BO896" s="1" t="s">
        <v>74</v>
      </c>
      <c r="BP896" s="1" t="s">
        <v>74</v>
      </c>
      <c r="BQ896" s="1" t="s">
        <v>74</v>
      </c>
      <c r="BR896" s="1" t="s">
        <v>74</v>
      </c>
      <c r="BS896" s="1" t="s">
        <v>8907</v>
      </c>
      <c r="BT896" s="1" t="str">
        <f>HYPERLINK("https%3A%2F%2Fwww.webofscience.com%2Fwos%2Fwoscc%2Ffull-record%2FWOS:000567112000001","View Full Record in Web of Science")</f>
        <v>View Full Record in Web of Science</v>
      </c>
    </row>
    <row r="897" ht="12.75" customHeight="1">
      <c r="A897" s="1" t="s">
        <v>72</v>
      </c>
      <c r="B897" s="1" t="s">
        <v>8908</v>
      </c>
      <c r="C897" s="1" t="s">
        <v>74</v>
      </c>
      <c r="D897" s="1" t="s">
        <v>74</v>
      </c>
      <c r="E897" s="1" t="s">
        <v>74</v>
      </c>
      <c r="F897" s="1" t="s">
        <v>8909</v>
      </c>
      <c r="G897" s="1" t="s">
        <v>74</v>
      </c>
      <c r="H897" s="1" t="s">
        <v>74</v>
      </c>
      <c r="I897" s="1" t="s">
        <v>8910</v>
      </c>
      <c r="J897" s="1" t="s">
        <v>8911</v>
      </c>
      <c r="K897" s="1" t="s">
        <v>74</v>
      </c>
      <c r="L897" s="1" t="s">
        <v>74</v>
      </c>
      <c r="M897" s="1" t="s">
        <v>74</v>
      </c>
      <c r="N897" s="1" t="s">
        <v>74</v>
      </c>
      <c r="O897" s="1" t="s">
        <v>8912</v>
      </c>
      <c r="P897" s="1" t="s">
        <v>8913</v>
      </c>
      <c r="Q897" s="1" t="s">
        <v>8914</v>
      </c>
      <c r="R897" s="1" t="s">
        <v>8915</v>
      </c>
      <c r="S897" s="1" t="s">
        <v>74</v>
      </c>
      <c r="T897" s="1" t="s">
        <v>74</v>
      </c>
      <c r="U897" s="1" t="s">
        <v>74</v>
      </c>
      <c r="V897" s="1" t="s">
        <v>8916</v>
      </c>
      <c r="W897" s="1" t="s">
        <v>74</v>
      </c>
      <c r="X897" s="1" t="s">
        <v>74</v>
      </c>
      <c r="Y897" s="1" t="s">
        <v>74</v>
      </c>
      <c r="Z897" s="1" t="s">
        <v>74</v>
      </c>
      <c r="AA897" s="1" t="s">
        <v>8917</v>
      </c>
      <c r="AB897" s="1" t="s">
        <v>8918</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8919</v>
      </c>
      <c r="AP897" s="1" t="s">
        <v>74</v>
      </c>
      <c r="AQ897" s="1" t="s">
        <v>74</v>
      </c>
      <c r="AR897" s="1" t="s">
        <v>74</v>
      </c>
      <c r="AS897" s="1" t="s">
        <v>74</v>
      </c>
      <c r="AT897" s="1" t="s">
        <v>177</v>
      </c>
      <c r="AU897" s="1">
        <v>2019.0</v>
      </c>
      <c r="AV897" s="1">
        <v>138.0</v>
      </c>
      <c r="AW897" s="1" t="s">
        <v>74</v>
      </c>
      <c r="AX897" s="1" t="s">
        <v>74</v>
      </c>
      <c r="AY897" s="1" t="s">
        <v>74</v>
      </c>
      <c r="AZ897" s="1" t="s">
        <v>74</v>
      </c>
      <c r="BA897" s="1" t="s">
        <v>74</v>
      </c>
      <c r="BB897" s="1">
        <v>52.0</v>
      </c>
      <c r="BC897" s="1">
        <v>59.0</v>
      </c>
      <c r="BD897" s="1" t="s">
        <v>74</v>
      </c>
      <c r="BE897" s="1" t="s">
        <v>8920</v>
      </c>
      <c r="BF897" s="2" t="str">
        <f>HYPERLINK("http://dx.doi.org/10.1016/j.mineng.2019.04.033","http://dx.doi.org/10.1016/j.mineng.2019.04.033")</f>
        <v>http://dx.doi.org/10.1016/j.mineng.2019.04.033</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8921</v>
      </c>
      <c r="BT897" s="1" t="str">
        <f>HYPERLINK("https%3A%2F%2Fwww.webofscience.com%2Fwos%2Fwoscc%2Ffull-record%2FWOS:000482508400007","View Full Record in Web of Science")</f>
        <v>View Full Record in Web of Science</v>
      </c>
    </row>
    <row r="898" ht="12.75" customHeight="1">
      <c r="A898" s="1" t="s">
        <v>72</v>
      </c>
      <c r="B898" s="1" t="s">
        <v>8922</v>
      </c>
      <c r="C898" s="1" t="s">
        <v>74</v>
      </c>
      <c r="D898" s="1" t="s">
        <v>74</v>
      </c>
      <c r="E898" s="1" t="s">
        <v>74</v>
      </c>
      <c r="F898" s="1" t="s">
        <v>8923</v>
      </c>
      <c r="G898" s="1" t="s">
        <v>74</v>
      </c>
      <c r="H898" s="1" t="s">
        <v>74</v>
      </c>
      <c r="I898" s="1" t="s">
        <v>8924</v>
      </c>
      <c r="J898" s="1" t="s">
        <v>8925</v>
      </c>
      <c r="K898" s="1" t="s">
        <v>74</v>
      </c>
      <c r="L898" s="1" t="s">
        <v>74</v>
      </c>
      <c r="M898" s="1" t="s">
        <v>74</v>
      </c>
      <c r="N898" s="1" t="s">
        <v>74</v>
      </c>
      <c r="O898" s="1" t="s">
        <v>74</v>
      </c>
      <c r="P898" s="1" t="s">
        <v>74</v>
      </c>
      <c r="Q898" s="1" t="s">
        <v>74</v>
      </c>
      <c r="R898" s="1" t="s">
        <v>74</v>
      </c>
      <c r="S898" s="1" t="s">
        <v>74</v>
      </c>
      <c r="T898" s="1" t="s">
        <v>74</v>
      </c>
      <c r="U898" s="1" t="s">
        <v>74</v>
      </c>
      <c r="V898" s="1" t="s">
        <v>8926</v>
      </c>
      <c r="W898" s="1" t="s">
        <v>74</v>
      </c>
      <c r="X898" s="1" t="s">
        <v>74</v>
      </c>
      <c r="Y898" s="1" t="s">
        <v>74</v>
      </c>
      <c r="Z898" s="1" t="s">
        <v>74</v>
      </c>
      <c r="AA898" s="1" t="s">
        <v>8927</v>
      </c>
      <c r="AB898" s="1" t="s">
        <v>8928</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8929</v>
      </c>
      <c r="AP898" s="1" t="s">
        <v>8930</v>
      </c>
      <c r="AQ898" s="1" t="s">
        <v>74</v>
      </c>
      <c r="AR898" s="1" t="s">
        <v>74</v>
      </c>
      <c r="AS898" s="1" t="s">
        <v>74</v>
      </c>
      <c r="AT898" s="1" t="s">
        <v>4914</v>
      </c>
      <c r="AU898" s="1">
        <v>2019.0</v>
      </c>
      <c r="AV898" s="1">
        <v>136.0</v>
      </c>
      <c r="AW898" s="1">
        <v>8.0</v>
      </c>
      <c r="AX898" s="1" t="s">
        <v>74</v>
      </c>
      <c r="AY898" s="1" t="s">
        <v>74</v>
      </c>
      <c r="AZ898" s="1" t="s">
        <v>74</v>
      </c>
      <c r="BA898" s="1" t="s">
        <v>74</v>
      </c>
      <c r="BB898" s="1" t="s">
        <v>74</v>
      </c>
      <c r="BC898" s="1" t="s">
        <v>74</v>
      </c>
      <c r="BD898" s="1">
        <v>47090.0</v>
      </c>
      <c r="BE898" s="1" t="s">
        <v>8931</v>
      </c>
      <c r="BF898" s="2" t="str">
        <f>HYPERLINK("http://dx.doi.org/10.1002/app.47090","http://dx.doi.org/10.1002/app.47090")</f>
        <v>http://dx.doi.org/10.1002/app.47090</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8932</v>
      </c>
      <c r="BT898" s="1" t="str">
        <f>HYPERLINK("https%3A%2F%2Fwww.webofscience.com%2Fwos%2Fwoscc%2Ffull-record%2FWOS:000454226300014","View Full Record in Web of Science")</f>
        <v>View Full Record in Web of Science</v>
      </c>
    </row>
    <row r="899" ht="12.75" customHeight="1">
      <c r="A899" s="1" t="s">
        <v>72</v>
      </c>
      <c r="B899" s="1" t="s">
        <v>8933</v>
      </c>
      <c r="C899" s="1" t="s">
        <v>74</v>
      </c>
      <c r="D899" s="1" t="s">
        <v>74</v>
      </c>
      <c r="E899" s="1" t="s">
        <v>74</v>
      </c>
      <c r="F899" s="1" t="s">
        <v>8934</v>
      </c>
      <c r="G899" s="1" t="s">
        <v>74</v>
      </c>
      <c r="H899" s="1" t="s">
        <v>74</v>
      </c>
      <c r="I899" s="1" t="s">
        <v>8935</v>
      </c>
      <c r="J899" s="1" t="s">
        <v>2006</v>
      </c>
      <c r="K899" s="1" t="s">
        <v>74</v>
      </c>
      <c r="L899" s="1" t="s">
        <v>74</v>
      </c>
      <c r="M899" s="1" t="s">
        <v>74</v>
      </c>
      <c r="N899" s="1" t="s">
        <v>74</v>
      </c>
      <c r="O899" s="1" t="s">
        <v>74</v>
      </c>
      <c r="P899" s="1" t="s">
        <v>74</v>
      </c>
      <c r="Q899" s="1" t="s">
        <v>74</v>
      </c>
      <c r="R899" s="1" t="s">
        <v>74</v>
      </c>
      <c r="S899" s="1" t="s">
        <v>74</v>
      </c>
      <c r="T899" s="1" t="s">
        <v>74</v>
      </c>
      <c r="U899" s="1" t="s">
        <v>74</v>
      </c>
      <c r="V899" s="1" t="s">
        <v>8936</v>
      </c>
      <c r="W899" s="1" t="s">
        <v>74</v>
      </c>
      <c r="X899" s="1" t="s">
        <v>74</v>
      </c>
      <c r="Y899" s="1" t="s">
        <v>74</v>
      </c>
      <c r="Z899" s="1" t="s">
        <v>74</v>
      </c>
      <c r="AA899" s="1" t="s">
        <v>8937</v>
      </c>
      <c r="AB899" s="1" t="s">
        <v>8938</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2010</v>
      </c>
      <c r="AP899" s="1" t="s">
        <v>74</v>
      </c>
      <c r="AQ899" s="1" t="s">
        <v>74</v>
      </c>
      <c r="AR899" s="1" t="s">
        <v>74</v>
      </c>
      <c r="AS899" s="1" t="s">
        <v>74</v>
      </c>
      <c r="AT899" s="1" t="s">
        <v>177</v>
      </c>
      <c r="AU899" s="1">
        <v>2017.0</v>
      </c>
      <c r="AV899" s="1">
        <v>16.0</v>
      </c>
      <c r="AW899" s="1">
        <v>4.0</v>
      </c>
      <c r="AX899" s="1" t="s">
        <v>74</v>
      </c>
      <c r="AY899" s="1" t="s">
        <v>74</v>
      </c>
      <c r="AZ899" s="1" t="s">
        <v>74</v>
      </c>
      <c r="BA899" s="1" t="s">
        <v>74</v>
      </c>
      <c r="BB899" s="1">
        <v>361.0</v>
      </c>
      <c r="BC899" s="1">
        <v>384.0</v>
      </c>
      <c r="BD899" s="1" t="s">
        <v>74</v>
      </c>
      <c r="BE899" s="1" t="s">
        <v>74</v>
      </c>
      <c r="BF899" s="1" t="s">
        <v>74</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8939</v>
      </c>
      <c r="BT899" s="1" t="str">
        <f>HYPERLINK("https%3A%2F%2Fwww.webofscience.com%2Fwos%2Fwoscc%2Ffull-record%2FWOS:000405695600003","View Full Record in Web of Science")</f>
        <v>View Full Record in Web of Science</v>
      </c>
    </row>
    <row r="900" ht="12.75" customHeight="1">
      <c r="A900" s="1" t="s">
        <v>72</v>
      </c>
      <c r="B900" s="1" t="s">
        <v>8940</v>
      </c>
      <c r="C900" s="1" t="s">
        <v>74</v>
      </c>
      <c r="D900" s="1" t="s">
        <v>74</v>
      </c>
      <c r="E900" s="1" t="s">
        <v>74</v>
      </c>
      <c r="F900" s="1" t="s">
        <v>8941</v>
      </c>
      <c r="G900" s="1" t="s">
        <v>74</v>
      </c>
      <c r="H900" s="1" t="s">
        <v>8942</v>
      </c>
      <c r="I900" s="1" t="s">
        <v>8943</v>
      </c>
      <c r="J900" s="1" t="s">
        <v>8944</v>
      </c>
      <c r="K900" s="1" t="s">
        <v>74</v>
      </c>
      <c r="L900" s="1" t="s">
        <v>74</v>
      </c>
      <c r="M900" s="1" t="s">
        <v>74</v>
      </c>
      <c r="N900" s="1" t="s">
        <v>74</v>
      </c>
      <c r="O900" s="1" t="s">
        <v>74</v>
      </c>
      <c r="P900" s="1" t="s">
        <v>74</v>
      </c>
      <c r="Q900" s="1" t="s">
        <v>74</v>
      </c>
      <c r="R900" s="1" t="s">
        <v>74</v>
      </c>
      <c r="S900" s="1" t="s">
        <v>74</v>
      </c>
      <c r="T900" s="1" t="s">
        <v>74</v>
      </c>
      <c r="U900" s="1" t="s">
        <v>74</v>
      </c>
      <c r="V900" s="1" t="s">
        <v>8945</v>
      </c>
      <c r="W900" s="1" t="s">
        <v>74</v>
      </c>
      <c r="X900" s="1" t="s">
        <v>74</v>
      </c>
      <c r="Y900" s="1" t="s">
        <v>74</v>
      </c>
      <c r="Z900" s="1" t="s">
        <v>74</v>
      </c>
      <c r="AA900" s="1" t="s">
        <v>8946</v>
      </c>
      <c r="AB900" s="1" t="s">
        <v>8947</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8948</v>
      </c>
      <c r="AP900" s="1" t="s">
        <v>8949</v>
      </c>
      <c r="AQ900" s="1" t="s">
        <v>74</v>
      </c>
      <c r="AR900" s="1" t="s">
        <v>74</v>
      </c>
      <c r="AS900" s="1" t="s">
        <v>74</v>
      </c>
      <c r="AT900" s="1" t="s">
        <v>1279</v>
      </c>
      <c r="AU900" s="1">
        <v>2015.0</v>
      </c>
      <c r="AV900" s="1">
        <v>239.0</v>
      </c>
      <c r="AW900" s="1">
        <v>2.0</v>
      </c>
      <c r="AX900" s="1" t="s">
        <v>74</v>
      </c>
      <c r="AY900" s="1" t="s">
        <v>74</v>
      </c>
      <c r="AZ900" s="1" t="s">
        <v>74</v>
      </c>
      <c r="BA900" s="1" t="s">
        <v>74</v>
      </c>
      <c r="BB900" s="1">
        <v>571.0</v>
      </c>
      <c r="BC900" s="1">
        <v>576.0</v>
      </c>
      <c r="BD900" s="1" t="s">
        <v>74</v>
      </c>
      <c r="BE900" s="1" t="s">
        <v>8950</v>
      </c>
      <c r="BF900" s="2" t="str">
        <f>HYPERLINK("http://dx.doi.org/10.1016/j.atherosclerosis.2015.02.028","http://dx.doi.org/10.1016/j.atherosclerosis.2015.02.028")</f>
        <v>http://dx.doi.org/10.1016/j.atherosclerosis.2015.02.028</v>
      </c>
      <c r="BG900" s="1" t="s">
        <v>74</v>
      </c>
      <c r="BH900" s="1" t="s">
        <v>74</v>
      </c>
      <c r="BI900" s="1" t="s">
        <v>74</v>
      </c>
      <c r="BJ900" s="1" t="s">
        <v>74</v>
      </c>
      <c r="BK900" s="1" t="s">
        <v>74</v>
      </c>
      <c r="BL900" s="1" t="s">
        <v>74</v>
      </c>
      <c r="BM900" s="1" t="s">
        <v>74</v>
      </c>
      <c r="BN900" s="1">
        <v>2.5733329E7</v>
      </c>
      <c r="BO900" s="1" t="s">
        <v>74</v>
      </c>
      <c r="BP900" s="1" t="s">
        <v>74</v>
      </c>
      <c r="BQ900" s="1" t="s">
        <v>74</v>
      </c>
      <c r="BR900" s="1" t="s">
        <v>74</v>
      </c>
      <c r="BS900" s="1" t="s">
        <v>8951</v>
      </c>
      <c r="BT900" s="1" t="str">
        <f>HYPERLINK("https%3A%2F%2Fwww.webofscience.com%2Fwos%2Fwoscc%2Ffull-record%2FWOS:000351061600042","View Full Record in Web of Science")</f>
        <v>View Full Record in Web of Science</v>
      </c>
    </row>
    <row r="901" ht="12.75" customHeight="1">
      <c r="A901" s="1" t="s">
        <v>72</v>
      </c>
      <c r="B901" s="1" t="s">
        <v>8952</v>
      </c>
      <c r="C901" s="1" t="s">
        <v>74</v>
      </c>
      <c r="D901" s="1" t="s">
        <v>74</v>
      </c>
      <c r="E901" s="1" t="s">
        <v>74</v>
      </c>
      <c r="F901" s="1" t="s">
        <v>8953</v>
      </c>
      <c r="G901" s="1" t="s">
        <v>74</v>
      </c>
      <c r="H901" s="1" t="s">
        <v>74</v>
      </c>
      <c r="I901" s="1" t="s">
        <v>8954</v>
      </c>
      <c r="J901" s="1" t="s">
        <v>6567</v>
      </c>
      <c r="K901" s="1" t="s">
        <v>74</v>
      </c>
      <c r="L901" s="1" t="s">
        <v>74</v>
      </c>
      <c r="M901" s="1" t="s">
        <v>74</v>
      </c>
      <c r="N901" s="1" t="s">
        <v>74</v>
      </c>
      <c r="O901" s="1" t="s">
        <v>74</v>
      </c>
      <c r="P901" s="1" t="s">
        <v>74</v>
      </c>
      <c r="Q901" s="1" t="s">
        <v>74</v>
      </c>
      <c r="R901" s="1" t="s">
        <v>74</v>
      </c>
      <c r="S901" s="1" t="s">
        <v>74</v>
      </c>
      <c r="T901" s="1" t="s">
        <v>74</v>
      </c>
      <c r="U901" s="1" t="s">
        <v>74</v>
      </c>
      <c r="V901" s="1" t="s">
        <v>8955</v>
      </c>
      <c r="W901" s="1" t="s">
        <v>74</v>
      </c>
      <c r="X901" s="1" t="s">
        <v>74</v>
      </c>
      <c r="Y901" s="1" t="s">
        <v>74</v>
      </c>
      <c r="Z901" s="1" t="s">
        <v>74</v>
      </c>
      <c r="AA901" s="1" t="s">
        <v>8956</v>
      </c>
      <c r="AB901" s="1" t="s">
        <v>8957</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6571</v>
      </c>
      <c r="AP901" s="1" t="s">
        <v>6572</v>
      </c>
      <c r="AQ901" s="1" t="s">
        <v>74</v>
      </c>
      <c r="AR901" s="1" t="s">
        <v>74</v>
      </c>
      <c r="AS901" s="1" t="s">
        <v>74</v>
      </c>
      <c r="AT901" s="1" t="s">
        <v>374</v>
      </c>
      <c r="AU901" s="1">
        <v>2014.0</v>
      </c>
      <c r="AV901" s="1">
        <v>81.0</v>
      </c>
      <c r="AW901" s="1">
        <v>11.0</v>
      </c>
      <c r="AX901" s="1" t="s">
        <v>74</v>
      </c>
      <c r="AY901" s="1" t="s">
        <v>74</v>
      </c>
      <c r="AZ901" s="1" t="s">
        <v>74</v>
      </c>
      <c r="BA901" s="1" t="s">
        <v>74</v>
      </c>
      <c r="BB901" s="1">
        <v>1053.0</v>
      </c>
      <c r="BC901" s="1">
        <v>1061.0</v>
      </c>
      <c r="BD901" s="1" t="s">
        <v>74</v>
      </c>
      <c r="BE901" s="1" t="s">
        <v>8958</v>
      </c>
      <c r="BF901" s="2" t="str">
        <f>HYPERLINK("http://dx.doi.org/10.1002/mrd.22427","http://dx.doi.org/10.1002/mrd.22427")</f>
        <v>http://dx.doi.org/10.1002/mrd.22427</v>
      </c>
      <c r="BG901" s="1" t="s">
        <v>74</v>
      </c>
      <c r="BH901" s="1" t="s">
        <v>74</v>
      </c>
      <c r="BI901" s="1" t="s">
        <v>74</v>
      </c>
      <c r="BJ901" s="1" t="s">
        <v>74</v>
      </c>
      <c r="BK901" s="1" t="s">
        <v>74</v>
      </c>
      <c r="BL901" s="1" t="s">
        <v>74</v>
      </c>
      <c r="BM901" s="1" t="s">
        <v>74</v>
      </c>
      <c r="BN901" s="1">
        <v>2.5359088E7</v>
      </c>
      <c r="BO901" s="1" t="s">
        <v>74</v>
      </c>
      <c r="BP901" s="1" t="s">
        <v>74</v>
      </c>
      <c r="BQ901" s="1" t="s">
        <v>74</v>
      </c>
      <c r="BR901" s="1" t="s">
        <v>74</v>
      </c>
      <c r="BS901" s="1" t="s">
        <v>8959</v>
      </c>
      <c r="BT901" s="1" t="str">
        <f>HYPERLINK("https%3A%2F%2Fwww.webofscience.com%2Fwos%2Fwoscc%2Ffull-record%2FWOS:000344685600009","View Full Record in Web of Science")</f>
        <v>View Full Record in Web of Science</v>
      </c>
    </row>
    <row r="902" ht="12.75" customHeight="1">
      <c r="A902" s="1" t="s">
        <v>72</v>
      </c>
      <c r="B902" s="1" t="s">
        <v>8960</v>
      </c>
      <c r="C902" s="1" t="s">
        <v>74</v>
      </c>
      <c r="D902" s="1" t="s">
        <v>74</v>
      </c>
      <c r="E902" s="1" t="s">
        <v>74</v>
      </c>
      <c r="F902" s="1" t="s">
        <v>8961</v>
      </c>
      <c r="G902" s="1" t="s">
        <v>74</v>
      </c>
      <c r="H902" s="1" t="s">
        <v>74</v>
      </c>
      <c r="I902" s="1" t="s">
        <v>8962</v>
      </c>
      <c r="J902" s="1" t="s">
        <v>8963</v>
      </c>
      <c r="K902" s="1" t="s">
        <v>74</v>
      </c>
      <c r="L902" s="1" t="s">
        <v>74</v>
      </c>
      <c r="M902" s="1" t="s">
        <v>74</v>
      </c>
      <c r="N902" s="1" t="s">
        <v>74</v>
      </c>
      <c r="O902" s="1" t="s">
        <v>74</v>
      </c>
      <c r="P902" s="1" t="s">
        <v>74</v>
      </c>
      <c r="Q902" s="1" t="s">
        <v>74</v>
      </c>
      <c r="R902" s="1" t="s">
        <v>74</v>
      </c>
      <c r="S902" s="1" t="s">
        <v>74</v>
      </c>
      <c r="T902" s="1" t="s">
        <v>74</v>
      </c>
      <c r="U902" s="1" t="s">
        <v>74</v>
      </c>
      <c r="V902" s="1" t="s">
        <v>8964</v>
      </c>
      <c r="W902" s="1" t="s">
        <v>74</v>
      </c>
      <c r="X902" s="1" t="s">
        <v>74</v>
      </c>
      <c r="Y902" s="1" t="s">
        <v>74</v>
      </c>
      <c r="Z902" s="1" t="s">
        <v>74</v>
      </c>
      <c r="AA902" s="1" t="s">
        <v>8965</v>
      </c>
      <c r="AB902" s="1" t="s">
        <v>8966</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8967</v>
      </c>
      <c r="AP902" s="1" t="s">
        <v>8968</v>
      </c>
      <c r="AQ902" s="1" t="s">
        <v>74</v>
      </c>
      <c r="AR902" s="1" t="s">
        <v>74</v>
      </c>
      <c r="AS902" s="1" t="s">
        <v>74</v>
      </c>
      <c r="AT902" s="1" t="s">
        <v>177</v>
      </c>
      <c r="AU902" s="1">
        <v>2014.0</v>
      </c>
      <c r="AV902" s="1">
        <v>19.0</v>
      </c>
      <c r="AW902" s="1">
        <v>7.0</v>
      </c>
      <c r="AX902" s="1" t="s">
        <v>74</v>
      </c>
      <c r="AY902" s="1" t="s">
        <v>74</v>
      </c>
      <c r="AZ902" s="1" t="s">
        <v>74</v>
      </c>
      <c r="BA902" s="1" t="s">
        <v>74</v>
      </c>
      <c r="BB902" s="1">
        <v>2215.0</v>
      </c>
      <c r="BC902" s="1">
        <v>2224.0</v>
      </c>
      <c r="BD902" s="1" t="s">
        <v>74</v>
      </c>
      <c r="BE902" s="1" t="s">
        <v>8969</v>
      </c>
      <c r="BF902" s="2" t="str">
        <f>HYPERLINK("http://dx.doi.org/10.1590/1413-81232014197.09682013","http://dx.doi.org/10.1590/1413-81232014197.09682013")</f>
        <v>http://dx.doi.org/10.1590/1413-81232014197.09682013</v>
      </c>
      <c r="BG902" s="1" t="s">
        <v>74</v>
      </c>
      <c r="BH902" s="1" t="s">
        <v>74</v>
      </c>
      <c r="BI902" s="1" t="s">
        <v>74</v>
      </c>
      <c r="BJ902" s="1" t="s">
        <v>74</v>
      </c>
      <c r="BK902" s="1" t="s">
        <v>74</v>
      </c>
      <c r="BL902" s="1" t="s">
        <v>74</v>
      </c>
      <c r="BM902" s="1" t="s">
        <v>74</v>
      </c>
      <c r="BN902" s="1">
        <v>2.50143E7</v>
      </c>
      <c r="BO902" s="1" t="s">
        <v>74</v>
      </c>
      <c r="BP902" s="1" t="s">
        <v>74</v>
      </c>
      <c r="BQ902" s="1" t="s">
        <v>74</v>
      </c>
      <c r="BR902" s="1" t="s">
        <v>74</v>
      </c>
      <c r="BS902" s="1" t="s">
        <v>8970</v>
      </c>
      <c r="BT902" s="1" t="str">
        <f>HYPERLINK("https%3A%2F%2Fwww.webofscience.com%2Fwos%2Fwoscc%2Ffull-record%2FWOS:000339800300025","View Full Record in Web of Science")</f>
        <v>View Full Record in Web of Science</v>
      </c>
    </row>
    <row r="903" ht="12.75" customHeight="1">
      <c r="A903" s="1" t="s">
        <v>72</v>
      </c>
      <c r="B903" s="1" t="s">
        <v>8971</v>
      </c>
      <c r="C903" s="1" t="s">
        <v>74</v>
      </c>
      <c r="D903" s="1" t="s">
        <v>74</v>
      </c>
      <c r="E903" s="1" t="s">
        <v>74</v>
      </c>
      <c r="F903" s="1" t="s">
        <v>8972</v>
      </c>
      <c r="G903" s="1" t="s">
        <v>74</v>
      </c>
      <c r="H903" s="1" t="s">
        <v>74</v>
      </c>
      <c r="I903" s="1" t="s">
        <v>8973</v>
      </c>
      <c r="J903" s="1" t="s">
        <v>6631</v>
      </c>
      <c r="K903" s="1" t="s">
        <v>74</v>
      </c>
      <c r="L903" s="1" t="s">
        <v>74</v>
      </c>
      <c r="M903" s="1" t="s">
        <v>74</v>
      </c>
      <c r="N903" s="1" t="s">
        <v>74</v>
      </c>
      <c r="O903" s="1" t="s">
        <v>74</v>
      </c>
      <c r="P903" s="1" t="s">
        <v>74</v>
      </c>
      <c r="Q903" s="1" t="s">
        <v>74</v>
      </c>
      <c r="R903" s="1" t="s">
        <v>74</v>
      </c>
      <c r="S903" s="1" t="s">
        <v>74</v>
      </c>
      <c r="T903" s="1" t="s">
        <v>74</v>
      </c>
      <c r="U903" s="1" t="s">
        <v>74</v>
      </c>
      <c r="V903" s="1" t="s">
        <v>8974</v>
      </c>
      <c r="W903" s="1" t="s">
        <v>74</v>
      </c>
      <c r="X903" s="1" t="s">
        <v>74</v>
      </c>
      <c r="Y903" s="1" t="s">
        <v>74</v>
      </c>
      <c r="Z903" s="1" t="s">
        <v>74</v>
      </c>
      <c r="AA903" s="1" t="s">
        <v>8975</v>
      </c>
      <c r="AB903" s="1" t="s">
        <v>8976</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6634</v>
      </c>
      <c r="AP903" s="1" t="s">
        <v>6635</v>
      </c>
      <c r="AQ903" s="1" t="s">
        <v>74</v>
      </c>
      <c r="AR903" s="1" t="s">
        <v>74</v>
      </c>
      <c r="AS903" s="1" t="s">
        <v>74</v>
      </c>
      <c r="AT903" s="1" t="s">
        <v>8977</v>
      </c>
      <c r="AU903" s="1">
        <v>2013.0</v>
      </c>
      <c r="AV903" s="1">
        <v>49.0</v>
      </c>
      <c r="AW903" s="1">
        <v>3.0</v>
      </c>
      <c r="AX903" s="1" t="s">
        <v>74</v>
      </c>
      <c r="AY903" s="1" t="s">
        <v>74</v>
      </c>
      <c r="AZ903" s="1" t="s">
        <v>74</v>
      </c>
      <c r="BA903" s="1" t="s">
        <v>74</v>
      </c>
      <c r="BB903" s="1">
        <v>213.0</v>
      </c>
      <c r="BC903" s="1">
        <v>222.0</v>
      </c>
      <c r="BD903" s="1" t="s">
        <v>74</v>
      </c>
      <c r="BE903" s="1" t="s">
        <v>8978</v>
      </c>
      <c r="BF903" s="2" t="str">
        <f>HYPERLINK("http://dx.doi.org/10.3989/revmetalm.1236","http://dx.doi.org/10.3989/revmetalm.1236")</f>
        <v>http://dx.doi.org/10.3989/revmetalm.1236</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8979</v>
      </c>
      <c r="BT903" s="1" t="str">
        <f>HYPERLINK("https%3A%2F%2Fwww.webofscience.com%2Fwos%2Fwoscc%2Ffull-record%2FWOS:000326617400004","View Full Record in Web of Science")</f>
        <v>View Full Record in Web of Science</v>
      </c>
    </row>
    <row r="904" ht="12.75" customHeight="1">
      <c r="A904" s="1" t="s">
        <v>72</v>
      </c>
      <c r="B904" s="1" t="s">
        <v>8980</v>
      </c>
      <c r="C904" s="1" t="s">
        <v>74</v>
      </c>
      <c r="D904" s="1" t="s">
        <v>74</v>
      </c>
      <c r="E904" s="1" t="s">
        <v>74</v>
      </c>
      <c r="F904" s="1" t="s">
        <v>8981</v>
      </c>
      <c r="G904" s="1" t="s">
        <v>74</v>
      </c>
      <c r="H904" s="1" t="s">
        <v>74</v>
      </c>
      <c r="I904" s="1" t="s">
        <v>8982</v>
      </c>
      <c r="J904" s="1" t="s">
        <v>8983</v>
      </c>
      <c r="K904" s="1" t="s">
        <v>74</v>
      </c>
      <c r="L904" s="1" t="s">
        <v>74</v>
      </c>
      <c r="M904" s="1" t="s">
        <v>74</v>
      </c>
      <c r="N904" s="1" t="s">
        <v>74</v>
      </c>
      <c r="O904" s="1" t="s">
        <v>74</v>
      </c>
      <c r="P904" s="1" t="s">
        <v>74</v>
      </c>
      <c r="Q904" s="1" t="s">
        <v>74</v>
      </c>
      <c r="R904" s="1" t="s">
        <v>74</v>
      </c>
      <c r="S904" s="1" t="s">
        <v>74</v>
      </c>
      <c r="T904" s="1" t="s">
        <v>74</v>
      </c>
      <c r="U904" s="1" t="s">
        <v>74</v>
      </c>
      <c r="V904" s="1" t="s">
        <v>8984</v>
      </c>
      <c r="W904" s="1" t="s">
        <v>74</v>
      </c>
      <c r="X904" s="1" t="s">
        <v>74</v>
      </c>
      <c r="Y904" s="1" t="s">
        <v>74</v>
      </c>
      <c r="Z904" s="1" t="s">
        <v>74</v>
      </c>
      <c r="AA904" s="1" t="s">
        <v>8985</v>
      </c>
      <c r="AB904" s="1" t="s">
        <v>74</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8986</v>
      </c>
      <c r="AP904" s="1" t="s">
        <v>74</v>
      </c>
      <c r="AQ904" s="1" t="s">
        <v>74</v>
      </c>
      <c r="AR904" s="1" t="s">
        <v>74</v>
      </c>
      <c r="AS904" s="1" t="s">
        <v>74</v>
      </c>
      <c r="AT904" s="1" t="s">
        <v>164</v>
      </c>
      <c r="AU904" s="1">
        <v>2012.0</v>
      </c>
      <c r="AV904" s="1">
        <v>58.0</v>
      </c>
      <c r="AW904" s="1">
        <v>2.0</v>
      </c>
      <c r="AX904" s="1" t="s">
        <v>74</v>
      </c>
      <c r="AY904" s="1" t="s">
        <v>311</v>
      </c>
      <c r="AZ904" s="1" t="s">
        <v>74</v>
      </c>
      <c r="BA904" s="1" t="s">
        <v>74</v>
      </c>
      <c r="BB904" s="1">
        <v>8.0</v>
      </c>
      <c r="BC904" s="1">
        <v>11.0</v>
      </c>
      <c r="BD904" s="1" t="s">
        <v>74</v>
      </c>
      <c r="BE904" s="1" t="s">
        <v>74</v>
      </c>
      <c r="BF904" s="1" t="s">
        <v>74</v>
      </c>
      <c r="BG904" s="1" t="s">
        <v>74</v>
      </c>
      <c r="BH904" s="1" t="s">
        <v>74</v>
      </c>
      <c r="BI904" s="1" t="s">
        <v>74</v>
      </c>
      <c r="BJ904" s="1" t="s">
        <v>74</v>
      </c>
      <c r="BK904" s="1" t="s">
        <v>74</v>
      </c>
      <c r="BL904" s="1" t="s">
        <v>74</v>
      </c>
      <c r="BM904" s="1" t="s">
        <v>74</v>
      </c>
      <c r="BN904" s="1" t="s">
        <v>74</v>
      </c>
      <c r="BO904" s="1" t="s">
        <v>74</v>
      </c>
      <c r="BP904" s="1" t="s">
        <v>74</v>
      </c>
      <c r="BQ904" s="1" t="s">
        <v>74</v>
      </c>
      <c r="BR904" s="1" t="s">
        <v>74</v>
      </c>
      <c r="BS904" s="1" t="s">
        <v>8987</v>
      </c>
      <c r="BT904" s="1" t="str">
        <f>HYPERLINK("https%3A%2F%2Fwww.webofscience.com%2Fwos%2Fwoscc%2Ffull-record%2FWOS:000312353800004","View Full Record in Web of Science")</f>
        <v>View Full Record in Web of Science</v>
      </c>
    </row>
    <row r="905" ht="12.75" customHeight="1">
      <c r="A905" s="1" t="s">
        <v>72</v>
      </c>
      <c r="B905" s="1" t="s">
        <v>8988</v>
      </c>
      <c r="C905" s="1" t="s">
        <v>74</v>
      </c>
      <c r="D905" s="1" t="s">
        <v>74</v>
      </c>
      <c r="E905" s="1" t="s">
        <v>74</v>
      </c>
      <c r="F905" s="1" t="s">
        <v>8989</v>
      </c>
      <c r="G905" s="1" t="s">
        <v>74</v>
      </c>
      <c r="H905" s="1" t="s">
        <v>74</v>
      </c>
      <c r="I905" s="1" t="s">
        <v>8990</v>
      </c>
      <c r="J905" s="1" t="s">
        <v>8991</v>
      </c>
      <c r="K905" s="1" t="s">
        <v>74</v>
      </c>
      <c r="L905" s="1" t="s">
        <v>74</v>
      </c>
      <c r="M905" s="1" t="s">
        <v>74</v>
      </c>
      <c r="N905" s="1" t="s">
        <v>74</v>
      </c>
      <c r="O905" s="1" t="s">
        <v>74</v>
      </c>
      <c r="P905" s="1" t="s">
        <v>74</v>
      </c>
      <c r="Q905" s="1" t="s">
        <v>74</v>
      </c>
      <c r="R905" s="1" t="s">
        <v>74</v>
      </c>
      <c r="S905" s="1" t="s">
        <v>74</v>
      </c>
      <c r="T905" s="1" t="s">
        <v>74</v>
      </c>
      <c r="U905" s="1" t="s">
        <v>74</v>
      </c>
      <c r="V905" s="1" t="s">
        <v>8992</v>
      </c>
      <c r="W905" s="1" t="s">
        <v>74</v>
      </c>
      <c r="X905" s="1" t="s">
        <v>74</v>
      </c>
      <c r="Y905" s="1" t="s">
        <v>74</v>
      </c>
      <c r="Z905" s="1" t="s">
        <v>74</v>
      </c>
      <c r="AA905" s="1" t="s">
        <v>8993</v>
      </c>
      <c r="AB905" s="1" t="s">
        <v>8994</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8995</v>
      </c>
      <c r="AP905" s="1" t="s">
        <v>8996</v>
      </c>
      <c r="AQ905" s="1" t="s">
        <v>74</v>
      </c>
      <c r="AR905" s="1" t="s">
        <v>74</v>
      </c>
      <c r="AS905" s="1" t="s">
        <v>74</v>
      </c>
      <c r="AT905" s="1" t="s">
        <v>94</v>
      </c>
      <c r="AU905" s="1">
        <v>2012.0</v>
      </c>
      <c r="AV905" s="1">
        <v>20.0</v>
      </c>
      <c r="AW905" s="1">
        <v>4.0</v>
      </c>
      <c r="AX905" s="1" t="s">
        <v>74</v>
      </c>
      <c r="AY905" s="1" t="s">
        <v>74</v>
      </c>
      <c r="AZ905" s="1" t="s">
        <v>74</v>
      </c>
      <c r="BA905" s="1" t="s">
        <v>74</v>
      </c>
      <c r="BB905" s="1" t="s">
        <v>74</v>
      </c>
      <c r="BC905" s="1" t="s">
        <v>74</v>
      </c>
      <c r="BD905" s="1">
        <v>45007.0</v>
      </c>
      <c r="BE905" s="1" t="s">
        <v>8997</v>
      </c>
      <c r="BF905" s="2" t="str">
        <f>HYPERLINK("http://dx.doi.org/10.1088/0965-0393/20/4/045007","http://dx.doi.org/10.1088/0965-0393/20/4/045007")</f>
        <v>http://dx.doi.org/10.1088/0965-0393/20/4/045007</v>
      </c>
      <c r="BG905" s="1" t="s">
        <v>74</v>
      </c>
      <c r="BH905" s="1" t="s">
        <v>74</v>
      </c>
      <c r="BI905" s="1" t="s">
        <v>74</v>
      </c>
      <c r="BJ905" s="1" t="s">
        <v>74</v>
      </c>
      <c r="BK905" s="1" t="s">
        <v>74</v>
      </c>
      <c r="BL905" s="1" t="s">
        <v>74</v>
      </c>
      <c r="BM905" s="1" t="s">
        <v>74</v>
      </c>
      <c r="BN905" s="1" t="s">
        <v>74</v>
      </c>
      <c r="BO905" s="1" t="s">
        <v>74</v>
      </c>
      <c r="BP905" s="1" t="s">
        <v>74</v>
      </c>
      <c r="BQ905" s="1" t="s">
        <v>74</v>
      </c>
      <c r="BR905" s="1" t="s">
        <v>74</v>
      </c>
      <c r="BS905" s="1" t="s">
        <v>8998</v>
      </c>
      <c r="BT905" s="1" t="str">
        <f>HYPERLINK("https%3A%2F%2Fwww.webofscience.com%2Fwos%2Fwoscc%2Ffull-record%2FWOS:000305477800007","View Full Record in Web of Science")</f>
        <v>View Full Record in Web of Science</v>
      </c>
    </row>
    <row r="906" ht="12.75" customHeight="1">
      <c r="A906" s="1" t="s">
        <v>72</v>
      </c>
      <c r="B906" s="1" t="s">
        <v>8999</v>
      </c>
      <c r="C906" s="1" t="s">
        <v>74</v>
      </c>
      <c r="D906" s="1" t="s">
        <v>74</v>
      </c>
      <c r="E906" s="1" t="s">
        <v>74</v>
      </c>
      <c r="F906" s="1" t="s">
        <v>9000</v>
      </c>
      <c r="G906" s="1" t="s">
        <v>74</v>
      </c>
      <c r="H906" s="1" t="s">
        <v>74</v>
      </c>
      <c r="I906" s="1" t="s">
        <v>9001</v>
      </c>
      <c r="J906" s="1" t="s">
        <v>3159</v>
      </c>
      <c r="K906" s="1" t="s">
        <v>74</v>
      </c>
      <c r="L906" s="1" t="s">
        <v>74</v>
      </c>
      <c r="M906" s="1" t="s">
        <v>74</v>
      </c>
      <c r="N906" s="1" t="s">
        <v>74</v>
      </c>
      <c r="O906" s="1" t="s">
        <v>74</v>
      </c>
      <c r="P906" s="1" t="s">
        <v>74</v>
      </c>
      <c r="Q906" s="1" t="s">
        <v>74</v>
      </c>
      <c r="R906" s="1" t="s">
        <v>74</v>
      </c>
      <c r="S906" s="1" t="s">
        <v>74</v>
      </c>
      <c r="T906" s="1" t="s">
        <v>74</v>
      </c>
      <c r="U906" s="1" t="s">
        <v>74</v>
      </c>
      <c r="V906" s="1" t="s">
        <v>9002</v>
      </c>
      <c r="W906" s="1" t="s">
        <v>74</v>
      </c>
      <c r="X906" s="1" t="s">
        <v>74</v>
      </c>
      <c r="Y906" s="1" t="s">
        <v>74</v>
      </c>
      <c r="Z906" s="1" t="s">
        <v>74</v>
      </c>
      <c r="AA906" s="1" t="s">
        <v>9003</v>
      </c>
      <c r="AB906" s="1" t="s">
        <v>9004</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3163</v>
      </c>
      <c r="AP906" s="1" t="s">
        <v>74</v>
      </c>
      <c r="AQ906" s="1" t="s">
        <v>74</v>
      </c>
      <c r="AR906" s="1" t="s">
        <v>74</v>
      </c>
      <c r="AS906" s="1" t="s">
        <v>74</v>
      </c>
      <c r="AT906" s="1" t="s">
        <v>6658</v>
      </c>
      <c r="AU906" s="1">
        <v>2011.0</v>
      </c>
      <c r="AV906" s="1">
        <v>129.0</v>
      </c>
      <c r="AW906" s="1">
        <v>2.0</v>
      </c>
      <c r="AX906" s="1" t="s">
        <v>74</v>
      </c>
      <c r="AY906" s="1" t="s">
        <v>74</v>
      </c>
      <c r="AZ906" s="1" t="s">
        <v>74</v>
      </c>
      <c r="BA906" s="1" t="s">
        <v>74</v>
      </c>
      <c r="BB906" s="1">
        <v>514.0</v>
      </c>
      <c r="BC906" s="1">
        <v>519.0</v>
      </c>
      <c r="BD906" s="1" t="s">
        <v>74</v>
      </c>
      <c r="BE906" s="1" t="s">
        <v>9005</v>
      </c>
      <c r="BF906" s="2" t="str">
        <f>HYPERLINK("http://dx.doi.org/10.1016/j.foodchem.2011.05.009","http://dx.doi.org/10.1016/j.foodchem.2011.05.009")</f>
        <v>http://dx.doi.org/10.1016/j.foodchem.2011.05.009</v>
      </c>
      <c r="BG906" s="1" t="s">
        <v>74</v>
      </c>
      <c r="BH906" s="1" t="s">
        <v>74</v>
      </c>
      <c r="BI906" s="1" t="s">
        <v>74</v>
      </c>
      <c r="BJ906" s="1" t="s">
        <v>74</v>
      </c>
      <c r="BK906" s="1" t="s">
        <v>74</v>
      </c>
      <c r="BL906" s="1" t="s">
        <v>74</v>
      </c>
      <c r="BM906" s="1" t="s">
        <v>74</v>
      </c>
      <c r="BN906" s="1">
        <v>3.0634259E7</v>
      </c>
      <c r="BO906" s="1" t="s">
        <v>74</v>
      </c>
      <c r="BP906" s="1" t="s">
        <v>74</v>
      </c>
      <c r="BQ906" s="1" t="s">
        <v>74</v>
      </c>
      <c r="BR906" s="1" t="s">
        <v>74</v>
      </c>
      <c r="BS906" s="1" t="s">
        <v>9006</v>
      </c>
      <c r="BT906" s="1" t="str">
        <f>HYPERLINK("https%3A%2F%2Fwww.webofscience.com%2Fwos%2Fwoscc%2Ffull-record%2FWOS:000293421400039","View Full Record in Web of Science")</f>
        <v>View Full Record in Web of Science</v>
      </c>
    </row>
    <row r="907" ht="12.75" customHeight="1">
      <c r="A907" s="1" t="s">
        <v>72</v>
      </c>
      <c r="B907" s="1" t="s">
        <v>9007</v>
      </c>
      <c r="C907" s="1" t="s">
        <v>74</v>
      </c>
      <c r="D907" s="1" t="s">
        <v>74</v>
      </c>
      <c r="E907" s="1" t="s">
        <v>74</v>
      </c>
      <c r="F907" s="1" t="s">
        <v>9008</v>
      </c>
      <c r="G907" s="1" t="s">
        <v>74</v>
      </c>
      <c r="H907" s="1" t="s">
        <v>74</v>
      </c>
      <c r="I907" s="1" t="s">
        <v>9009</v>
      </c>
      <c r="J907" s="1" t="s">
        <v>9010</v>
      </c>
      <c r="K907" s="1" t="s">
        <v>74</v>
      </c>
      <c r="L907" s="1" t="s">
        <v>74</v>
      </c>
      <c r="M907" s="1" t="s">
        <v>74</v>
      </c>
      <c r="N907" s="1" t="s">
        <v>74</v>
      </c>
      <c r="O907" s="1" t="s">
        <v>74</v>
      </c>
      <c r="P907" s="1" t="s">
        <v>74</v>
      </c>
      <c r="Q907" s="1" t="s">
        <v>74</v>
      </c>
      <c r="R907" s="1" t="s">
        <v>74</v>
      </c>
      <c r="S907" s="1" t="s">
        <v>74</v>
      </c>
      <c r="T907" s="1" t="s">
        <v>74</v>
      </c>
      <c r="U907" s="1" t="s">
        <v>74</v>
      </c>
      <c r="V907" s="1" t="s">
        <v>9011</v>
      </c>
      <c r="W907" s="1" t="s">
        <v>74</v>
      </c>
      <c r="X907" s="1" t="s">
        <v>74</v>
      </c>
      <c r="Y907" s="1" t="s">
        <v>74</v>
      </c>
      <c r="Z907" s="1" t="s">
        <v>74</v>
      </c>
      <c r="AA907" s="1" t="s">
        <v>9012</v>
      </c>
      <c r="AB907" s="1" t="s">
        <v>9013</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9014</v>
      </c>
      <c r="AP907" s="1" t="s">
        <v>74</v>
      </c>
      <c r="AQ907" s="1" t="s">
        <v>74</v>
      </c>
      <c r="AR907" s="1" t="s">
        <v>74</v>
      </c>
      <c r="AS907" s="1" t="s">
        <v>74</v>
      </c>
      <c r="AT907" s="1" t="s">
        <v>74</v>
      </c>
      <c r="AU907" s="1">
        <v>2010.0</v>
      </c>
      <c r="AV907" s="1">
        <v>27.0</v>
      </c>
      <c r="AW907" s="1" t="s">
        <v>5331</v>
      </c>
      <c r="AX907" s="1" t="s">
        <v>74</v>
      </c>
      <c r="AY907" s="1" t="s">
        <v>74</v>
      </c>
      <c r="AZ907" s="1" t="s">
        <v>74</v>
      </c>
      <c r="BA907" s="1" t="s">
        <v>74</v>
      </c>
      <c r="BB907" s="1">
        <v>551.0</v>
      </c>
      <c r="BC907" s="1">
        <v>575.0</v>
      </c>
      <c r="BD907" s="1" t="s">
        <v>74</v>
      </c>
      <c r="BE907" s="1" t="s">
        <v>9015</v>
      </c>
      <c r="BF907" s="2" t="str">
        <f>HYPERLINK("http://dx.doi.org/10.1108/02644401011044612","http://dx.doi.org/10.1108/02644401011044612")</f>
        <v>http://dx.doi.org/10.1108/02644401011044612</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9016</v>
      </c>
      <c r="BT907" s="1" t="str">
        <f>HYPERLINK("https%3A%2F%2Fwww.webofscience.com%2Fwos%2Fwoscc%2Ffull-record%2FWOS:000281276000012","View Full Record in Web of Science")</f>
        <v>View Full Record in Web of Science</v>
      </c>
    </row>
    <row r="908" ht="12.75" customHeight="1">
      <c r="A908" s="1" t="s">
        <v>72</v>
      </c>
      <c r="B908" s="1" t="s">
        <v>9017</v>
      </c>
      <c r="C908" s="1" t="s">
        <v>74</v>
      </c>
      <c r="D908" s="1" t="s">
        <v>74</v>
      </c>
      <c r="E908" s="1" t="s">
        <v>74</v>
      </c>
      <c r="F908" s="1" t="s">
        <v>9018</v>
      </c>
      <c r="G908" s="1" t="s">
        <v>74</v>
      </c>
      <c r="H908" s="1" t="s">
        <v>74</v>
      </c>
      <c r="I908" s="1" t="s">
        <v>9019</v>
      </c>
      <c r="J908" s="1" t="s">
        <v>2460</v>
      </c>
      <c r="K908" s="1" t="s">
        <v>74</v>
      </c>
      <c r="L908" s="1" t="s">
        <v>74</v>
      </c>
      <c r="M908" s="1" t="s">
        <v>74</v>
      </c>
      <c r="N908" s="1" t="s">
        <v>74</v>
      </c>
      <c r="O908" s="1" t="s">
        <v>74</v>
      </c>
      <c r="P908" s="1" t="s">
        <v>74</v>
      </c>
      <c r="Q908" s="1" t="s">
        <v>74</v>
      </c>
      <c r="R908" s="1" t="s">
        <v>74</v>
      </c>
      <c r="S908" s="1" t="s">
        <v>74</v>
      </c>
      <c r="T908" s="1" t="s">
        <v>74</v>
      </c>
      <c r="U908" s="1" t="s">
        <v>74</v>
      </c>
      <c r="V908" s="1" t="s">
        <v>9020</v>
      </c>
      <c r="W908" s="1" t="s">
        <v>74</v>
      </c>
      <c r="X908" s="1" t="s">
        <v>74</v>
      </c>
      <c r="Y908" s="1" t="s">
        <v>74</v>
      </c>
      <c r="Z908" s="1" t="s">
        <v>74</v>
      </c>
      <c r="AA908" s="1" t="s">
        <v>9021</v>
      </c>
      <c r="AB908" s="1" t="s">
        <v>9022</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2464</v>
      </c>
      <c r="AP908" s="1" t="s">
        <v>2465</v>
      </c>
      <c r="AQ908" s="1" t="s">
        <v>74</v>
      </c>
      <c r="AR908" s="1" t="s">
        <v>74</v>
      </c>
      <c r="AS908" s="1" t="s">
        <v>74</v>
      </c>
      <c r="AT908" s="1" t="s">
        <v>94</v>
      </c>
      <c r="AU908" s="1">
        <v>2006.0</v>
      </c>
      <c r="AV908" s="1">
        <v>134.0</v>
      </c>
      <c r="AW908" s="1">
        <v>6.0</v>
      </c>
      <c r="AX908" s="1" t="s">
        <v>74</v>
      </c>
      <c r="AY908" s="1" t="s">
        <v>74</v>
      </c>
      <c r="AZ908" s="1" t="s">
        <v>74</v>
      </c>
      <c r="BA908" s="1" t="s">
        <v>74</v>
      </c>
      <c r="BB908" s="1">
        <v>735.0</v>
      </c>
      <c r="BC908" s="1">
        <v>742.0</v>
      </c>
      <c r="BD908" s="1" t="s">
        <v>74</v>
      </c>
      <c r="BE908" s="1" t="s">
        <v>74</v>
      </c>
      <c r="BF908" s="1" t="s">
        <v>74</v>
      </c>
      <c r="BG908" s="1" t="s">
        <v>74</v>
      </c>
      <c r="BH908" s="1" t="s">
        <v>74</v>
      </c>
      <c r="BI908" s="1" t="s">
        <v>74</v>
      </c>
      <c r="BJ908" s="1" t="s">
        <v>74</v>
      </c>
      <c r="BK908" s="1" t="s">
        <v>74</v>
      </c>
      <c r="BL908" s="1" t="s">
        <v>74</v>
      </c>
      <c r="BM908" s="1" t="s">
        <v>74</v>
      </c>
      <c r="BN908" s="1">
        <v>1.7130948E7</v>
      </c>
      <c r="BO908" s="1" t="s">
        <v>74</v>
      </c>
      <c r="BP908" s="1" t="s">
        <v>74</v>
      </c>
      <c r="BQ908" s="1" t="s">
        <v>74</v>
      </c>
      <c r="BR908" s="1" t="s">
        <v>74</v>
      </c>
      <c r="BS908" s="1" t="s">
        <v>9023</v>
      </c>
      <c r="BT908" s="1" t="str">
        <f>HYPERLINK("https%3A%2F%2Fwww.webofscience.com%2Fwos%2Fwoscc%2Ffull-record%2FWOS:000239580200009","View Full Record in Web of Science")</f>
        <v>View Full Record in Web of Science</v>
      </c>
    </row>
    <row r="909" ht="12.75" customHeight="1">
      <c r="A909" s="1" t="s">
        <v>72</v>
      </c>
      <c r="B909" s="1" t="s">
        <v>9024</v>
      </c>
      <c r="C909" s="1" t="s">
        <v>74</v>
      </c>
      <c r="D909" s="1" t="s">
        <v>74</v>
      </c>
      <c r="E909" s="1" t="s">
        <v>74</v>
      </c>
      <c r="F909" s="1" t="s">
        <v>9024</v>
      </c>
      <c r="G909" s="1" t="s">
        <v>74</v>
      </c>
      <c r="H909" s="1" t="s">
        <v>74</v>
      </c>
      <c r="I909" s="1" t="s">
        <v>9025</v>
      </c>
      <c r="J909" s="1" t="s">
        <v>9026</v>
      </c>
      <c r="K909" s="1" t="s">
        <v>74</v>
      </c>
      <c r="L909" s="1" t="s">
        <v>74</v>
      </c>
      <c r="M909" s="1" t="s">
        <v>74</v>
      </c>
      <c r="N909" s="1" t="s">
        <v>74</v>
      </c>
      <c r="O909" s="1" t="s">
        <v>74</v>
      </c>
      <c r="P909" s="1" t="s">
        <v>74</v>
      </c>
      <c r="Q909" s="1" t="s">
        <v>74</v>
      </c>
      <c r="R909" s="1" t="s">
        <v>74</v>
      </c>
      <c r="S909" s="1" t="s">
        <v>74</v>
      </c>
      <c r="T909" s="1" t="s">
        <v>74</v>
      </c>
      <c r="U909" s="1" t="s">
        <v>74</v>
      </c>
      <c r="V909" s="1" t="s">
        <v>9027</v>
      </c>
      <c r="W909" s="1" t="s">
        <v>74</v>
      </c>
      <c r="X909" s="1" t="s">
        <v>74</v>
      </c>
      <c r="Y909" s="1" t="s">
        <v>74</v>
      </c>
      <c r="Z909" s="1" t="s">
        <v>74</v>
      </c>
      <c r="AA909" s="1" t="s">
        <v>9028</v>
      </c>
      <c r="AB909" s="1" t="s">
        <v>9029</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9030</v>
      </c>
      <c r="AP909" s="1" t="s">
        <v>74</v>
      </c>
      <c r="AQ909" s="1" t="s">
        <v>74</v>
      </c>
      <c r="AR909" s="1" t="s">
        <v>74</v>
      </c>
      <c r="AS909" s="1" t="s">
        <v>74</v>
      </c>
      <c r="AT909" s="1" t="s">
        <v>82</v>
      </c>
      <c r="AU909" s="1">
        <v>2003.0</v>
      </c>
      <c r="AV909" s="1">
        <v>185.0</v>
      </c>
      <c r="AW909" s="1">
        <v>19.0</v>
      </c>
      <c r="AX909" s="1" t="s">
        <v>74</v>
      </c>
      <c r="AY909" s="1" t="s">
        <v>74</v>
      </c>
      <c r="AZ909" s="1" t="s">
        <v>74</v>
      </c>
      <c r="BA909" s="1" t="s">
        <v>74</v>
      </c>
      <c r="BB909" s="1">
        <v>5831.0</v>
      </c>
      <c r="BC909" s="1">
        <v>5837.0</v>
      </c>
      <c r="BD909" s="1" t="s">
        <v>74</v>
      </c>
      <c r="BE909" s="1" t="s">
        <v>9031</v>
      </c>
      <c r="BF909" s="2" t="str">
        <f>HYPERLINK("http://dx.doi.org/10.1128/JB.185.19.5831-5837.2003","http://dx.doi.org/10.1128/JB.185.19.5831-5837.2003")</f>
        <v>http://dx.doi.org/10.1128/JB.185.19.5831-5837.2003</v>
      </c>
      <c r="BG909" s="1" t="s">
        <v>74</v>
      </c>
      <c r="BH909" s="1" t="s">
        <v>74</v>
      </c>
      <c r="BI909" s="1" t="s">
        <v>74</v>
      </c>
      <c r="BJ909" s="1" t="s">
        <v>74</v>
      </c>
      <c r="BK909" s="1" t="s">
        <v>74</v>
      </c>
      <c r="BL909" s="1" t="s">
        <v>74</v>
      </c>
      <c r="BM909" s="1" t="s">
        <v>74</v>
      </c>
      <c r="BN909" s="1">
        <v>1.3129955E7</v>
      </c>
      <c r="BO909" s="1" t="s">
        <v>74</v>
      </c>
      <c r="BP909" s="1" t="s">
        <v>74</v>
      </c>
      <c r="BQ909" s="1" t="s">
        <v>74</v>
      </c>
      <c r="BR909" s="1" t="s">
        <v>74</v>
      </c>
      <c r="BS909" s="1" t="s">
        <v>9032</v>
      </c>
      <c r="BT909" s="1" t="str">
        <f>HYPERLINK("https%3A%2F%2Fwww.webofscience.com%2Fwos%2Fwoscc%2Ffull-record%2FWOS:000185493500020","View Full Record in Web of Science")</f>
        <v>View Full Record in Web of Science</v>
      </c>
    </row>
    <row r="910" ht="12.75" customHeight="1">
      <c r="A910" s="1" t="s">
        <v>72</v>
      </c>
      <c r="B910" s="1" t="s">
        <v>9033</v>
      </c>
      <c r="C910" s="1" t="s">
        <v>74</v>
      </c>
      <c r="D910" s="1" t="s">
        <v>74</v>
      </c>
      <c r="E910" s="1" t="s">
        <v>74</v>
      </c>
      <c r="F910" s="1" t="s">
        <v>9033</v>
      </c>
      <c r="G910" s="1" t="s">
        <v>74</v>
      </c>
      <c r="H910" s="1" t="s">
        <v>74</v>
      </c>
      <c r="I910" s="1" t="s">
        <v>9034</v>
      </c>
      <c r="J910" s="1" t="s">
        <v>9035</v>
      </c>
      <c r="K910" s="1" t="s">
        <v>74</v>
      </c>
      <c r="L910" s="1" t="s">
        <v>74</v>
      </c>
      <c r="M910" s="1" t="s">
        <v>74</v>
      </c>
      <c r="N910" s="1" t="s">
        <v>74</v>
      </c>
      <c r="O910" s="1" t="s">
        <v>74</v>
      </c>
      <c r="P910" s="1" t="s">
        <v>74</v>
      </c>
      <c r="Q910" s="1" t="s">
        <v>74</v>
      </c>
      <c r="R910" s="1" t="s">
        <v>74</v>
      </c>
      <c r="S910" s="1" t="s">
        <v>74</v>
      </c>
      <c r="T910" s="1" t="s">
        <v>74</v>
      </c>
      <c r="U910" s="1" t="s">
        <v>74</v>
      </c>
      <c r="V910" s="1" t="s">
        <v>9036</v>
      </c>
      <c r="W910" s="1" t="s">
        <v>74</v>
      </c>
      <c r="X910" s="1" t="s">
        <v>74</v>
      </c>
      <c r="Y910" s="1" t="s">
        <v>74</v>
      </c>
      <c r="Z910" s="1" t="s">
        <v>74</v>
      </c>
      <c r="AA910" s="1" t="s">
        <v>9037</v>
      </c>
      <c r="AB910" s="1" t="s">
        <v>9038</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9039</v>
      </c>
      <c r="AP910" s="1" t="s">
        <v>9040</v>
      </c>
      <c r="AQ910" s="1" t="s">
        <v>74</v>
      </c>
      <c r="AR910" s="1" t="s">
        <v>74</v>
      </c>
      <c r="AS910" s="1" t="s">
        <v>74</v>
      </c>
      <c r="AT910" s="1" t="s">
        <v>74</v>
      </c>
      <c r="AU910" s="1">
        <v>2003.0</v>
      </c>
      <c r="AV910" s="1">
        <v>68.0</v>
      </c>
      <c r="AW910" s="1">
        <v>9.0</v>
      </c>
      <c r="AX910" s="1" t="s">
        <v>74</v>
      </c>
      <c r="AY910" s="1" t="s">
        <v>74</v>
      </c>
      <c r="AZ910" s="1" t="s">
        <v>74</v>
      </c>
      <c r="BA910" s="1" t="s">
        <v>74</v>
      </c>
      <c r="BB910" s="1">
        <v>1723.0</v>
      </c>
      <c r="BC910" s="1">
        <v>1735.0</v>
      </c>
      <c r="BD910" s="1" t="s">
        <v>74</v>
      </c>
      <c r="BE910" s="1" t="s">
        <v>9041</v>
      </c>
      <c r="BF910" s="2" t="str">
        <f>HYPERLINK("http://dx.doi.org/10.1135/cccc20031723","http://dx.doi.org/10.1135/cccc20031723")</f>
        <v>http://dx.doi.org/10.1135/cccc20031723</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9042</v>
      </c>
      <c r="BT910" s="1" t="str">
        <f>HYPERLINK("https%3A%2F%2Fwww.webofscience.com%2Fwos%2Fwoscc%2Ffull-record%2FWOS:000185534900013","View Full Record in Web of Science")</f>
        <v>View Full Record in Web of Science</v>
      </c>
    </row>
    <row r="911" ht="12.75" customHeight="1">
      <c r="A911" s="1" t="s">
        <v>72</v>
      </c>
      <c r="B911" s="1" t="s">
        <v>9043</v>
      </c>
      <c r="C911" s="1" t="s">
        <v>74</v>
      </c>
      <c r="D911" s="1" t="s">
        <v>74</v>
      </c>
      <c r="E911" s="1" t="s">
        <v>74</v>
      </c>
      <c r="F911" s="1" t="s">
        <v>9043</v>
      </c>
      <c r="G911" s="1" t="s">
        <v>74</v>
      </c>
      <c r="H911" s="1" t="s">
        <v>74</v>
      </c>
      <c r="I911" s="1" t="s">
        <v>9044</v>
      </c>
      <c r="J911" s="1" t="s">
        <v>9045</v>
      </c>
      <c r="K911" s="1" t="s">
        <v>74</v>
      </c>
      <c r="L911" s="1" t="s">
        <v>74</v>
      </c>
      <c r="M911" s="1" t="s">
        <v>74</v>
      </c>
      <c r="N911" s="1" t="s">
        <v>74</v>
      </c>
      <c r="O911" s="1" t="s">
        <v>74</v>
      </c>
      <c r="P911" s="1" t="s">
        <v>74</v>
      </c>
      <c r="Q911" s="1" t="s">
        <v>74</v>
      </c>
      <c r="R911" s="1" t="s">
        <v>74</v>
      </c>
      <c r="S911" s="1" t="s">
        <v>74</v>
      </c>
      <c r="T911" s="1" t="s">
        <v>74</v>
      </c>
      <c r="U911" s="1" t="s">
        <v>74</v>
      </c>
      <c r="V911" s="1" t="s">
        <v>9046</v>
      </c>
      <c r="W911" s="1" t="s">
        <v>74</v>
      </c>
      <c r="X911" s="1" t="s">
        <v>74</v>
      </c>
      <c r="Y911" s="1" t="s">
        <v>74</v>
      </c>
      <c r="Z911" s="1" t="s">
        <v>74</v>
      </c>
      <c r="AA911" s="1" t="s">
        <v>74</v>
      </c>
      <c r="AB911" s="1" t="s">
        <v>9047</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9048</v>
      </c>
      <c r="AP911" s="1" t="s">
        <v>74</v>
      </c>
      <c r="AQ911" s="1" t="s">
        <v>74</v>
      </c>
      <c r="AR911" s="1" t="s">
        <v>74</v>
      </c>
      <c r="AS911" s="1" t="s">
        <v>74</v>
      </c>
      <c r="AT911" s="1" t="s">
        <v>1279</v>
      </c>
      <c r="AU911" s="1">
        <v>1994.0</v>
      </c>
      <c r="AV911" s="1">
        <v>109.0</v>
      </c>
      <c r="AW911" s="1">
        <v>2.0</v>
      </c>
      <c r="AX911" s="1" t="s">
        <v>74</v>
      </c>
      <c r="AY911" s="1" t="s">
        <v>74</v>
      </c>
      <c r="AZ911" s="1" t="s">
        <v>74</v>
      </c>
      <c r="BA911" s="1" t="s">
        <v>74</v>
      </c>
      <c r="BB911" s="1">
        <v>281.0</v>
      </c>
      <c r="BC911" s="1">
        <v>288.0</v>
      </c>
      <c r="BD911" s="1" t="s">
        <v>74</v>
      </c>
      <c r="BE911" s="1" t="s">
        <v>9049</v>
      </c>
      <c r="BF911" s="2" t="str">
        <f>HYPERLINK("http://dx.doi.org/10.1006/jssc.1994.1105","http://dx.doi.org/10.1006/jssc.1994.1105")</f>
        <v>http://dx.doi.org/10.1006/jssc.1994.1105</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9050</v>
      </c>
      <c r="BT911" s="1" t="str">
        <f>HYPERLINK("https%3A%2F%2Fwww.webofscience.com%2Fwos%2Fwoscc%2Ffull-record%2FWOS:A1994NG89200012","View Full Record in Web of Science")</f>
        <v>View Full Record in Web of Science</v>
      </c>
    </row>
    <row r="912" ht="12.75" customHeight="1">
      <c r="A912" s="1" t="s">
        <v>72</v>
      </c>
      <c r="B912" s="1" t="s">
        <v>9051</v>
      </c>
      <c r="C912" s="1" t="s">
        <v>74</v>
      </c>
      <c r="D912" s="1" t="s">
        <v>74</v>
      </c>
      <c r="E912" s="1" t="s">
        <v>74</v>
      </c>
      <c r="F912" s="1" t="s">
        <v>9052</v>
      </c>
      <c r="G912" s="1" t="s">
        <v>74</v>
      </c>
      <c r="H912" s="1" t="s">
        <v>74</v>
      </c>
      <c r="I912" s="1" t="s">
        <v>9053</v>
      </c>
      <c r="J912" s="1" t="s">
        <v>2402</v>
      </c>
      <c r="K912" s="1" t="s">
        <v>74</v>
      </c>
      <c r="L912" s="1" t="s">
        <v>74</v>
      </c>
      <c r="M912" s="1" t="s">
        <v>74</v>
      </c>
      <c r="N912" s="1" t="s">
        <v>74</v>
      </c>
      <c r="O912" s="1" t="s">
        <v>74</v>
      </c>
      <c r="P912" s="1" t="s">
        <v>74</v>
      </c>
      <c r="Q912" s="1" t="s">
        <v>74</v>
      </c>
      <c r="R912" s="1" t="s">
        <v>74</v>
      </c>
      <c r="S912" s="1" t="s">
        <v>74</v>
      </c>
      <c r="T912" s="1" t="s">
        <v>74</v>
      </c>
      <c r="U912" s="1" t="s">
        <v>74</v>
      </c>
      <c r="V912" s="1" t="s">
        <v>9054</v>
      </c>
      <c r="W912" s="1" t="s">
        <v>74</v>
      </c>
      <c r="X912" s="1" t="s">
        <v>74</v>
      </c>
      <c r="Y912" s="1" t="s">
        <v>74</v>
      </c>
      <c r="Z912" s="1" t="s">
        <v>74</v>
      </c>
      <c r="AA912" s="1" t="s">
        <v>9055</v>
      </c>
      <c r="AB912" s="1" t="s">
        <v>9056</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2406</v>
      </c>
      <c r="AP912" s="1" t="s">
        <v>2407</v>
      </c>
      <c r="AQ912" s="1" t="s">
        <v>74</v>
      </c>
      <c r="AR912" s="1" t="s">
        <v>74</v>
      </c>
      <c r="AS912" s="1" t="s">
        <v>74</v>
      </c>
      <c r="AT912" s="1" t="s">
        <v>408</v>
      </c>
      <c r="AU912" s="1">
        <v>2025.0</v>
      </c>
      <c r="AV912" s="1">
        <v>26.0</v>
      </c>
      <c r="AW912" s="1">
        <v>5.0</v>
      </c>
      <c r="AX912" s="1" t="s">
        <v>74</v>
      </c>
      <c r="AY912" s="1" t="s">
        <v>74</v>
      </c>
      <c r="AZ912" s="1" t="s">
        <v>74</v>
      </c>
      <c r="BA912" s="1" t="s">
        <v>74</v>
      </c>
      <c r="BB912" s="1" t="s">
        <v>74</v>
      </c>
      <c r="BC912" s="1" t="s">
        <v>74</v>
      </c>
      <c r="BD912" s="1">
        <v>1934.0</v>
      </c>
      <c r="BE912" s="1" t="s">
        <v>9057</v>
      </c>
      <c r="BF912" s="2" t="str">
        <f>HYPERLINK("http://dx.doi.org/10.3390/ijms26051934","http://dx.doi.org/10.3390/ijms26051934")</f>
        <v>http://dx.doi.org/10.3390/ijms26051934</v>
      </c>
      <c r="BG912" s="1" t="s">
        <v>74</v>
      </c>
      <c r="BH912" s="1" t="s">
        <v>74</v>
      </c>
      <c r="BI912" s="1" t="s">
        <v>74</v>
      </c>
      <c r="BJ912" s="1" t="s">
        <v>74</v>
      </c>
      <c r="BK912" s="1" t="s">
        <v>74</v>
      </c>
      <c r="BL912" s="1" t="s">
        <v>74</v>
      </c>
      <c r="BM912" s="1" t="s">
        <v>74</v>
      </c>
      <c r="BN912" s="1">
        <v>4.007656E7</v>
      </c>
      <c r="BO912" s="1" t="s">
        <v>74</v>
      </c>
      <c r="BP912" s="1" t="s">
        <v>74</v>
      </c>
      <c r="BQ912" s="1" t="s">
        <v>74</v>
      </c>
      <c r="BR912" s="1" t="s">
        <v>74</v>
      </c>
      <c r="BS912" s="1" t="s">
        <v>9058</v>
      </c>
      <c r="BT912" s="1" t="str">
        <f>HYPERLINK("https%3A%2F%2Fwww.webofscience.com%2Fwos%2Fwoscc%2Ffull-record%2FWOS:001442492000001","View Full Record in Web of Science")</f>
        <v>View Full Record in Web of Science</v>
      </c>
    </row>
    <row r="913" ht="12.75" customHeight="1">
      <c r="A913" s="1" t="s">
        <v>207</v>
      </c>
      <c r="B913" s="1" t="s">
        <v>9059</v>
      </c>
      <c r="C913" s="1" t="s">
        <v>74</v>
      </c>
      <c r="D913" s="1" t="s">
        <v>5767</v>
      </c>
      <c r="E913" s="1" t="s">
        <v>74</v>
      </c>
      <c r="F913" s="1" t="s">
        <v>9060</v>
      </c>
      <c r="G913" s="1" t="s">
        <v>74</v>
      </c>
      <c r="H913" s="1" t="s">
        <v>74</v>
      </c>
      <c r="I913" s="1" t="s">
        <v>9061</v>
      </c>
      <c r="J913" s="1" t="s">
        <v>5770</v>
      </c>
      <c r="K913" s="1" t="s">
        <v>5771</v>
      </c>
      <c r="L913" s="1" t="s">
        <v>74</v>
      </c>
      <c r="M913" s="1" t="s">
        <v>74</v>
      </c>
      <c r="N913" s="1" t="s">
        <v>74</v>
      </c>
      <c r="O913" s="1" t="s">
        <v>5772</v>
      </c>
      <c r="P913" s="1" t="s">
        <v>5773</v>
      </c>
      <c r="Q913" s="1" t="s">
        <v>1372</v>
      </c>
      <c r="R913" s="1" t="s">
        <v>5774</v>
      </c>
      <c r="S913" s="1" t="s">
        <v>74</v>
      </c>
      <c r="T913" s="1" t="s">
        <v>74</v>
      </c>
      <c r="U913" s="1" t="s">
        <v>74</v>
      </c>
      <c r="V913" s="1" t="s">
        <v>9062</v>
      </c>
      <c r="W913" s="1" t="s">
        <v>74</v>
      </c>
      <c r="X913" s="1" t="s">
        <v>74</v>
      </c>
      <c r="Y913" s="1" t="s">
        <v>74</v>
      </c>
      <c r="Z913" s="1" t="s">
        <v>74</v>
      </c>
      <c r="AA913" s="1" t="s">
        <v>9063</v>
      </c>
      <c r="AB913" s="1" t="s">
        <v>9064</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5777</v>
      </c>
      <c r="AP913" s="1" t="s">
        <v>5778</v>
      </c>
      <c r="AQ913" s="1" t="s">
        <v>5779</v>
      </c>
      <c r="AR913" s="1" t="s">
        <v>74</v>
      </c>
      <c r="AS913" s="1" t="s">
        <v>74</v>
      </c>
      <c r="AT913" s="1" t="s">
        <v>74</v>
      </c>
      <c r="AU913" s="1">
        <v>2024.0</v>
      </c>
      <c r="AV913" s="1">
        <v>462.0</v>
      </c>
      <c r="AW913" s="1" t="s">
        <v>74</v>
      </c>
      <c r="AX913" s="1" t="s">
        <v>74</v>
      </c>
      <c r="AY913" s="1" t="s">
        <v>74</v>
      </c>
      <c r="AZ913" s="1" t="s">
        <v>74</v>
      </c>
      <c r="BA913" s="1" t="s">
        <v>74</v>
      </c>
      <c r="BB913" s="1">
        <v>211.0</v>
      </c>
      <c r="BC913" s="1">
        <v>228.0</v>
      </c>
      <c r="BD913" s="1" t="s">
        <v>74</v>
      </c>
      <c r="BE913" s="1" t="s">
        <v>9065</v>
      </c>
      <c r="BF913" s="2" t="str">
        <f>HYPERLINK("http://dx.doi.org/10.1007/978-3-031-53375-4_14","http://dx.doi.org/10.1007/978-3-031-53375-4_14")</f>
        <v>http://dx.doi.org/10.1007/978-3-031-53375-4_14</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9066</v>
      </c>
      <c r="BT913" s="1" t="str">
        <f>HYPERLINK("https%3A%2F%2Fwww.webofscience.com%2Fwos%2Fwoscc%2Ffull-record%2FWOS:001298122200014","View Full Record in Web of Science")</f>
        <v>View Full Record in Web of Science</v>
      </c>
    </row>
    <row r="914" ht="12.75" customHeight="1">
      <c r="A914" s="1" t="s">
        <v>72</v>
      </c>
      <c r="B914" s="1" t="s">
        <v>9067</v>
      </c>
      <c r="C914" s="1" t="s">
        <v>74</v>
      </c>
      <c r="D914" s="1" t="s">
        <v>74</v>
      </c>
      <c r="E914" s="1" t="s">
        <v>74</v>
      </c>
      <c r="F914" s="1" t="s">
        <v>9068</v>
      </c>
      <c r="G914" s="1" t="s">
        <v>74</v>
      </c>
      <c r="H914" s="1" t="s">
        <v>74</v>
      </c>
      <c r="I914" s="1" t="s">
        <v>9069</v>
      </c>
      <c r="J914" s="1" t="s">
        <v>2006</v>
      </c>
      <c r="K914" s="1" t="s">
        <v>74</v>
      </c>
      <c r="L914" s="1" t="s">
        <v>74</v>
      </c>
      <c r="M914" s="1" t="s">
        <v>74</v>
      </c>
      <c r="N914" s="1" t="s">
        <v>74</v>
      </c>
      <c r="O914" s="1" t="s">
        <v>74</v>
      </c>
      <c r="P914" s="1" t="s">
        <v>74</v>
      </c>
      <c r="Q914" s="1" t="s">
        <v>74</v>
      </c>
      <c r="R914" s="1" t="s">
        <v>74</v>
      </c>
      <c r="S914" s="1" t="s">
        <v>74</v>
      </c>
      <c r="T914" s="1" t="s">
        <v>74</v>
      </c>
      <c r="U914" s="1" t="s">
        <v>74</v>
      </c>
      <c r="V914" s="1" t="s">
        <v>9070</v>
      </c>
      <c r="W914" s="1" t="s">
        <v>74</v>
      </c>
      <c r="X914" s="1" t="s">
        <v>74</v>
      </c>
      <c r="Y914" s="1" t="s">
        <v>74</v>
      </c>
      <c r="Z914" s="1" t="s">
        <v>74</v>
      </c>
      <c r="AA914" s="1" t="s">
        <v>9071</v>
      </c>
      <c r="AB914" s="1" t="s">
        <v>9072</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2010</v>
      </c>
      <c r="AP914" s="1" t="s">
        <v>74</v>
      </c>
      <c r="AQ914" s="1" t="s">
        <v>74</v>
      </c>
      <c r="AR914" s="1" t="s">
        <v>74</v>
      </c>
      <c r="AS914" s="1" t="s">
        <v>74</v>
      </c>
      <c r="AT914" s="1" t="s">
        <v>271</v>
      </c>
      <c r="AU914" s="1">
        <v>2023.0</v>
      </c>
      <c r="AV914" s="1">
        <v>22.0</v>
      </c>
      <c r="AW914" s="1">
        <v>5.0</v>
      </c>
      <c r="AX914" s="1" t="s">
        <v>74</v>
      </c>
      <c r="AY914" s="1" t="s">
        <v>74</v>
      </c>
      <c r="AZ914" s="1" t="s">
        <v>74</v>
      </c>
      <c r="BA914" s="1" t="s">
        <v>74</v>
      </c>
      <c r="BB914" s="1">
        <v>649.0</v>
      </c>
      <c r="BC914" s="1">
        <v>656.0</v>
      </c>
      <c r="BD914" s="1" t="s">
        <v>74</v>
      </c>
      <c r="BE914" s="1" t="s">
        <v>9073</v>
      </c>
      <c r="BF914" s="2" t="str">
        <f>HYPERLINK("http://dx.doi.org/10.37360/blacpma.23.22.5.47","http://dx.doi.org/10.37360/blacpma.23.22.5.47")</f>
        <v>http://dx.doi.org/10.37360/blacpma.23.22.5.47</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9074</v>
      </c>
      <c r="BT914" s="1" t="str">
        <f>HYPERLINK("https%3A%2F%2Fwww.webofscience.com%2Fwos%2Fwoscc%2Ffull-record%2FWOS:001013144100007","View Full Record in Web of Science")</f>
        <v>View Full Record in Web of Science</v>
      </c>
    </row>
    <row r="915" ht="12.75" customHeight="1">
      <c r="A915" s="1" t="s">
        <v>72</v>
      </c>
      <c r="B915" s="1" t="s">
        <v>9075</v>
      </c>
      <c r="C915" s="1" t="s">
        <v>74</v>
      </c>
      <c r="D915" s="1" t="s">
        <v>74</v>
      </c>
      <c r="E915" s="1" t="s">
        <v>74</v>
      </c>
      <c r="F915" s="1" t="s">
        <v>9076</v>
      </c>
      <c r="G915" s="1" t="s">
        <v>74</v>
      </c>
      <c r="H915" s="1" t="s">
        <v>74</v>
      </c>
      <c r="I915" s="1" t="s">
        <v>9077</v>
      </c>
      <c r="J915" s="1" t="s">
        <v>9078</v>
      </c>
      <c r="K915" s="1" t="s">
        <v>74</v>
      </c>
      <c r="L915" s="1" t="s">
        <v>74</v>
      </c>
      <c r="M915" s="1" t="s">
        <v>74</v>
      </c>
      <c r="N915" s="1" t="s">
        <v>74</v>
      </c>
      <c r="O915" s="1" t="s">
        <v>74</v>
      </c>
      <c r="P915" s="1" t="s">
        <v>74</v>
      </c>
      <c r="Q915" s="1" t="s">
        <v>74</v>
      </c>
      <c r="R915" s="1" t="s">
        <v>74</v>
      </c>
      <c r="S915" s="1" t="s">
        <v>74</v>
      </c>
      <c r="T915" s="1" t="s">
        <v>74</v>
      </c>
      <c r="U915" s="1" t="s">
        <v>74</v>
      </c>
      <c r="V915" s="1" t="s">
        <v>9079</v>
      </c>
      <c r="W915" s="1" t="s">
        <v>74</v>
      </c>
      <c r="X915" s="1" t="s">
        <v>74</v>
      </c>
      <c r="Y915" s="1" t="s">
        <v>74</v>
      </c>
      <c r="Z915" s="1" t="s">
        <v>74</v>
      </c>
      <c r="AA915" s="1" t="s">
        <v>9080</v>
      </c>
      <c r="AB915" s="1" t="s">
        <v>9081</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9082</v>
      </c>
      <c r="AP915" s="1" t="s">
        <v>9083</v>
      </c>
      <c r="AQ915" s="1" t="s">
        <v>74</v>
      </c>
      <c r="AR915" s="1" t="s">
        <v>74</v>
      </c>
      <c r="AS915" s="1" t="s">
        <v>74</v>
      </c>
      <c r="AT915" s="1" t="s">
        <v>177</v>
      </c>
      <c r="AU915" s="1">
        <v>2022.0</v>
      </c>
      <c r="AV915" s="1">
        <v>201.0</v>
      </c>
      <c r="AW915" s="1" t="s">
        <v>74</v>
      </c>
      <c r="AX915" s="1" t="s">
        <v>74</v>
      </c>
      <c r="AY915" s="1" t="s">
        <v>74</v>
      </c>
      <c r="AZ915" s="1" t="s">
        <v>74</v>
      </c>
      <c r="BA915" s="1" t="s">
        <v>74</v>
      </c>
      <c r="BB915" s="1" t="s">
        <v>74</v>
      </c>
      <c r="BC915" s="1" t="s">
        <v>74</v>
      </c>
      <c r="BD915" s="1">
        <v>109973.0</v>
      </c>
      <c r="BE915" s="1" t="s">
        <v>9084</v>
      </c>
      <c r="BF915" s="2" t="str">
        <f>HYPERLINK("http://dx.doi.org/10.1016/j.polymdegradstab.2022.109973","http://dx.doi.org/10.1016/j.polymdegradstab.2022.109973")</f>
        <v>http://dx.doi.org/10.1016/j.polymdegradstab.2022.109973</v>
      </c>
      <c r="BG915" s="1" t="s">
        <v>74</v>
      </c>
      <c r="BH915" s="1" t="s">
        <v>2322</v>
      </c>
      <c r="BI915" s="1" t="s">
        <v>74</v>
      </c>
      <c r="BJ915" s="1" t="s">
        <v>74</v>
      </c>
      <c r="BK915" s="1" t="s">
        <v>74</v>
      </c>
      <c r="BL915" s="1" t="s">
        <v>74</v>
      </c>
      <c r="BM915" s="1" t="s">
        <v>74</v>
      </c>
      <c r="BN915" s="1" t="s">
        <v>74</v>
      </c>
      <c r="BO915" s="1" t="s">
        <v>74</v>
      </c>
      <c r="BP915" s="1" t="s">
        <v>74</v>
      </c>
      <c r="BQ915" s="1" t="s">
        <v>74</v>
      </c>
      <c r="BR915" s="1" t="s">
        <v>74</v>
      </c>
      <c r="BS915" s="1" t="s">
        <v>9085</v>
      </c>
      <c r="BT915" s="1" t="str">
        <f>HYPERLINK("https%3A%2F%2Fwww.webofscience.com%2Fwos%2Fwoscc%2Ffull-record%2FWOS:000808400500010","View Full Record in Web of Science")</f>
        <v>View Full Record in Web of Science</v>
      </c>
    </row>
    <row r="916" ht="12.75" customHeight="1">
      <c r="A916" s="1" t="s">
        <v>72</v>
      </c>
      <c r="B916" s="1" t="s">
        <v>9086</v>
      </c>
      <c r="C916" s="1" t="s">
        <v>74</v>
      </c>
      <c r="D916" s="1" t="s">
        <v>74</v>
      </c>
      <c r="E916" s="1" t="s">
        <v>74</v>
      </c>
      <c r="F916" s="1" t="s">
        <v>9087</v>
      </c>
      <c r="G916" s="1" t="s">
        <v>74</v>
      </c>
      <c r="H916" s="1" t="s">
        <v>74</v>
      </c>
      <c r="I916" s="1" t="s">
        <v>9088</v>
      </c>
      <c r="J916" s="1" t="s">
        <v>9089</v>
      </c>
      <c r="K916" s="1" t="s">
        <v>74</v>
      </c>
      <c r="L916" s="1" t="s">
        <v>74</v>
      </c>
      <c r="M916" s="1" t="s">
        <v>74</v>
      </c>
      <c r="N916" s="1" t="s">
        <v>74</v>
      </c>
      <c r="O916" s="1" t="s">
        <v>74</v>
      </c>
      <c r="P916" s="1" t="s">
        <v>74</v>
      </c>
      <c r="Q916" s="1" t="s">
        <v>74</v>
      </c>
      <c r="R916" s="1" t="s">
        <v>74</v>
      </c>
      <c r="S916" s="1" t="s">
        <v>74</v>
      </c>
      <c r="T916" s="1" t="s">
        <v>74</v>
      </c>
      <c r="U916" s="1" t="s">
        <v>74</v>
      </c>
      <c r="V916" s="1" t="s">
        <v>9090</v>
      </c>
      <c r="W916" s="1" t="s">
        <v>74</v>
      </c>
      <c r="X916" s="1" t="s">
        <v>74</v>
      </c>
      <c r="Y916" s="1" t="s">
        <v>74</v>
      </c>
      <c r="Z916" s="1" t="s">
        <v>74</v>
      </c>
      <c r="AA916" s="1" t="s">
        <v>9091</v>
      </c>
      <c r="AB916" s="1" t="s">
        <v>74</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9092</v>
      </c>
      <c r="AP916" s="1" t="s">
        <v>9093</v>
      </c>
      <c r="AQ916" s="1" t="s">
        <v>74</v>
      </c>
      <c r="AR916" s="1" t="s">
        <v>74</v>
      </c>
      <c r="AS916" s="1" t="s">
        <v>74</v>
      </c>
      <c r="AT916" s="1" t="s">
        <v>271</v>
      </c>
      <c r="AU916" s="1">
        <v>2024.0</v>
      </c>
      <c r="AV916" s="1">
        <v>29.0</v>
      </c>
      <c r="AW916" s="1">
        <v>3.0</v>
      </c>
      <c r="AX916" s="1" t="s">
        <v>74</v>
      </c>
      <c r="AY916" s="1" t="s">
        <v>74</v>
      </c>
      <c r="AZ916" s="1" t="s">
        <v>74</v>
      </c>
      <c r="BA916" s="1" t="s">
        <v>74</v>
      </c>
      <c r="BB916" s="1">
        <v>1105.0</v>
      </c>
      <c r="BC916" s="1">
        <v>1114.0</v>
      </c>
      <c r="BD916" s="1" t="s">
        <v>74</v>
      </c>
      <c r="BE916" s="1" t="s">
        <v>9094</v>
      </c>
      <c r="BF916" s="2" t="str">
        <f>HYPERLINK("http://dx.doi.org/10.1007/s00031-022-09698-9","http://dx.doi.org/10.1007/s00031-022-09698-9")</f>
        <v>http://dx.doi.org/10.1007/s00031-022-09698-9</v>
      </c>
      <c r="BG916" s="1" t="s">
        <v>74</v>
      </c>
      <c r="BH916" s="1" t="s">
        <v>9095</v>
      </c>
      <c r="BI916" s="1" t="s">
        <v>74</v>
      </c>
      <c r="BJ916" s="1" t="s">
        <v>74</v>
      </c>
      <c r="BK916" s="1" t="s">
        <v>74</v>
      </c>
      <c r="BL916" s="1" t="s">
        <v>74</v>
      </c>
      <c r="BM916" s="1" t="s">
        <v>74</v>
      </c>
      <c r="BN916" s="1" t="s">
        <v>74</v>
      </c>
      <c r="BO916" s="1" t="s">
        <v>74</v>
      </c>
      <c r="BP916" s="1" t="s">
        <v>74</v>
      </c>
      <c r="BQ916" s="1" t="s">
        <v>74</v>
      </c>
      <c r="BR916" s="1" t="s">
        <v>74</v>
      </c>
      <c r="BS916" s="1" t="s">
        <v>9096</v>
      </c>
      <c r="BT916" s="1" t="str">
        <f>HYPERLINK("https%3A%2F%2Fwww.webofscience.com%2Fwos%2Fwoscc%2Ffull-record%2FWOS:000764959400001","View Full Record in Web of Science")</f>
        <v>View Full Record in Web of Science</v>
      </c>
    </row>
    <row r="917" ht="12.75" customHeight="1">
      <c r="A917" s="1" t="s">
        <v>72</v>
      </c>
      <c r="B917" s="1" t="s">
        <v>9097</v>
      </c>
      <c r="C917" s="1" t="s">
        <v>74</v>
      </c>
      <c r="D917" s="1" t="s">
        <v>74</v>
      </c>
      <c r="E917" s="1" t="s">
        <v>74</v>
      </c>
      <c r="F917" s="1" t="s">
        <v>9098</v>
      </c>
      <c r="G917" s="1" t="s">
        <v>74</v>
      </c>
      <c r="H917" s="1" t="s">
        <v>74</v>
      </c>
      <c r="I917" s="1" t="s">
        <v>9099</v>
      </c>
      <c r="J917" s="1" t="s">
        <v>8963</v>
      </c>
      <c r="K917" s="1" t="s">
        <v>74</v>
      </c>
      <c r="L917" s="1" t="s">
        <v>74</v>
      </c>
      <c r="M917" s="1" t="s">
        <v>74</v>
      </c>
      <c r="N917" s="1" t="s">
        <v>74</v>
      </c>
      <c r="O917" s="1" t="s">
        <v>74</v>
      </c>
      <c r="P917" s="1" t="s">
        <v>74</v>
      </c>
      <c r="Q917" s="1" t="s">
        <v>74</v>
      </c>
      <c r="R917" s="1" t="s">
        <v>74</v>
      </c>
      <c r="S917" s="1" t="s">
        <v>74</v>
      </c>
      <c r="T917" s="1" t="s">
        <v>74</v>
      </c>
      <c r="U917" s="1" t="s">
        <v>74</v>
      </c>
      <c r="V917" s="1" t="s">
        <v>9100</v>
      </c>
      <c r="W917" s="1" t="s">
        <v>74</v>
      </c>
      <c r="X917" s="1" t="s">
        <v>74</v>
      </c>
      <c r="Y917" s="1" t="s">
        <v>74</v>
      </c>
      <c r="Z917" s="1" t="s">
        <v>74</v>
      </c>
      <c r="AA917" s="1" t="s">
        <v>9101</v>
      </c>
      <c r="AB917" s="1" t="s">
        <v>9102</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8967</v>
      </c>
      <c r="AP917" s="1" t="s">
        <v>8968</v>
      </c>
      <c r="AQ917" s="1" t="s">
        <v>74</v>
      </c>
      <c r="AR917" s="1" t="s">
        <v>74</v>
      </c>
      <c r="AS917" s="1" t="s">
        <v>74</v>
      </c>
      <c r="AT917" s="1" t="s">
        <v>408</v>
      </c>
      <c r="AU917" s="1">
        <v>2022.0</v>
      </c>
      <c r="AV917" s="1">
        <v>27.0</v>
      </c>
      <c r="AW917" s="1">
        <v>3.0</v>
      </c>
      <c r="AX917" s="1" t="s">
        <v>74</v>
      </c>
      <c r="AY917" s="1" t="s">
        <v>74</v>
      </c>
      <c r="AZ917" s="1" t="s">
        <v>74</v>
      </c>
      <c r="BA917" s="1" t="s">
        <v>74</v>
      </c>
      <c r="BB917" s="1">
        <v>909.0</v>
      </c>
      <c r="BC917" s="1">
        <v>920.0</v>
      </c>
      <c r="BD917" s="1" t="s">
        <v>74</v>
      </c>
      <c r="BE917" s="1" t="s">
        <v>9103</v>
      </c>
      <c r="BF917" s="2" t="str">
        <f>HYPERLINK("http://dx.doi.org/10.1590/1413-81232022273.05372021","http://dx.doi.org/10.1590/1413-81232022273.05372021")</f>
        <v>http://dx.doi.org/10.1590/1413-81232022273.05372021</v>
      </c>
      <c r="BG917" s="1" t="s">
        <v>74</v>
      </c>
      <c r="BH917" s="1" t="s">
        <v>74</v>
      </c>
      <c r="BI917" s="1" t="s">
        <v>74</v>
      </c>
      <c r="BJ917" s="1" t="s">
        <v>74</v>
      </c>
      <c r="BK917" s="1" t="s">
        <v>74</v>
      </c>
      <c r="BL917" s="1" t="s">
        <v>74</v>
      </c>
      <c r="BM917" s="1" t="s">
        <v>74</v>
      </c>
      <c r="BN917" s="1">
        <v>3.5293468E7</v>
      </c>
      <c r="BO917" s="1" t="s">
        <v>74</v>
      </c>
      <c r="BP917" s="1" t="s">
        <v>74</v>
      </c>
      <c r="BQ917" s="1" t="s">
        <v>74</v>
      </c>
      <c r="BR917" s="1" t="s">
        <v>74</v>
      </c>
      <c r="BS917" s="1" t="s">
        <v>9104</v>
      </c>
      <c r="BT917" s="1" t="str">
        <f>HYPERLINK("https%3A%2F%2Fwww.webofscience.com%2Fwos%2Fwoscc%2Ffull-record%2FWOS:000775556700009","View Full Record in Web of Science")</f>
        <v>View Full Record in Web of Science</v>
      </c>
    </row>
    <row r="918" ht="12.75" customHeight="1">
      <c r="A918" s="1" t="s">
        <v>72</v>
      </c>
      <c r="B918" s="1" t="s">
        <v>9105</v>
      </c>
      <c r="C918" s="1" t="s">
        <v>74</v>
      </c>
      <c r="D918" s="1" t="s">
        <v>74</v>
      </c>
      <c r="E918" s="1" t="s">
        <v>74</v>
      </c>
      <c r="F918" s="1" t="s">
        <v>9106</v>
      </c>
      <c r="G918" s="1" t="s">
        <v>74</v>
      </c>
      <c r="H918" s="1" t="s">
        <v>74</v>
      </c>
      <c r="I918" s="1" t="s">
        <v>9107</v>
      </c>
      <c r="J918" s="1" t="s">
        <v>9108</v>
      </c>
      <c r="K918" s="1" t="s">
        <v>74</v>
      </c>
      <c r="L918" s="1" t="s">
        <v>74</v>
      </c>
      <c r="M918" s="1" t="s">
        <v>74</v>
      </c>
      <c r="N918" s="1" t="s">
        <v>74</v>
      </c>
      <c r="O918" s="1" t="s">
        <v>74</v>
      </c>
      <c r="P918" s="1" t="s">
        <v>74</v>
      </c>
      <c r="Q918" s="1" t="s">
        <v>74</v>
      </c>
      <c r="R918" s="1" t="s">
        <v>74</v>
      </c>
      <c r="S918" s="1" t="s">
        <v>74</v>
      </c>
      <c r="T918" s="1" t="s">
        <v>74</v>
      </c>
      <c r="U918" s="1" t="s">
        <v>74</v>
      </c>
      <c r="V918" s="1" t="s">
        <v>9109</v>
      </c>
      <c r="W918" s="1" t="s">
        <v>74</v>
      </c>
      <c r="X918" s="1" t="s">
        <v>74</v>
      </c>
      <c r="Y918" s="1" t="s">
        <v>74</v>
      </c>
      <c r="Z918" s="1" t="s">
        <v>74</v>
      </c>
      <c r="AA918" s="1" t="s">
        <v>9110</v>
      </c>
      <c r="AB918" s="1" t="s">
        <v>9111</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9112</v>
      </c>
      <c r="AP918" s="1" t="s">
        <v>9113</v>
      </c>
      <c r="AQ918" s="1" t="s">
        <v>74</v>
      </c>
      <c r="AR918" s="1" t="s">
        <v>74</v>
      </c>
      <c r="AS918" s="1" t="s">
        <v>74</v>
      </c>
      <c r="AT918" s="1" t="s">
        <v>7248</v>
      </c>
      <c r="AU918" s="1">
        <v>2021.0</v>
      </c>
      <c r="AV918" s="1">
        <v>13.0</v>
      </c>
      <c r="AW918" s="1">
        <v>44.0</v>
      </c>
      <c r="AX918" s="1" t="s">
        <v>74</v>
      </c>
      <c r="AY918" s="1" t="s">
        <v>74</v>
      </c>
      <c r="AZ918" s="1" t="s">
        <v>74</v>
      </c>
      <c r="BA918" s="1" t="s">
        <v>74</v>
      </c>
      <c r="BB918" s="1">
        <v>18702.0</v>
      </c>
      <c r="BC918" s="1">
        <v>18713.0</v>
      </c>
      <c r="BD918" s="1" t="s">
        <v>74</v>
      </c>
      <c r="BE918" s="1" t="s">
        <v>9114</v>
      </c>
      <c r="BF918" s="2" t="str">
        <f>HYPERLINK("http://dx.doi.org/10.1039/d1nr04577f","http://dx.doi.org/10.1039/d1nr04577f")</f>
        <v>http://dx.doi.org/10.1039/d1nr04577f</v>
      </c>
      <c r="BG918" s="1" t="s">
        <v>74</v>
      </c>
      <c r="BH918" s="1" t="s">
        <v>8625</v>
      </c>
      <c r="BI918" s="1" t="s">
        <v>74</v>
      </c>
      <c r="BJ918" s="1" t="s">
        <v>74</v>
      </c>
      <c r="BK918" s="1" t="s">
        <v>74</v>
      </c>
      <c r="BL918" s="1" t="s">
        <v>74</v>
      </c>
      <c r="BM918" s="1" t="s">
        <v>74</v>
      </c>
      <c r="BN918" s="1">
        <v>3.4739026E7</v>
      </c>
      <c r="BO918" s="1" t="s">
        <v>74</v>
      </c>
      <c r="BP918" s="1" t="s">
        <v>74</v>
      </c>
      <c r="BQ918" s="1" t="s">
        <v>74</v>
      </c>
      <c r="BR918" s="1" t="s">
        <v>74</v>
      </c>
      <c r="BS918" s="1" t="s">
        <v>9115</v>
      </c>
      <c r="BT918" s="1" t="str">
        <f>HYPERLINK("https%3A%2F%2Fwww.webofscience.com%2Fwos%2Fwoscc%2Ffull-record%2FWOS:000714675900001","View Full Record in Web of Science")</f>
        <v>View Full Record in Web of Science</v>
      </c>
    </row>
    <row r="919" ht="12.75" customHeight="1">
      <c r="A919" s="1" t="s">
        <v>72</v>
      </c>
      <c r="B919" s="1" t="s">
        <v>9116</v>
      </c>
      <c r="C919" s="1" t="s">
        <v>74</v>
      </c>
      <c r="D919" s="1" t="s">
        <v>74</v>
      </c>
      <c r="E919" s="1" t="s">
        <v>74</v>
      </c>
      <c r="F919" s="1" t="s">
        <v>9117</v>
      </c>
      <c r="G919" s="1" t="s">
        <v>74</v>
      </c>
      <c r="H919" s="1" t="s">
        <v>74</v>
      </c>
      <c r="I919" s="1" t="s">
        <v>9118</v>
      </c>
      <c r="J919" s="1" t="s">
        <v>9119</v>
      </c>
      <c r="K919" s="1" t="s">
        <v>74</v>
      </c>
      <c r="L919" s="1" t="s">
        <v>74</v>
      </c>
      <c r="M919" s="1" t="s">
        <v>74</v>
      </c>
      <c r="N919" s="1" t="s">
        <v>74</v>
      </c>
      <c r="O919" s="1" t="s">
        <v>74</v>
      </c>
      <c r="P919" s="1" t="s">
        <v>74</v>
      </c>
      <c r="Q919" s="1" t="s">
        <v>74</v>
      </c>
      <c r="R919" s="1" t="s">
        <v>74</v>
      </c>
      <c r="S919" s="1" t="s">
        <v>74</v>
      </c>
      <c r="T919" s="1" t="s">
        <v>74</v>
      </c>
      <c r="U919" s="1" t="s">
        <v>74</v>
      </c>
      <c r="V919" s="1" t="s">
        <v>9120</v>
      </c>
      <c r="W919" s="1" t="s">
        <v>74</v>
      </c>
      <c r="X919" s="1" t="s">
        <v>74</v>
      </c>
      <c r="Y919" s="1" t="s">
        <v>74</v>
      </c>
      <c r="Z919" s="1" t="s">
        <v>74</v>
      </c>
      <c r="AA919" s="1" t="s">
        <v>9121</v>
      </c>
      <c r="AB919" s="1" t="s">
        <v>9122</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9123</v>
      </c>
      <c r="AP919" s="1" t="s">
        <v>9124</v>
      </c>
      <c r="AQ919" s="1" t="s">
        <v>74</v>
      </c>
      <c r="AR919" s="1" t="s">
        <v>74</v>
      </c>
      <c r="AS919" s="1" t="s">
        <v>74</v>
      </c>
      <c r="AT919" s="1" t="s">
        <v>3733</v>
      </c>
      <c r="AU919" s="1">
        <v>2021.0</v>
      </c>
      <c r="AV919" s="1">
        <v>33.0</v>
      </c>
      <c r="AW919" s="1">
        <v>16.0</v>
      </c>
      <c r="AX919" s="1" t="s">
        <v>74</v>
      </c>
      <c r="AY919" s="1" t="s">
        <v>74</v>
      </c>
      <c r="AZ919" s="1" t="s">
        <v>74</v>
      </c>
      <c r="BA919" s="1" t="s">
        <v>74</v>
      </c>
      <c r="BB919" s="1">
        <v>6383.0</v>
      </c>
      <c r="BC919" s="1">
        <v>6393.0</v>
      </c>
      <c r="BD919" s="1" t="s">
        <v>74</v>
      </c>
      <c r="BE919" s="1" t="s">
        <v>9125</v>
      </c>
      <c r="BF919" s="2" t="str">
        <f>HYPERLINK("http://dx.doi.org/10.1021/acs.chemmater.1c01531","http://dx.doi.org/10.1021/acs.chemmater.1c01531")</f>
        <v>http://dx.doi.org/10.1021/acs.chemmater.1c01531</v>
      </c>
      <c r="BG919" s="1" t="s">
        <v>74</v>
      </c>
      <c r="BH919" s="1" t="s">
        <v>1218</v>
      </c>
      <c r="BI919" s="1" t="s">
        <v>74</v>
      </c>
      <c r="BJ919" s="1" t="s">
        <v>74</v>
      </c>
      <c r="BK919" s="1" t="s">
        <v>74</v>
      </c>
      <c r="BL919" s="1" t="s">
        <v>74</v>
      </c>
      <c r="BM919" s="1" t="s">
        <v>74</v>
      </c>
      <c r="BN919" s="1" t="s">
        <v>74</v>
      </c>
      <c r="BO919" s="1" t="s">
        <v>74</v>
      </c>
      <c r="BP919" s="1" t="s">
        <v>74</v>
      </c>
      <c r="BQ919" s="1" t="s">
        <v>74</v>
      </c>
      <c r="BR919" s="1" t="s">
        <v>74</v>
      </c>
      <c r="BS919" s="1" t="s">
        <v>9126</v>
      </c>
      <c r="BT919" s="1" t="str">
        <f>HYPERLINK("https%3A%2F%2Fwww.webofscience.com%2Fwos%2Fwoscc%2Ffull-record%2FWOS:000691302400014","View Full Record in Web of Science")</f>
        <v>View Full Record in Web of Science</v>
      </c>
    </row>
    <row r="920" ht="12.75" customHeight="1">
      <c r="A920" s="1" t="s">
        <v>72</v>
      </c>
      <c r="B920" s="1" t="s">
        <v>9127</v>
      </c>
      <c r="C920" s="1" t="s">
        <v>74</v>
      </c>
      <c r="D920" s="1" t="s">
        <v>74</v>
      </c>
      <c r="E920" s="1" t="s">
        <v>74</v>
      </c>
      <c r="F920" s="1" t="s">
        <v>9128</v>
      </c>
      <c r="G920" s="1" t="s">
        <v>74</v>
      </c>
      <c r="H920" s="1" t="s">
        <v>74</v>
      </c>
      <c r="I920" s="1" t="s">
        <v>9129</v>
      </c>
      <c r="J920" s="1" t="s">
        <v>9130</v>
      </c>
      <c r="K920" s="1" t="s">
        <v>74</v>
      </c>
      <c r="L920" s="1" t="s">
        <v>74</v>
      </c>
      <c r="M920" s="1" t="s">
        <v>74</v>
      </c>
      <c r="N920" s="1" t="s">
        <v>74</v>
      </c>
      <c r="O920" s="1" t="s">
        <v>74</v>
      </c>
      <c r="P920" s="1" t="s">
        <v>74</v>
      </c>
      <c r="Q920" s="1" t="s">
        <v>74</v>
      </c>
      <c r="R920" s="1" t="s">
        <v>74</v>
      </c>
      <c r="S920" s="1" t="s">
        <v>74</v>
      </c>
      <c r="T920" s="1" t="s">
        <v>74</v>
      </c>
      <c r="U920" s="1" t="s">
        <v>74</v>
      </c>
      <c r="V920" s="1" t="s">
        <v>9131</v>
      </c>
      <c r="W920" s="1" t="s">
        <v>74</v>
      </c>
      <c r="X920" s="1" t="s">
        <v>74</v>
      </c>
      <c r="Y920" s="1" t="s">
        <v>74</v>
      </c>
      <c r="Z920" s="1" t="s">
        <v>74</v>
      </c>
      <c r="AA920" s="1" t="s">
        <v>9132</v>
      </c>
      <c r="AB920" s="1" t="s">
        <v>9133</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9134</v>
      </c>
      <c r="AP920" s="1" t="s">
        <v>74</v>
      </c>
      <c r="AQ920" s="1" t="s">
        <v>74</v>
      </c>
      <c r="AR920" s="1" t="s">
        <v>74</v>
      </c>
      <c r="AS920" s="1" t="s">
        <v>74</v>
      </c>
      <c r="AT920" s="1" t="s">
        <v>9135</v>
      </c>
      <c r="AU920" s="1">
        <v>2021.0</v>
      </c>
      <c r="AV920" s="1">
        <v>15.0</v>
      </c>
      <c r="AW920" s="1" t="s">
        <v>74</v>
      </c>
      <c r="AX920" s="1" t="s">
        <v>74</v>
      </c>
      <c r="AY920" s="1" t="s">
        <v>74</v>
      </c>
      <c r="AZ920" s="1" t="s">
        <v>74</v>
      </c>
      <c r="BA920" s="1" t="s">
        <v>74</v>
      </c>
      <c r="BB920" s="1" t="s">
        <v>74</v>
      </c>
      <c r="BC920" s="1" t="s">
        <v>74</v>
      </c>
      <c r="BD920" s="1">
        <v>643287.0</v>
      </c>
      <c r="BE920" s="1" t="s">
        <v>9136</v>
      </c>
      <c r="BF920" s="2" t="str">
        <f>HYPERLINK("http://dx.doi.org/10.3389/fnana.2021.643287","http://dx.doi.org/10.3389/fnana.2021.643287")</f>
        <v>http://dx.doi.org/10.3389/fnana.2021.643287</v>
      </c>
      <c r="BG920" s="1" t="s">
        <v>74</v>
      </c>
      <c r="BH920" s="1" t="s">
        <v>74</v>
      </c>
      <c r="BI920" s="1" t="s">
        <v>74</v>
      </c>
      <c r="BJ920" s="1" t="s">
        <v>74</v>
      </c>
      <c r="BK920" s="1" t="s">
        <v>74</v>
      </c>
      <c r="BL920" s="1" t="s">
        <v>74</v>
      </c>
      <c r="BM920" s="1" t="s">
        <v>74</v>
      </c>
      <c r="BN920" s="1">
        <v>3.3994959E7</v>
      </c>
      <c r="BO920" s="1" t="s">
        <v>74</v>
      </c>
      <c r="BP920" s="1" t="s">
        <v>74</v>
      </c>
      <c r="BQ920" s="1" t="s">
        <v>74</v>
      </c>
      <c r="BR920" s="1" t="s">
        <v>74</v>
      </c>
      <c r="BS920" s="1" t="s">
        <v>9137</v>
      </c>
      <c r="BT920" s="1" t="str">
        <f>HYPERLINK("https%3A%2F%2Fwww.webofscience.com%2Fwos%2Fwoscc%2Ffull-record%2FWOS:000649313400001","View Full Record in Web of Science")</f>
        <v>View Full Record in Web of Science</v>
      </c>
    </row>
    <row r="921" ht="12.75" customHeight="1">
      <c r="A921" s="1" t="s">
        <v>72</v>
      </c>
      <c r="B921" s="1" t="s">
        <v>9138</v>
      </c>
      <c r="C921" s="1" t="s">
        <v>74</v>
      </c>
      <c r="D921" s="1" t="s">
        <v>74</v>
      </c>
      <c r="E921" s="1" t="s">
        <v>74</v>
      </c>
      <c r="F921" s="1" t="s">
        <v>9139</v>
      </c>
      <c r="G921" s="1" t="s">
        <v>74</v>
      </c>
      <c r="H921" s="1" t="s">
        <v>74</v>
      </c>
      <c r="I921" s="1" t="s">
        <v>9140</v>
      </c>
      <c r="J921" s="1" t="s">
        <v>2262</v>
      </c>
      <c r="K921" s="1" t="s">
        <v>74</v>
      </c>
      <c r="L921" s="1" t="s">
        <v>74</v>
      </c>
      <c r="M921" s="1" t="s">
        <v>74</v>
      </c>
      <c r="N921" s="1" t="s">
        <v>74</v>
      </c>
      <c r="O921" s="1" t="s">
        <v>74</v>
      </c>
      <c r="P921" s="1" t="s">
        <v>74</v>
      </c>
      <c r="Q921" s="1" t="s">
        <v>74</v>
      </c>
      <c r="R921" s="1" t="s">
        <v>74</v>
      </c>
      <c r="S921" s="1" t="s">
        <v>74</v>
      </c>
      <c r="T921" s="1" t="s">
        <v>74</v>
      </c>
      <c r="U921" s="1" t="s">
        <v>74</v>
      </c>
      <c r="V921" s="1" t="s">
        <v>9141</v>
      </c>
      <c r="W921" s="1" t="s">
        <v>74</v>
      </c>
      <c r="X921" s="1" t="s">
        <v>74</v>
      </c>
      <c r="Y921" s="1" t="s">
        <v>74</v>
      </c>
      <c r="Z921" s="1" t="s">
        <v>74</v>
      </c>
      <c r="AA921" s="1" t="s">
        <v>7776</v>
      </c>
      <c r="AB921" s="1" t="s">
        <v>9142</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2266</v>
      </c>
      <c r="AP921" s="1" t="s">
        <v>2267</v>
      </c>
      <c r="AQ921" s="1" t="s">
        <v>74</v>
      </c>
      <c r="AR921" s="1" t="s">
        <v>74</v>
      </c>
      <c r="AS921" s="1" t="s">
        <v>74</v>
      </c>
      <c r="AT921" s="1" t="s">
        <v>1657</v>
      </c>
      <c r="AU921" s="1">
        <v>2021.0</v>
      </c>
      <c r="AV921" s="1">
        <v>334.0</v>
      </c>
      <c r="AW921" s="1" t="s">
        <v>74</v>
      </c>
      <c r="AX921" s="1" t="s">
        <v>74</v>
      </c>
      <c r="AY921" s="1" t="s">
        <v>74</v>
      </c>
      <c r="AZ921" s="1" t="s">
        <v>74</v>
      </c>
      <c r="BA921" s="1" t="s">
        <v>74</v>
      </c>
      <c r="BB921" s="1" t="s">
        <v>74</v>
      </c>
      <c r="BC921" s="1" t="s">
        <v>74</v>
      </c>
      <c r="BD921" s="1">
        <v>115944.0</v>
      </c>
      <c r="BE921" s="1" t="s">
        <v>9143</v>
      </c>
      <c r="BF921" s="2" t="str">
        <f>HYPERLINK("http://dx.doi.org/10.1016/j.molliq.2021.115944","http://dx.doi.org/10.1016/j.molliq.2021.115944")</f>
        <v>http://dx.doi.org/10.1016/j.molliq.2021.115944</v>
      </c>
      <c r="BG921" s="1" t="s">
        <v>74</v>
      </c>
      <c r="BH921" s="1" t="s">
        <v>2427</v>
      </c>
      <c r="BI921" s="1" t="s">
        <v>74</v>
      </c>
      <c r="BJ921" s="1" t="s">
        <v>74</v>
      </c>
      <c r="BK921" s="1" t="s">
        <v>74</v>
      </c>
      <c r="BL921" s="1" t="s">
        <v>74</v>
      </c>
      <c r="BM921" s="1" t="s">
        <v>74</v>
      </c>
      <c r="BN921" s="1" t="s">
        <v>74</v>
      </c>
      <c r="BO921" s="1" t="s">
        <v>74</v>
      </c>
      <c r="BP921" s="1" t="s">
        <v>74</v>
      </c>
      <c r="BQ921" s="1" t="s">
        <v>74</v>
      </c>
      <c r="BR921" s="1" t="s">
        <v>74</v>
      </c>
      <c r="BS921" s="1" t="s">
        <v>9144</v>
      </c>
      <c r="BT921" s="1" t="str">
        <f>HYPERLINK("https%3A%2F%2Fwww.webofscience.com%2Fwos%2Fwoscc%2Ffull-record%2FWOS:000661396500018","View Full Record in Web of Science")</f>
        <v>View Full Record in Web of Science</v>
      </c>
    </row>
    <row r="922" ht="12.75" customHeight="1">
      <c r="A922" s="1" t="s">
        <v>72</v>
      </c>
      <c r="B922" s="1" t="s">
        <v>9145</v>
      </c>
      <c r="C922" s="1" t="s">
        <v>74</v>
      </c>
      <c r="D922" s="1" t="s">
        <v>74</v>
      </c>
      <c r="E922" s="1" t="s">
        <v>74</v>
      </c>
      <c r="F922" s="1" t="s">
        <v>9146</v>
      </c>
      <c r="G922" s="1" t="s">
        <v>74</v>
      </c>
      <c r="H922" s="1" t="s">
        <v>74</v>
      </c>
      <c r="I922" s="1" t="s">
        <v>9147</v>
      </c>
      <c r="J922" s="1" t="s">
        <v>9148</v>
      </c>
      <c r="K922" s="1" t="s">
        <v>74</v>
      </c>
      <c r="L922" s="1" t="s">
        <v>74</v>
      </c>
      <c r="M922" s="1" t="s">
        <v>74</v>
      </c>
      <c r="N922" s="1" t="s">
        <v>74</v>
      </c>
      <c r="O922" s="1" t="s">
        <v>74</v>
      </c>
      <c r="P922" s="1" t="s">
        <v>74</v>
      </c>
      <c r="Q922" s="1" t="s">
        <v>74</v>
      </c>
      <c r="R922" s="1" t="s">
        <v>74</v>
      </c>
      <c r="S922" s="1" t="s">
        <v>74</v>
      </c>
      <c r="T922" s="1" t="s">
        <v>74</v>
      </c>
      <c r="U922" s="1" t="s">
        <v>74</v>
      </c>
      <c r="V922" s="1" t="s">
        <v>9149</v>
      </c>
      <c r="W922" s="1" t="s">
        <v>74</v>
      </c>
      <c r="X922" s="1" t="s">
        <v>74</v>
      </c>
      <c r="Y922" s="1" t="s">
        <v>74</v>
      </c>
      <c r="Z922" s="1" t="s">
        <v>74</v>
      </c>
      <c r="AA922" s="1" t="s">
        <v>9150</v>
      </c>
      <c r="AB922" s="1" t="s">
        <v>9151</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74</v>
      </c>
      <c r="AP922" s="1" t="s">
        <v>9152</v>
      </c>
      <c r="AQ922" s="1" t="s">
        <v>74</v>
      </c>
      <c r="AR922" s="1" t="s">
        <v>74</v>
      </c>
      <c r="AS922" s="1" t="s">
        <v>74</v>
      </c>
      <c r="AT922" s="1" t="s">
        <v>1106</v>
      </c>
      <c r="AU922" s="1">
        <v>2021.0</v>
      </c>
      <c r="AV922" s="1">
        <v>13.0</v>
      </c>
      <c r="AW922" s="1">
        <v>1.0</v>
      </c>
      <c r="AX922" s="1" t="s">
        <v>74</v>
      </c>
      <c r="AY922" s="1" t="s">
        <v>74</v>
      </c>
      <c r="AZ922" s="1" t="s">
        <v>74</v>
      </c>
      <c r="BA922" s="1" t="s">
        <v>74</v>
      </c>
      <c r="BB922" s="1" t="s">
        <v>74</v>
      </c>
      <c r="BC922" s="1" t="s">
        <v>74</v>
      </c>
      <c r="BD922" s="1">
        <v>125.0</v>
      </c>
      <c r="BE922" s="1" t="s">
        <v>9153</v>
      </c>
      <c r="BF922" s="2" t="str">
        <f>HYPERLINK("http://dx.doi.org/10.3390/su13010125","http://dx.doi.org/10.3390/su13010125")</f>
        <v>http://dx.doi.org/10.3390/su13010125</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9154</v>
      </c>
      <c r="BT922" s="1" t="str">
        <f>HYPERLINK("https%3A%2F%2Fwww.webofscience.com%2Fwos%2Fwoscc%2Ffull-record%2FWOS:000606766300001","View Full Record in Web of Science")</f>
        <v>View Full Record in Web of Science</v>
      </c>
    </row>
    <row r="923" ht="12.75" customHeight="1">
      <c r="A923" s="1" t="s">
        <v>72</v>
      </c>
      <c r="B923" s="1" t="s">
        <v>9155</v>
      </c>
      <c r="C923" s="1" t="s">
        <v>74</v>
      </c>
      <c r="D923" s="1" t="s">
        <v>74</v>
      </c>
      <c r="E923" s="1" t="s">
        <v>74</v>
      </c>
      <c r="F923" s="1" t="s">
        <v>9156</v>
      </c>
      <c r="G923" s="1" t="s">
        <v>74</v>
      </c>
      <c r="H923" s="1" t="s">
        <v>74</v>
      </c>
      <c r="I923" s="1" t="s">
        <v>9157</v>
      </c>
      <c r="J923" s="1" t="s">
        <v>9158</v>
      </c>
      <c r="K923" s="1" t="s">
        <v>74</v>
      </c>
      <c r="L923" s="1" t="s">
        <v>74</v>
      </c>
      <c r="M923" s="1" t="s">
        <v>74</v>
      </c>
      <c r="N923" s="1" t="s">
        <v>74</v>
      </c>
      <c r="O923" s="1" t="s">
        <v>74</v>
      </c>
      <c r="P923" s="1" t="s">
        <v>74</v>
      </c>
      <c r="Q923" s="1" t="s">
        <v>74</v>
      </c>
      <c r="R923" s="1" t="s">
        <v>74</v>
      </c>
      <c r="S923" s="1" t="s">
        <v>74</v>
      </c>
      <c r="T923" s="1" t="s">
        <v>74</v>
      </c>
      <c r="U923" s="1" t="s">
        <v>74</v>
      </c>
      <c r="V923" s="1" t="s">
        <v>9159</v>
      </c>
      <c r="W923" s="1" t="s">
        <v>74</v>
      </c>
      <c r="X923" s="1" t="s">
        <v>74</v>
      </c>
      <c r="Y923" s="1" t="s">
        <v>74</v>
      </c>
      <c r="Z923" s="1" t="s">
        <v>74</v>
      </c>
      <c r="AA923" s="1" t="s">
        <v>9160</v>
      </c>
      <c r="AB923" s="1" t="s">
        <v>9161</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9162</v>
      </c>
      <c r="AP923" s="1" t="s">
        <v>9163</v>
      </c>
      <c r="AQ923" s="1" t="s">
        <v>74</v>
      </c>
      <c r="AR923" s="1" t="s">
        <v>74</v>
      </c>
      <c r="AS923" s="1" t="s">
        <v>74</v>
      </c>
      <c r="AT923" s="1" t="s">
        <v>5551</v>
      </c>
      <c r="AU923" s="1">
        <v>2018.0</v>
      </c>
      <c r="AV923" s="1">
        <v>32.0</v>
      </c>
      <c r="AW923" s="1">
        <v>3.0</v>
      </c>
      <c r="AX923" s="1" t="s">
        <v>74</v>
      </c>
      <c r="AY923" s="1" t="s">
        <v>74</v>
      </c>
      <c r="AZ923" s="1" t="s">
        <v>74</v>
      </c>
      <c r="BA923" s="1" t="s">
        <v>74</v>
      </c>
      <c r="BB923" s="1">
        <v>247.0</v>
      </c>
      <c r="BC923" s="1">
        <v>257.0</v>
      </c>
      <c r="BD923" s="1" t="s">
        <v>9164</v>
      </c>
      <c r="BE923" s="1" t="s">
        <v>9165</v>
      </c>
      <c r="BF923" s="2" t="str">
        <f>HYPERLINK("http://dx.doi.org/10.11607/ofph.1961","http://dx.doi.org/10.11607/ofph.1961")</f>
        <v>http://dx.doi.org/10.11607/ofph.1961</v>
      </c>
      <c r="BG923" s="1" t="s">
        <v>74</v>
      </c>
      <c r="BH923" s="1" t="s">
        <v>74</v>
      </c>
      <c r="BI923" s="1" t="s">
        <v>74</v>
      </c>
      <c r="BJ923" s="1" t="s">
        <v>74</v>
      </c>
      <c r="BK923" s="1" t="s">
        <v>74</v>
      </c>
      <c r="BL923" s="1" t="s">
        <v>74</v>
      </c>
      <c r="BM923" s="1" t="s">
        <v>74</v>
      </c>
      <c r="BN923" s="1" t="s">
        <v>74</v>
      </c>
      <c r="BO923" s="1" t="s">
        <v>74</v>
      </c>
      <c r="BP923" s="1" t="s">
        <v>74</v>
      </c>
      <c r="BQ923" s="1" t="s">
        <v>74</v>
      </c>
      <c r="BR923" s="1" t="s">
        <v>74</v>
      </c>
      <c r="BS923" s="1" t="s">
        <v>9166</v>
      </c>
      <c r="BT923" s="1" t="str">
        <f>HYPERLINK("https%3A%2F%2Fwww.webofscience.com%2Fwos%2Fwoscc%2Ffull-record%2FWOS:000444007400004","View Full Record in Web of Science")</f>
        <v>View Full Record in Web of Science</v>
      </c>
    </row>
    <row r="924" ht="12.75" customHeight="1">
      <c r="A924" s="1" t="s">
        <v>72</v>
      </c>
      <c r="B924" s="1" t="s">
        <v>9167</v>
      </c>
      <c r="C924" s="1" t="s">
        <v>74</v>
      </c>
      <c r="D924" s="1" t="s">
        <v>74</v>
      </c>
      <c r="E924" s="1" t="s">
        <v>74</v>
      </c>
      <c r="F924" s="1" t="s">
        <v>9168</v>
      </c>
      <c r="G924" s="1" t="s">
        <v>74</v>
      </c>
      <c r="H924" s="1" t="s">
        <v>74</v>
      </c>
      <c r="I924" s="1" t="s">
        <v>9169</v>
      </c>
      <c r="J924" s="1" t="s">
        <v>3323</v>
      </c>
      <c r="K924" s="1" t="s">
        <v>74</v>
      </c>
      <c r="L924" s="1" t="s">
        <v>74</v>
      </c>
      <c r="M924" s="1" t="s">
        <v>74</v>
      </c>
      <c r="N924" s="1" t="s">
        <v>74</v>
      </c>
      <c r="O924" s="1" t="s">
        <v>74</v>
      </c>
      <c r="P924" s="1" t="s">
        <v>74</v>
      </c>
      <c r="Q924" s="1" t="s">
        <v>74</v>
      </c>
      <c r="R924" s="1" t="s">
        <v>74</v>
      </c>
      <c r="S924" s="1" t="s">
        <v>74</v>
      </c>
      <c r="T924" s="1" t="s">
        <v>74</v>
      </c>
      <c r="U924" s="1" t="s">
        <v>74</v>
      </c>
      <c r="V924" s="1" t="s">
        <v>9170</v>
      </c>
      <c r="W924" s="1" t="s">
        <v>74</v>
      </c>
      <c r="X924" s="1" t="s">
        <v>74</v>
      </c>
      <c r="Y924" s="1" t="s">
        <v>74</v>
      </c>
      <c r="Z924" s="1" t="s">
        <v>74</v>
      </c>
      <c r="AA924" s="1" t="s">
        <v>6548</v>
      </c>
      <c r="AB924" s="1" t="s">
        <v>9171</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9172</v>
      </c>
      <c r="AP924" s="1" t="s">
        <v>9173</v>
      </c>
      <c r="AQ924" s="1" t="s">
        <v>74</v>
      </c>
      <c r="AR924" s="1" t="s">
        <v>74</v>
      </c>
      <c r="AS924" s="1" t="s">
        <v>74</v>
      </c>
      <c r="AT924" s="1" t="s">
        <v>4588</v>
      </c>
      <c r="AU924" s="1">
        <v>2017.0</v>
      </c>
      <c r="AV924" s="1">
        <v>96.0</v>
      </c>
      <c r="AW924" s="1">
        <v>8.0</v>
      </c>
      <c r="AX924" s="1" t="s">
        <v>74</v>
      </c>
      <c r="AY924" s="1" t="s">
        <v>74</v>
      </c>
      <c r="AZ924" s="1" t="s">
        <v>74</v>
      </c>
      <c r="BA924" s="1" t="s">
        <v>74</v>
      </c>
      <c r="BB924" s="1" t="s">
        <v>74</v>
      </c>
      <c r="BC924" s="1" t="s">
        <v>74</v>
      </c>
      <c r="BD924" s="1">
        <v>83534.0</v>
      </c>
      <c r="BE924" s="1" t="s">
        <v>9174</v>
      </c>
      <c r="BF924" s="2" t="str">
        <f>HYPERLINK("http://dx.doi.org/10.1103/PhysRevD.96.083534","http://dx.doi.org/10.1103/PhysRevD.96.083534")</f>
        <v>http://dx.doi.org/10.1103/PhysRevD.96.083534</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9175</v>
      </c>
      <c r="BT924" s="1" t="str">
        <f>HYPERLINK("https%3A%2F%2Fwww.webofscience.com%2Fwos%2Fwoscc%2Ffull-record%2FWOS:000414036500003","View Full Record in Web of Science")</f>
        <v>View Full Record in Web of Science</v>
      </c>
    </row>
    <row r="925" ht="12.75" customHeight="1">
      <c r="A925" s="1" t="s">
        <v>72</v>
      </c>
      <c r="B925" s="1" t="s">
        <v>9176</v>
      </c>
      <c r="C925" s="1" t="s">
        <v>74</v>
      </c>
      <c r="D925" s="1" t="s">
        <v>74</v>
      </c>
      <c r="E925" s="1" t="s">
        <v>74</v>
      </c>
      <c r="F925" s="1" t="s">
        <v>9177</v>
      </c>
      <c r="G925" s="1" t="s">
        <v>74</v>
      </c>
      <c r="H925" s="1" t="s">
        <v>74</v>
      </c>
      <c r="I925" s="1" t="s">
        <v>9178</v>
      </c>
      <c r="J925" s="1" t="s">
        <v>9179</v>
      </c>
      <c r="K925" s="1" t="s">
        <v>74</v>
      </c>
      <c r="L925" s="1" t="s">
        <v>74</v>
      </c>
      <c r="M925" s="1" t="s">
        <v>74</v>
      </c>
      <c r="N925" s="1" t="s">
        <v>74</v>
      </c>
      <c r="O925" s="1" t="s">
        <v>74</v>
      </c>
      <c r="P925" s="1" t="s">
        <v>74</v>
      </c>
      <c r="Q925" s="1" t="s">
        <v>74</v>
      </c>
      <c r="R925" s="1" t="s">
        <v>74</v>
      </c>
      <c r="S925" s="1" t="s">
        <v>74</v>
      </c>
      <c r="T925" s="1" t="s">
        <v>74</v>
      </c>
      <c r="U925" s="1" t="s">
        <v>74</v>
      </c>
      <c r="V925" s="1" t="s">
        <v>9180</v>
      </c>
      <c r="W925" s="1" t="s">
        <v>74</v>
      </c>
      <c r="X925" s="1" t="s">
        <v>74</v>
      </c>
      <c r="Y925" s="1" t="s">
        <v>74</v>
      </c>
      <c r="Z925" s="1" t="s">
        <v>74</v>
      </c>
      <c r="AA925" s="1" t="s">
        <v>9181</v>
      </c>
      <c r="AB925" s="1" t="s">
        <v>9182</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9183</v>
      </c>
      <c r="AP925" s="1" t="s">
        <v>9184</v>
      </c>
      <c r="AQ925" s="1" t="s">
        <v>74</v>
      </c>
      <c r="AR925" s="1" t="s">
        <v>74</v>
      </c>
      <c r="AS925" s="1" t="s">
        <v>74</v>
      </c>
      <c r="AT925" s="1" t="s">
        <v>745</v>
      </c>
      <c r="AU925" s="1">
        <v>2017.0</v>
      </c>
      <c r="AV925" s="1">
        <v>67.0</v>
      </c>
      <c r="AW925" s="1">
        <v>5.0</v>
      </c>
      <c r="AX925" s="1" t="s">
        <v>74</v>
      </c>
      <c r="AY925" s="1" t="s">
        <v>74</v>
      </c>
      <c r="AZ925" s="1" t="s">
        <v>74</v>
      </c>
      <c r="BA925" s="1" t="s">
        <v>74</v>
      </c>
      <c r="BB925" s="1">
        <v>1306.0</v>
      </c>
      <c r="BC925" s="1">
        <v>1311.0</v>
      </c>
      <c r="BD925" s="1" t="s">
        <v>74</v>
      </c>
      <c r="BE925" s="1" t="s">
        <v>9185</v>
      </c>
      <c r="BF925" s="2" t="str">
        <f>HYPERLINK("http://dx.doi.org/10.1099/ijsem.0.001801","http://dx.doi.org/10.1099/ijsem.0.001801")</f>
        <v>http://dx.doi.org/10.1099/ijsem.0.001801</v>
      </c>
      <c r="BG925" s="1" t="s">
        <v>74</v>
      </c>
      <c r="BH925" s="1" t="s">
        <v>74</v>
      </c>
      <c r="BI925" s="1" t="s">
        <v>74</v>
      </c>
      <c r="BJ925" s="1" t="s">
        <v>74</v>
      </c>
      <c r="BK925" s="1" t="s">
        <v>74</v>
      </c>
      <c r="BL925" s="1" t="s">
        <v>74</v>
      </c>
      <c r="BM925" s="1" t="s">
        <v>74</v>
      </c>
      <c r="BN925" s="1">
        <v>2.8109208E7</v>
      </c>
      <c r="BO925" s="1" t="s">
        <v>74</v>
      </c>
      <c r="BP925" s="1" t="s">
        <v>74</v>
      </c>
      <c r="BQ925" s="1" t="s">
        <v>74</v>
      </c>
      <c r="BR925" s="1" t="s">
        <v>74</v>
      </c>
      <c r="BS925" s="1" t="s">
        <v>9186</v>
      </c>
      <c r="BT925" s="1" t="str">
        <f>HYPERLINK("https%3A%2F%2Fwww.webofscience.com%2Fwos%2Fwoscc%2Ffull-record%2FWOS:000403696100030","View Full Record in Web of Science")</f>
        <v>View Full Record in Web of Science</v>
      </c>
    </row>
    <row r="926" ht="12.75" customHeight="1">
      <c r="A926" s="1" t="s">
        <v>311</v>
      </c>
      <c r="B926" s="1" t="s">
        <v>9187</v>
      </c>
      <c r="C926" s="1" t="s">
        <v>74</v>
      </c>
      <c r="D926" s="1" t="s">
        <v>9188</v>
      </c>
      <c r="E926" s="1" t="s">
        <v>74</v>
      </c>
      <c r="F926" s="1" t="s">
        <v>9189</v>
      </c>
      <c r="G926" s="1" t="s">
        <v>74</v>
      </c>
      <c r="H926" s="1" t="s">
        <v>74</v>
      </c>
      <c r="I926" s="1" t="s">
        <v>9190</v>
      </c>
      <c r="J926" s="1" t="s">
        <v>9191</v>
      </c>
      <c r="K926" s="1" t="s">
        <v>9192</v>
      </c>
      <c r="L926" s="1" t="s">
        <v>74</v>
      </c>
      <c r="M926" s="1" t="s">
        <v>74</v>
      </c>
      <c r="N926" s="1" t="s">
        <v>74</v>
      </c>
      <c r="O926" s="1" t="s">
        <v>74</v>
      </c>
      <c r="P926" s="1" t="s">
        <v>74</v>
      </c>
      <c r="Q926" s="1" t="s">
        <v>74</v>
      </c>
      <c r="R926" s="1" t="s">
        <v>74</v>
      </c>
      <c r="S926" s="1" t="s">
        <v>74</v>
      </c>
      <c r="T926" s="1" t="s">
        <v>74</v>
      </c>
      <c r="U926" s="1" t="s">
        <v>74</v>
      </c>
      <c r="V926" s="1" t="s">
        <v>9193</v>
      </c>
      <c r="W926" s="1" t="s">
        <v>74</v>
      </c>
      <c r="X926" s="1" t="s">
        <v>74</v>
      </c>
      <c r="Y926" s="1" t="s">
        <v>74</v>
      </c>
      <c r="Z926" s="1" t="s">
        <v>74</v>
      </c>
      <c r="AA926" s="1" t="s">
        <v>7221</v>
      </c>
      <c r="AB926" s="1" t="s">
        <v>9194</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9195</v>
      </c>
      <c r="AP926" s="1" t="s">
        <v>9196</v>
      </c>
      <c r="AQ926" s="1" t="s">
        <v>9197</v>
      </c>
      <c r="AR926" s="1" t="s">
        <v>74</v>
      </c>
      <c r="AS926" s="1" t="s">
        <v>74</v>
      </c>
      <c r="AT926" s="1" t="s">
        <v>74</v>
      </c>
      <c r="AU926" s="1">
        <v>2017.0</v>
      </c>
      <c r="AV926" s="1">
        <v>1526.0</v>
      </c>
      <c r="AW926" s="1" t="s">
        <v>74</v>
      </c>
      <c r="AX926" s="1" t="s">
        <v>74</v>
      </c>
      <c r="AY926" s="1" t="s">
        <v>74</v>
      </c>
      <c r="AZ926" s="1" t="s">
        <v>74</v>
      </c>
      <c r="BA926" s="1" t="s">
        <v>74</v>
      </c>
      <c r="BB926" s="1">
        <v>271.0</v>
      </c>
      <c r="BC926" s="1">
        <v>297.0</v>
      </c>
      <c r="BD926" s="1" t="s">
        <v>74</v>
      </c>
      <c r="BE926" s="1" t="s">
        <v>9198</v>
      </c>
      <c r="BF926" s="2" t="str">
        <f>HYPERLINK("http://dx.doi.org/10.1007/978-1-4939-6613-4_16","http://dx.doi.org/10.1007/978-1-4939-6613-4_16")</f>
        <v>http://dx.doi.org/10.1007/978-1-4939-6613-4_16</v>
      </c>
      <c r="BG926" s="1" t="s">
        <v>9199</v>
      </c>
      <c r="BH926" s="1" t="s">
        <v>74</v>
      </c>
      <c r="BI926" s="1" t="s">
        <v>74</v>
      </c>
      <c r="BJ926" s="1" t="s">
        <v>74</v>
      </c>
      <c r="BK926" s="1" t="s">
        <v>74</v>
      </c>
      <c r="BL926" s="1" t="s">
        <v>74</v>
      </c>
      <c r="BM926" s="1" t="s">
        <v>74</v>
      </c>
      <c r="BN926" s="1">
        <v>2.7896748E7</v>
      </c>
      <c r="BO926" s="1" t="s">
        <v>74</v>
      </c>
      <c r="BP926" s="1" t="s">
        <v>74</v>
      </c>
      <c r="BQ926" s="1" t="s">
        <v>74</v>
      </c>
      <c r="BR926" s="1" t="s">
        <v>74</v>
      </c>
      <c r="BS926" s="1" t="s">
        <v>9200</v>
      </c>
      <c r="BT926" s="1" t="str">
        <f>HYPERLINK("https%3A%2F%2Fwww.webofscience.com%2Fwos%2Fwoscc%2Ffull-record%2FWOS:000415155100017","View Full Record in Web of Science")</f>
        <v>View Full Record in Web of Science</v>
      </c>
    </row>
    <row r="927" ht="12.75" customHeight="1">
      <c r="A927" s="1" t="s">
        <v>72</v>
      </c>
      <c r="B927" s="1" t="s">
        <v>9201</v>
      </c>
      <c r="C927" s="1" t="s">
        <v>74</v>
      </c>
      <c r="D927" s="1" t="s">
        <v>74</v>
      </c>
      <c r="E927" s="1" t="s">
        <v>74</v>
      </c>
      <c r="F927" s="1" t="s">
        <v>9202</v>
      </c>
      <c r="G927" s="1" t="s">
        <v>74</v>
      </c>
      <c r="H927" s="1" t="s">
        <v>74</v>
      </c>
      <c r="I927" s="1" t="s">
        <v>9203</v>
      </c>
      <c r="J927" s="1" t="s">
        <v>9204</v>
      </c>
      <c r="K927" s="1" t="s">
        <v>74</v>
      </c>
      <c r="L927" s="1" t="s">
        <v>74</v>
      </c>
      <c r="M927" s="1" t="s">
        <v>74</v>
      </c>
      <c r="N927" s="1" t="s">
        <v>74</v>
      </c>
      <c r="O927" s="1" t="s">
        <v>74</v>
      </c>
      <c r="P927" s="1" t="s">
        <v>74</v>
      </c>
      <c r="Q927" s="1" t="s">
        <v>74</v>
      </c>
      <c r="R927" s="1" t="s">
        <v>74</v>
      </c>
      <c r="S927" s="1" t="s">
        <v>74</v>
      </c>
      <c r="T927" s="1" t="s">
        <v>74</v>
      </c>
      <c r="U927" s="1" t="s">
        <v>74</v>
      </c>
      <c r="V927" s="1" t="s">
        <v>9205</v>
      </c>
      <c r="W927" s="1" t="s">
        <v>74</v>
      </c>
      <c r="X927" s="1" t="s">
        <v>74</v>
      </c>
      <c r="Y927" s="1" t="s">
        <v>74</v>
      </c>
      <c r="Z927" s="1" t="s">
        <v>74</v>
      </c>
      <c r="AA927" s="1" t="s">
        <v>9206</v>
      </c>
      <c r="AB927" s="1" t="s">
        <v>9207</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9208</v>
      </c>
      <c r="AP927" s="1" t="s">
        <v>9209</v>
      </c>
      <c r="AQ927" s="1" t="s">
        <v>74</v>
      </c>
      <c r="AR927" s="1" t="s">
        <v>74</v>
      </c>
      <c r="AS927" s="1" t="s">
        <v>74</v>
      </c>
      <c r="AT927" s="1" t="s">
        <v>1106</v>
      </c>
      <c r="AU927" s="1">
        <v>2015.0</v>
      </c>
      <c r="AV927" s="1">
        <v>22.0</v>
      </c>
      <c r="AW927" s="1" t="s">
        <v>74</v>
      </c>
      <c r="AX927" s="1" t="s">
        <v>74</v>
      </c>
      <c r="AY927" s="1" t="s">
        <v>74</v>
      </c>
      <c r="AZ927" s="1" t="s">
        <v>74</v>
      </c>
      <c r="BA927" s="1" t="s">
        <v>74</v>
      </c>
      <c r="BB927" s="1">
        <v>227.0</v>
      </c>
      <c r="BC927" s="1">
        <v>234.0</v>
      </c>
      <c r="BD927" s="1" t="s">
        <v>74</v>
      </c>
      <c r="BE927" s="1" t="s">
        <v>9210</v>
      </c>
      <c r="BF927" s="2" t="str">
        <f>HYPERLINK("http://dx.doi.org/10.1016/j.ultsonch.2014.07.007","http://dx.doi.org/10.1016/j.ultsonch.2014.07.007")</f>
        <v>http://dx.doi.org/10.1016/j.ultsonch.2014.07.007</v>
      </c>
      <c r="BG927" s="1" t="s">
        <v>74</v>
      </c>
      <c r="BH927" s="1" t="s">
        <v>74</v>
      </c>
      <c r="BI927" s="1" t="s">
        <v>74</v>
      </c>
      <c r="BJ927" s="1" t="s">
        <v>74</v>
      </c>
      <c r="BK927" s="1" t="s">
        <v>74</v>
      </c>
      <c r="BL927" s="1" t="s">
        <v>74</v>
      </c>
      <c r="BM927" s="1" t="s">
        <v>74</v>
      </c>
      <c r="BN927" s="1">
        <v>2.5082762E7</v>
      </c>
      <c r="BO927" s="1" t="s">
        <v>74</v>
      </c>
      <c r="BP927" s="1" t="s">
        <v>74</v>
      </c>
      <c r="BQ927" s="1" t="s">
        <v>74</v>
      </c>
      <c r="BR927" s="1" t="s">
        <v>74</v>
      </c>
      <c r="BS927" s="1" t="s">
        <v>9211</v>
      </c>
      <c r="BT927" s="1" t="str">
        <f>HYPERLINK("https%3A%2F%2Fwww.webofscience.com%2Fwos%2Fwoscc%2Ffull-record%2FWOS:000343019700033","View Full Record in Web of Science")</f>
        <v>View Full Record in Web of Science</v>
      </c>
    </row>
    <row r="928" ht="12.75" customHeight="1">
      <c r="A928" s="1" t="s">
        <v>72</v>
      </c>
      <c r="B928" s="1" t="s">
        <v>9212</v>
      </c>
      <c r="C928" s="1" t="s">
        <v>74</v>
      </c>
      <c r="D928" s="1" t="s">
        <v>74</v>
      </c>
      <c r="E928" s="1" t="s">
        <v>74</v>
      </c>
      <c r="F928" s="1" t="s">
        <v>9213</v>
      </c>
      <c r="G928" s="1" t="s">
        <v>74</v>
      </c>
      <c r="H928" s="1" t="s">
        <v>74</v>
      </c>
      <c r="I928" s="1" t="s">
        <v>9214</v>
      </c>
      <c r="J928" s="1" t="s">
        <v>3898</v>
      </c>
      <c r="K928" s="1" t="s">
        <v>74</v>
      </c>
      <c r="L928" s="1" t="s">
        <v>74</v>
      </c>
      <c r="M928" s="1" t="s">
        <v>74</v>
      </c>
      <c r="N928" s="1" t="s">
        <v>74</v>
      </c>
      <c r="O928" s="1" t="s">
        <v>74</v>
      </c>
      <c r="P928" s="1" t="s">
        <v>74</v>
      </c>
      <c r="Q928" s="1" t="s">
        <v>74</v>
      </c>
      <c r="R928" s="1" t="s">
        <v>74</v>
      </c>
      <c r="S928" s="1" t="s">
        <v>74</v>
      </c>
      <c r="T928" s="1" t="s">
        <v>74</v>
      </c>
      <c r="U928" s="1" t="s">
        <v>74</v>
      </c>
      <c r="V928" s="1" t="s">
        <v>9215</v>
      </c>
      <c r="W928" s="1" t="s">
        <v>74</v>
      </c>
      <c r="X928" s="1" t="s">
        <v>74</v>
      </c>
      <c r="Y928" s="1" t="s">
        <v>74</v>
      </c>
      <c r="Z928" s="1" t="s">
        <v>74</v>
      </c>
      <c r="AA928" s="1" t="s">
        <v>9216</v>
      </c>
      <c r="AB928" s="1" t="s">
        <v>9217</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3902</v>
      </c>
      <c r="AP928" s="1" t="s">
        <v>3903</v>
      </c>
      <c r="AQ928" s="1" t="s">
        <v>74</v>
      </c>
      <c r="AR928" s="1" t="s">
        <v>74</v>
      </c>
      <c r="AS928" s="1" t="s">
        <v>74</v>
      </c>
      <c r="AT928" s="1" t="s">
        <v>9218</v>
      </c>
      <c r="AU928" s="1">
        <v>2014.0</v>
      </c>
      <c r="AV928" s="1">
        <v>590.0</v>
      </c>
      <c r="AW928" s="1" t="s">
        <v>74</v>
      </c>
      <c r="AX928" s="1" t="s">
        <v>74</v>
      </c>
      <c r="AY928" s="1" t="s">
        <v>74</v>
      </c>
      <c r="AZ928" s="1" t="s">
        <v>74</v>
      </c>
      <c r="BA928" s="1" t="s">
        <v>74</v>
      </c>
      <c r="BB928" s="1">
        <v>469.0</v>
      </c>
      <c r="BC928" s="1">
        <v>473.0</v>
      </c>
      <c r="BD928" s="1" t="s">
        <v>74</v>
      </c>
      <c r="BE928" s="1" t="s">
        <v>9219</v>
      </c>
      <c r="BF928" s="2" t="str">
        <f>HYPERLINK("http://dx.doi.org/10.1016/j.jallcom.2013.12.123","http://dx.doi.org/10.1016/j.jallcom.2013.12.123")</f>
        <v>http://dx.doi.org/10.1016/j.jallcom.2013.12.123</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9220</v>
      </c>
      <c r="BT928" s="1" t="str">
        <f>HYPERLINK("https%3A%2F%2Fwww.webofscience.com%2Fwos%2Fwoscc%2Ffull-record%2FWOS:000330579600074","View Full Record in Web of Science")</f>
        <v>View Full Record in Web of Science</v>
      </c>
    </row>
    <row r="929" ht="12.75" customHeight="1">
      <c r="A929" s="1" t="s">
        <v>72</v>
      </c>
      <c r="B929" s="1" t="s">
        <v>9221</v>
      </c>
      <c r="C929" s="1" t="s">
        <v>74</v>
      </c>
      <c r="D929" s="1" t="s">
        <v>74</v>
      </c>
      <c r="E929" s="1" t="s">
        <v>74</v>
      </c>
      <c r="F929" s="1" t="s">
        <v>9222</v>
      </c>
      <c r="G929" s="1" t="s">
        <v>74</v>
      </c>
      <c r="H929" s="1" t="s">
        <v>74</v>
      </c>
      <c r="I929" s="1" t="s">
        <v>9223</v>
      </c>
      <c r="J929" s="1" t="s">
        <v>9224</v>
      </c>
      <c r="K929" s="1" t="s">
        <v>74</v>
      </c>
      <c r="L929" s="1" t="s">
        <v>74</v>
      </c>
      <c r="M929" s="1" t="s">
        <v>74</v>
      </c>
      <c r="N929" s="1" t="s">
        <v>74</v>
      </c>
      <c r="O929" s="1" t="s">
        <v>74</v>
      </c>
      <c r="P929" s="1" t="s">
        <v>74</v>
      </c>
      <c r="Q929" s="1" t="s">
        <v>74</v>
      </c>
      <c r="R929" s="1" t="s">
        <v>74</v>
      </c>
      <c r="S929" s="1" t="s">
        <v>74</v>
      </c>
      <c r="T929" s="1" t="s">
        <v>74</v>
      </c>
      <c r="U929" s="1" t="s">
        <v>74</v>
      </c>
      <c r="V929" s="1" t="s">
        <v>9225</v>
      </c>
      <c r="W929" s="1" t="s">
        <v>74</v>
      </c>
      <c r="X929" s="1" t="s">
        <v>74</v>
      </c>
      <c r="Y929" s="1" t="s">
        <v>74</v>
      </c>
      <c r="Z929" s="1" t="s">
        <v>74</v>
      </c>
      <c r="AA929" s="1" t="s">
        <v>9226</v>
      </c>
      <c r="AB929" s="1" t="s">
        <v>74</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9227</v>
      </c>
      <c r="AP929" s="1" t="s">
        <v>74</v>
      </c>
      <c r="AQ929" s="1" t="s">
        <v>74</v>
      </c>
      <c r="AR929" s="1" t="s">
        <v>74</v>
      </c>
      <c r="AS929" s="1" t="s">
        <v>74</v>
      </c>
      <c r="AT929" s="1" t="s">
        <v>94</v>
      </c>
      <c r="AU929" s="1">
        <v>2012.0</v>
      </c>
      <c r="AV929" s="1">
        <v>119.0</v>
      </c>
      <c r="AW929" s="1">
        <v>1.0</v>
      </c>
      <c r="AX929" s="1" t="s">
        <v>74</v>
      </c>
      <c r="AY929" s="1" t="s">
        <v>74</v>
      </c>
      <c r="AZ929" s="1" t="s">
        <v>74</v>
      </c>
      <c r="BA929" s="1" t="s">
        <v>74</v>
      </c>
      <c r="BB929" s="1">
        <v>23.0</v>
      </c>
      <c r="BC929" s="1">
        <v>42.0</v>
      </c>
      <c r="BD929" s="1" t="s">
        <v>74</v>
      </c>
      <c r="BE929" s="1" t="s">
        <v>9228</v>
      </c>
      <c r="BF929" s="2" t="str">
        <f>HYPERLINK("http://dx.doi.org/10.1007/s10440-011-9659-x","http://dx.doi.org/10.1007/s10440-011-9659-x")</f>
        <v>http://dx.doi.org/10.1007/s10440-011-9659-x</v>
      </c>
      <c r="BG929" s="1" t="s">
        <v>74</v>
      </c>
      <c r="BH929" s="1" t="s">
        <v>74</v>
      </c>
      <c r="BI929" s="1" t="s">
        <v>74</v>
      </c>
      <c r="BJ929" s="1" t="s">
        <v>74</v>
      </c>
      <c r="BK929" s="1" t="s">
        <v>74</v>
      </c>
      <c r="BL929" s="1" t="s">
        <v>74</v>
      </c>
      <c r="BM929" s="1" t="s">
        <v>74</v>
      </c>
      <c r="BN929" s="1" t="s">
        <v>74</v>
      </c>
      <c r="BO929" s="1" t="s">
        <v>74</v>
      </c>
      <c r="BP929" s="1" t="s">
        <v>74</v>
      </c>
      <c r="BQ929" s="1" t="s">
        <v>74</v>
      </c>
      <c r="BR929" s="1" t="s">
        <v>74</v>
      </c>
      <c r="BS929" s="1" t="s">
        <v>9229</v>
      </c>
      <c r="BT929" s="1" t="str">
        <f>HYPERLINK("https%3A%2F%2Fwww.webofscience.com%2Fwos%2Fwoscc%2Ffull-record%2FWOS:000303582000002","View Full Record in Web of Science")</f>
        <v>View Full Record in Web of Science</v>
      </c>
    </row>
    <row r="930" ht="12.75" customHeight="1">
      <c r="A930" s="1" t="s">
        <v>72</v>
      </c>
      <c r="B930" s="1" t="s">
        <v>9230</v>
      </c>
      <c r="C930" s="1" t="s">
        <v>74</v>
      </c>
      <c r="D930" s="1" t="s">
        <v>74</v>
      </c>
      <c r="E930" s="1" t="s">
        <v>74</v>
      </c>
      <c r="F930" s="1" t="s">
        <v>9231</v>
      </c>
      <c r="G930" s="1" t="s">
        <v>74</v>
      </c>
      <c r="H930" s="1" t="s">
        <v>74</v>
      </c>
      <c r="I930" s="1" t="s">
        <v>9232</v>
      </c>
      <c r="J930" s="1" t="s">
        <v>9233</v>
      </c>
      <c r="K930" s="1" t="s">
        <v>74</v>
      </c>
      <c r="L930" s="1" t="s">
        <v>74</v>
      </c>
      <c r="M930" s="1" t="s">
        <v>74</v>
      </c>
      <c r="N930" s="1" t="s">
        <v>74</v>
      </c>
      <c r="O930" s="1" t="s">
        <v>74</v>
      </c>
      <c r="P930" s="1" t="s">
        <v>74</v>
      </c>
      <c r="Q930" s="1" t="s">
        <v>74</v>
      </c>
      <c r="R930" s="1" t="s">
        <v>74</v>
      </c>
      <c r="S930" s="1" t="s">
        <v>74</v>
      </c>
      <c r="T930" s="1" t="s">
        <v>74</v>
      </c>
      <c r="U930" s="1" t="s">
        <v>74</v>
      </c>
      <c r="V930" s="1" t="s">
        <v>9234</v>
      </c>
      <c r="W930" s="1" t="s">
        <v>74</v>
      </c>
      <c r="X930" s="1" t="s">
        <v>74</v>
      </c>
      <c r="Y930" s="1" t="s">
        <v>74</v>
      </c>
      <c r="Z930" s="1" t="s">
        <v>74</v>
      </c>
      <c r="AA930" s="1" t="s">
        <v>9235</v>
      </c>
      <c r="AB930" s="1" t="s">
        <v>9236</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9237</v>
      </c>
      <c r="AP930" s="1" t="s">
        <v>74</v>
      </c>
      <c r="AQ930" s="1" t="s">
        <v>74</v>
      </c>
      <c r="AR930" s="1" t="s">
        <v>74</v>
      </c>
      <c r="AS930" s="1" t="s">
        <v>74</v>
      </c>
      <c r="AT930" s="1" t="s">
        <v>374</v>
      </c>
      <c r="AU930" s="1">
        <v>2011.0</v>
      </c>
      <c r="AV930" s="1">
        <v>36.0</v>
      </c>
      <c r="AW930" s="1">
        <v>11.0</v>
      </c>
      <c r="AX930" s="1" t="s">
        <v>74</v>
      </c>
      <c r="AY930" s="1" t="s">
        <v>74</v>
      </c>
      <c r="AZ930" s="1" t="s">
        <v>74</v>
      </c>
      <c r="BA930" s="1" t="s">
        <v>74</v>
      </c>
      <c r="BB930" s="1">
        <v>823.0</v>
      </c>
      <c r="BC930" s="1">
        <v>830.0</v>
      </c>
      <c r="BD930" s="1" t="s">
        <v>74</v>
      </c>
      <c r="BE930" s="1" t="s">
        <v>74</v>
      </c>
      <c r="BF930" s="1" t="s">
        <v>74</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9238</v>
      </c>
      <c r="BT930" s="1" t="str">
        <f>HYPERLINK("https%3A%2F%2Fwww.webofscience.com%2Fwos%2Fwoscc%2Ffull-record%2FWOS:000297963400006","View Full Record in Web of Science")</f>
        <v>View Full Record in Web of Science</v>
      </c>
    </row>
    <row r="931" ht="12.75" customHeight="1">
      <c r="A931" s="1" t="s">
        <v>207</v>
      </c>
      <c r="B931" s="1" t="s">
        <v>9239</v>
      </c>
      <c r="C931" s="1" t="s">
        <v>74</v>
      </c>
      <c r="D931" s="1" t="s">
        <v>9240</v>
      </c>
      <c r="E931" s="1" t="s">
        <v>74</v>
      </c>
      <c r="F931" s="1" t="s">
        <v>9241</v>
      </c>
      <c r="G931" s="1" t="s">
        <v>74</v>
      </c>
      <c r="H931" s="1" t="s">
        <v>74</v>
      </c>
      <c r="I931" s="1" t="s">
        <v>9242</v>
      </c>
      <c r="J931" s="1" t="s">
        <v>9243</v>
      </c>
      <c r="K931" s="1" t="s">
        <v>9244</v>
      </c>
      <c r="L931" s="1" t="s">
        <v>74</v>
      </c>
      <c r="M931" s="1" t="s">
        <v>74</v>
      </c>
      <c r="N931" s="1" t="s">
        <v>74</v>
      </c>
      <c r="O931" s="1" t="s">
        <v>9245</v>
      </c>
      <c r="P931" s="1" t="s">
        <v>9246</v>
      </c>
      <c r="Q931" s="1" t="s">
        <v>9247</v>
      </c>
      <c r="R931" s="1" t="s">
        <v>74</v>
      </c>
      <c r="S931" s="1" t="s">
        <v>9248</v>
      </c>
      <c r="T931" s="1" t="s">
        <v>74</v>
      </c>
      <c r="U931" s="1" t="s">
        <v>74</v>
      </c>
      <c r="V931" s="1" t="s">
        <v>9249</v>
      </c>
      <c r="W931" s="1" t="s">
        <v>74</v>
      </c>
      <c r="X931" s="1" t="s">
        <v>74</v>
      </c>
      <c r="Y931" s="1" t="s">
        <v>74</v>
      </c>
      <c r="Z931" s="1" t="s">
        <v>74</v>
      </c>
      <c r="AA931" s="1" t="s">
        <v>9250</v>
      </c>
      <c r="AB931" s="1" t="s">
        <v>74</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9251</v>
      </c>
      <c r="AP931" s="1" t="s">
        <v>74</v>
      </c>
      <c r="AQ931" s="1" t="s">
        <v>9252</v>
      </c>
      <c r="AR931" s="1" t="s">
        <v>74</v>
      </c>
      <c r="AS931" s="1" t="s">
        <v>74</v>
      </c>
      <c r="AT931" s="1" t="s">
        <v>74</v>
      </c>
      <c r="AU931" s="1">
        <v>2010.0</v>
      </c>
      <c r="AV931" s="1">
        <v>508.0</v>
      </c>
      <c r="AW931" s="1" t="s">
        <v>74</v>
      </c>
      <c r="AX931" s="1" t="s">
        <v>74</v>
      </c>
      <c r="AY931" s="1" t="s">
        <v>74</v>
      </c>
      <c r="AZ931" s="1" t="s">
        <v>74</v>
      </c>
      <c r="BA931" s="1" t="s">
        <v>74</v>
      </c>
      <c r="BB931" s="1">
        <v>1.0</v>
      </c>
      <c r="BC931" s="1" t="s">
        <v>906</v>
      </c>
      <c r="BD931" s="1" t="s">
        <v>74</v>
      </c>
      <c r="BE931" s="1" t="s">
        <v>74</v>
      </c>
      <c r="BF931" s="1" t="s">
        <v>74</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9253</v>
      </c>
      <c r="BT931" s="1" t="str">
        <f>HYPERLINK("https%3A%2F%2Fwww.webofscience.com%2Fwos%2Fwoscc%2Ffull-record%2FWOS:000278995400001","View Full Record in Web of Science")</f>
        <v>View Full Record in Web of Science</v>
      </c>
    </row>
    <row r="932" ht="12.75" customHeight="1">
      <c r="A932" s="1" t="s">
        <v>72</v>
      </c>
      <c r="B932" s="1" t="s">
        <v>9254</v>
      </c>
      <c r="C932" s="1" t="s">
        <v>74</v>
      </c>
      <c r="D932" s="1" t="s">
        <v>74</v>
      </c>
      <c r="E932" s="1" t="s">
        <v>74</v>
      </c>
      <c r="F932" s="1" t="s">
        <v>9255</v>
      </c>
      <c r="G932" s="1" t="s">
        <v>74</v>
      </c>
      <c r="H932" s="1" t="s">
        <v>74</v>
      </c>
      <c r="I932" s="1" t="s">
        <v>9256</v>
      </c>
      <c r="J932" s="1" t="s">
        <v>9257</v>
      </c>
      <c r="K932" s="1" t="s">
        <v>74</v>
      </c>
      <c r="L932" s="1" t="s">
        <v>74</v>
      </c>
      <c r="M932" s="1" t="s">
        <v>74</v>
      </c>
      <c r="N932" s="1" t="s">
        <v>74</v>
      </c>
      <c r="O932" s="1" t="s">
        <v>74</v>
      </c>
      <c r="P932" s="1" t="s">
        <v>74</v>
      </c>
      <c r="Q932" s="1" t="s">
        <v>74</v>
      </c>
      <c r="R932" s="1" t="s">
        <v>74</v>
      </c>
      <c r="S932" s="1" t="s">
        <v>74</v>
      </c>
      <c r="T932" s="1" t="s">
        <v>74</v>
      </c>
      <c r="U932" s="1" t="s">
        <v>74</v>
      </c>
      <c r="V932" s="1" t="s">
        <v>74</v>
      </c>
      <c r="W932" s="1" t="s">
        <v>74</v>
      </c>
      <c r="X932" s="1" t="s">
        <v>74</v>
      </c>
      <c r="Y932" s="1" t="s">
        <v>74</v>
      </c>
      <c r="Z932" s="1" t="s">
        <v>74</v>
      </c>
      <c r="AA932" s="1" t="s">
        <v>7550</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9258</v>
      </c>
      <c r="AP932" s="1" t="s">
        <v>9259</v>
      </c>
      <c r="AQ932" s="1" t="s">
        <v>74</v>
      </c>
      <c r="AR932" s="1" t="s">
        <v>74</v>
      </c>
      <c r="AS932" s="1" t="s">
        <v>74</v>
      </c>
      <c r="AT932" s="1" t="s">
        <v>745</v>
      </c>
      <c r="AU932" s="1">
        <v>2009.0</v>
      </c>
      <c r="AV932" s="1">
        <v>50.0</v>
      </c>
      <c r="AW932" s="1" t="s">
        <v>74</v>
      </c>
      <c r="AX932" s="1" t="s">
        <v>74</v>
      </c>
      <c r="AY932" s="1">
        <v>2.0</v>
      </c>
      <c r="AZ932" s="1" t="s">
        <v>74</v>
      </c>
      <c r="BA932" s="1">
        <v>298.0</v>
      </c>
      <c r="BB932" s="1" t="s">
        <v>74</v>
      </c>
      <c r="BC932" s="1" t="s">
        <v>74</v>
      </c>
      <c r="BD932" s="1" t="s">
        <v>74</v>
      </c>
      <c r="BE932" s="1" t="s">
        <v>74</v>
      </c>
      <c r="BF932" s="1" t="s">
        <v>74</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9260</v>
      </c>
      <c r="BT932" s="1" t="str">
        <f>HYPERLINK("https%3A%2F%2Fwww.webofscience.com%2Fwos%2Fwoscc%2Ffull-record%2FWOS:000444145700297","View Full Record in Web of Science")</f>
        <v>View Full Record in Web of Science</v>
      </c>
    </row>
    <row r="933" ht="12.75" customHeight="1">
      <c r="A933" s="1" t="s">
        <v>72</v>
      </c>
      <c r="B933" s="1" t="s">
        <v>9261</v>
      </c>
      <c r="C933" s="1" t="s">
        <v>74</v>
      </c>
      <c r="D933" s="1" t="s">
        <v>74</v>
      </c>
      <c r="E933" s="1" t="s">
        <v>74</v>
      </c>
      <c r="F933" s="1" t="s">
        <v>9262</v>
      </c>
      <c r="G933" s="1" t="s">
        <v>74</v>
      </c>
      <c r="H933" s="1" t="s">
        <v>74</v>
      </c>
      <c r="I933" s="1" t="s">
        <v>9263</v>
      </c>
      <c r="J933" s="1" t="s">
        <v>9264</v>
      </c>
      <c r="K933" s="1" t="s">
        <v>74</v>
      </c>
      <c r="L933" s="1" t="s">
        <v>74</v>
      </c>
      <c r="M933" s="1" t="s">
        <v>74</v>
      </c>
      <c r="N933" s="1" t="s">
        <v>74</v>
      </c>
      <c r="O933" s="1" t="s">
        <v>74</v>
      </c>
      <c r="P933" s="1" t="s">
        <v>74</v>
      </c>
      <c r="Q933" s="1" t="s">
        <v>74</v>
      </c>
      <c r="R933" s="1" t="s">
        <v>74</v>
      </c>
      <c r="S933" s="1" t="s">
        <v>74</v>
      </c>
      <c r="T933" s="1" t="s">
        <v>74</v>
      </c>
      <c r="U933" s="1" t="s">
        <v>74</v>
      </c>
      <c r="V933" s="1" t="s">
        <v>9265</v>
      </c>
      <c r="W933" s="1" t="s">
        <v>74</v>
      </c>
      <c r="X933" s="1" t="s">
        <v>74</v>
      </c>
      <c r="Y933" s="1" t="s">
        <v>74</v>
      </c>
      <c r="Z933" s="1" t="s">
        <v>74</v>
      </c>
      <c r="AA933" s="1" t="s">
        <v>9266</v>
      </c>
      <c r="AB933" s="1" t="s">
        <v>9267</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9268</v>
      </c>
      <c r="AP933" s="1" t="s">
        <v>9269</v>
      </c>
      <c r="AQ933" s="1" t="s">
        <v>74</v>
      </c>
      <c r="AR933" s="1" t="s">
        <v>74</v>
      </c>
      <c r="AS933" s="1" t="s">
        <v>74</v>
      </c>
      <c r="AT933" s="1" t="s">
        <v>282</v>
      </c>
      <c r="AU933" s="1">
        <v>2008.0</v>
      </c>
      <c r="AV933" s="1">
        <v>28.0</v>
      </c>
      <c r="AW933" s="1">
        <v>8.0</v>
      </c>
      <c r="AX933" s="1" t="s">
        <v>74</v>
      </c>
      <c r="AY933" s="1" t="s">
        <v>74</v>
      </c>
      <c r="AZ933" s="1" t="s">
        <v>74</v>
      </c>
      <c r="BA933" s="1" t="s">
        <v>74</v>
      </c>
      <c r="BB933" s="1">
        <v>813.0</v>
      </c>
      <c r="BC933" s="1">
        <v>824.0</v>
      </c>
      <c r="BD933" s="1" t="s">
        <v>74</v>
      </c>
      <c r="BE933" s="1" t="s">
        <v>9270</v>
      </c>
      <c r="BF933" s="2" t="str">
        <f>HYPERLINK("http://dx.doi.org/10.1111/j.1468-2982.2008.01588.x","http://dx.doi.org/10.1111/j.1468-2982.2008.01588.x")</f>
        <v>http://dx.doi.org/10.1111/j.1468-2982.2008.01588.x</v>
      </c>
      <c r="BG933" s="1" t="s">
        <v>74</v>
      </c>
      <c r="BH933" s="1" t="s">
        <v>74</v>
      </c>
      <c r="BI933" s="1" t="s">
        <v>74</v>
      </c>
      <c r="BJ933" s="1" t="s">
        <v>74</v>
      </c>
      <c r="BK933" s="1" t="s">
        <v>74</v>
      </c>
      <c r="BL933" s="1" t="s">
        <v>74</v>
      </c>
      <c r="BM933" s="1" t="s">
        <v>74</v>
      </c>
      <c r="BN933" s="1">
        <v>1.8498395E7</v>
      </c>
      <c r="BO933" s="1" t="s">
        <v>74</v>
      </c>
      <c r="BP933" s="1" t="s">
        <v>74</v>
      </c>
      <c r="BQ933" s="1" t="s">
        <v>74</v>
      </c>
      <c r="BR933" s="1" t="s">
        <v>74</v>
      </c>
      <c r="BS933" s="1" t="s">
        <v>9271</v>
      </c>
      <c r="BT933" s="1" t="str">
        <f>HYPERLINK("https%3A%2F%2Fwww.webofscience.com%2Fwos%2Fwoscc%2Ffull-record%2FWOS:000257717200002","View Full Record in Web of Science")</f>
        <v>View Full Record in Web of Science</v>
      </c>
    </row>
    <row r="934" ht="12.75" customHeight="1">
      <c r="A934" s="1" t="s">
        <v>72</v>
      </c>
      <c r="B934" s="1" t="s">
        <v>9272</v>
      </c>
      <c r="C934" s="1" t="s">
        <v>74</v>
      </c>
      <c r="D934" s="1" t="s">
        <v>74</v>
      </c>
      <c r="E934" s="1" t="s">
        <v>74</v>
      </c>
      <c r="F934" s="1" t="s">
        <v>9273</v>
      </c>
      <c r="G934" s="1" t="s">
        <v>74</v>
      </c>
      <c r="H934" s="1" t="s">
        <v>74</v>
      </c>
      <c r="I934" s="1" t="s">
        <v>9274</v>
      </c>
      <c r="J934" s="1" t="s">
        <v>1081</v>
      </c>
      <c r="K934" s="1" t="s">
        <v>74</v>
      </c>
      <c r="L934" s="1" t="s">
        <v>74</v>
      </c>
      <c r="M934" s="1" t="s">
        <v>74</v>
      </c>
      <c r="N934" s="1" t="s">
        <v>74</v>
      </c>
      <c r="O934" s="1" t="s">
        <v>74</v>
      </c>
      <c r="P934" s="1" t="s">
        <v>74</v>
      </c>
      <c r="Q934" s="1" t="s">
        <v>74</v>
      </c>
      <c r="R934" s="1" t="s">
        <v>74</v>
      </c>
      <c r="S934" s="1" t="s">
        <v>74</v>
      </c>
      <c r="T934" s="1" t="s">
        <v>74</v>
      </c>
      <c r="U934" s="1" t="s">
        <v>74</v>
      </c>
      <c r="V934" s="1" t="s">
        <v>9275</v>
      </c>
      <c r="W934" s="1" t="s">
        <v>74</v>
      </c>
      <c r="X934" s="1" t="s">
        <v>74</v>
      </c>
      <c r="Y934" s="1" t="s">
        <v>74</v>
      </c>
      <c r="Z934" s="1" t="s">
        <v>74</v>
      </c>
      <c r="AA934" s="1" t="s">
        <v>9276</v>
      </c>
      <c r="AB934" s="1" t="s">
        <v>9277</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1085</v>
      </c>
      <c r="AP934" s="1" t="s">
        <v>9278</v>
      </c>
      <c r="AQ934" s="1" t="s">
        <v>74</v>
      </c>
      <c r="AR934" s="1" t="s">
        <v>74</v>
      </c>
      <c r="AS934" s="1" t="s">
        <v>74</v>
      </c>
      <c r="AT934" s="1" t="s">
        <v>9279</v>
      </c>
      <c r="AU934" s="1">
        <v>2008.0</v>
      </c>
      <c r="AV934" s="1">
        <v>343.0</v>
      </c>
      <c r="AW934" s="1">
        <v>2.0</v>
      </c>
      <c r="AX934" s="1" t="s">
        <v>74</v>
      </c>
      <c r="AY934" s="1" t="s">
        <v>74</v>
      </c>
      <c r="AZ934" s="1" t="s">
        <v>74</v>
      </c>
      <c r="BA934" s="1" t="s">
        <v>74</v>
      </c>
      <c r="BB934" s="1">
        <v>308.0</v>
      </c>
      <c r="BC934" s="1">
        <v>316.0</v>
      </c>
      <c r="BD934" s="1" t="s">
        <v>74</v>
      </c>
      <c r="BE934" s="1" t="s">
        <v>9280</v>
      </c>
      <c r="BF934" s="2" t="str">
        <f>HYPERLINK("http://dx.doi.org/10.1016/j.carres.2007.10.016","http://dx.doi.org/10.1016/j.carres.2007.10.016")</f>
        <v>http://dx.doi.org/10.1016/j.carres.2007.10.016</v>
      </c>
      <c r="BG934" s="1" t="s">
        <v>74</v>
      </c>
      <c r="BH934" s="1" t="s">
        <v>74</v>
      </c>
      <c r="BI934" s="1" t="s">
        <v>74</v>
      </c>
      <c r="BJ934" s="1" t="s">
        <v>74</v>
      </c>
      <c r="BK934" s="1" t="s">
        <v>74</v>
      </c>
      <c r="BL934" s="1" t="s">
        <v>74</v>
      </c>
      <c r="BM934" s="1" t="s">
        <v>74</v>
      </c>
      <c r="BN934" s="1">
        <v>1.8048014E7</v>
      </c>
      <c r="BO934" s="1" t="s">
        <v>74</v>
      </c>
      <c r="BP934" s="1" t="s">
        <v>74</v>
      </c>
      <c r="BQ934" s="1" t="s">
        <v>74</v>
      </c>
      <c r="BR934" s="1" t="s">
        <v>74</v>
      </c>
      <c r="BS934" s="1" t="s">
        <v>9281</v>
      </c>
      <c r="BT934" s="1" t="str">
        <f>HYPERLINK("https%3A%2F%2Fwww.webofscience.com%2Fwos%2Fwoscc%2Ffull-record%2FWOS:000253026500016","View Full Record in Web of Science")</f>
        <v>View Full Record in Web of Science</v>
      </c>
    </row>
    <row r="935" ht="12.75" customHeight="1">
      <c r="A935" s="1" t="s">
        <v>72</v>
      </c>
      <c r="B935" s="1" t="s">
        <v>9282</v>
      </c>
      <c r="C935" s="1" t="s">
        <v>74</v>
      </c>
      <c r="D935" s="1" t="s">
        <v>74</v>
      </c>
      <c r="E935" s="1" t="s">
        <v>74</v>
      </c>
      <c r="F935" s="1" t="s">
        <v>9283</v>
      </c>
      <c r="G935" s="1" t="s">
        <v>74</v>
      </c>
      <c r="H935" s="1" t="s">
        <v>74</v>
      </c>
      <c r="I935" s="1" t="s">
        <v>9284</v>
      </c>
      <c r="J935" s="1" t="s">
        <v>5601</v>
      </c>
      <c r="K935" s="1" t="s">
        <v>74</v>
      </c>
      <c r="L935" s="1" t="s">
        <v>74</v>
      </c>
      <c r="M935" s="1" t="s">
        <v>74</v>
      </c>
      <c r="N935" s="1" t="s">
        <v>74</v>
      </c>
      <c r="O935" s="1" t="s">
        <v>74</v>
      </c>
      <c r="P935" s="1" t="s">
        <v>74</v>
      </c>
      <c r="Q935" s="1" t="s">
        <v>74</v>
      </c>
      <c r="R935" s="1" t="s">
        <v>74</v>
      </c>
      <c r="S935" s="1" t="s">
        <v>74</v>
      </c>
      <c r="T935" s="1" t="s">
        <v>74</v>
      </c>
      <c r="U935" s="1" t="s">
        <v>74</v>
      </c>
      <c r="V935" s="1" t="s">
        <v>9285</v>
      </c>
      <c r="W935" s="1" t="s">
        <v>74</v>
      </c>
      <c r="X935" s="1" t="s">
        <v>74</v>
      </c>
      <c r="Y935" s="1" t="s">
        <v>74</v>
      </c>
      <c r="Z935" s="1" t="s">
        <v>74</v>
      </c>
      <c r="AA935" s="1" t="s">
        <v>9286</v>
      </c>
      <c r="AB935" s="1" t="s">
        <v>9287</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5605</v>
      </c>
      <c r="AP935" s="1" t="s">
        <v>5606</v>
      </c>
      <c r="AQ935" s="1" t="s">
        <v>74</v>
      </c>
      <c r="AR935" s="1" t="s">
        <v>74</v>
      </c>
      <c r="AS935" s="1" t="s">
        <v>74</v>
      </c>
      <c r="AT935" s="1" t="s">
        <v>408</v>
      </c>
      <c r="AU935" s="1">
        <v>2007.0</v>
      </c>
      <c r="AV935" s="1">
        <v>75.0</v>
      </c>
      <c r="AW935" s="1">
        <v>3.0</v>
      </c>
      <c r="AX935" s="1" t="s">
        <v>74</v>
      </c>
      <c r="AY935" s="1" t="s">
        <v>74</v>
      </c>
      <c r="AZ935" s="1" t="s">
        <v>74</v>
      </c>
      <c r="BA935" s="1" t="s">
        <v>74</v>
      </c>
      <c r="BB935" s="1" t="s">
        <v>74</v>
      </c>
      <c r="BC935" s="1" t="s">
        <v>74</v>
      </c>
      <c r="BD935" s="1">
        <v>32303.0</v>
      </c>
      <c r="BE935" s="1" t="s">
        <v>9288</v>
      </c>
      <c r="BF935" s="2" t="str">
        <f>HYPERLINK("http://dx.doi.org/10.1103/PhysRevA.75.032303","http://dx.doi.org/10.1103/PhysRevA.75.032303")</f>
        <v>http://dx.doi.org/10.1103/PhysRevA.75.032303</v>
      </c>
      <c r="BG935" s="1" t="s">
        <v>74</v>
      </c>
      <c r="BH935" s="1" t="s">
        <v>74</v>
      </c>
      <c r="BI935" s="1" t="s">
        <v>74</v>
      </c>
      <c r="BJ935" s="1" t="s">
        <v>74</v>
      </c>
      <c r="BK935" s="1" t="s">
        <v>74</v>
      </c>
      <c r="BL935" s="1" t="s">
        <v>74</v>
      </c>
      <c r="BM935" s="1" t="s">
        <v>74</v>
      </c>
      <c r="BN935" s="1" t="s">
        <v>74</v>
      </c>
      <c r="BO935" s="1" t="s">
        <v>74</v>
      </c>
      <c r="BP935" s="1" t="s">
        <v>74</v>
      </c>
      <c r="BQ935" s="1" t="s">
        <v>74</v>
      </c>
      <c r="BR935" s="1" t="s">
        <v>74</v>
      </c>
      <c r="BS935" s="1" t="s">
        <v>9289</v>
      </c>
      <c r="BT935" s="1" t="str">
        <f>HYPERLINK("https%3A%2F%2Fwww.webofscience.com%2Fwos%2Fwoscc%2Ffull-record%2FWOS:000245326300035","View Full Record in Web of Science")</f>
        <v>View Full Record in Web of Science</v>
      </c>
    </row>
    <row r="936" ht="12.75" customHeight="1">
      <c r="A936" s="1" t="s">
        <v>72</v>
      </c>
      <c r="B936" s="1" t="s">
        <v>9290</v>
      </c>
      <c r="C936" s="1" t="s">
        <v>74</v>
      </c>
      <c r="D936" s="1" t="s">
        <v>74</v>
      </c>
      <c r="E936" s="1" t="s">
        <v>74</v>
      </c>
      <c r="F936" s="1" t="s">
        <v>9290</v>
      </c>
      <c r="G936" s="1" t="s">
        <v>74</v>
      </c>
      <c r="H936" s="1" t="s">
        <v>74</v>
      </c>
      <c r="I936" s="1" t="s">
        <v>9291</v>
      </c>
      <c r="J936" s="1" t="s">
        <v>5578</v>
      </c>
      <c r="K936" s="1" t="s">
        <v>74</v>
      </c>
      <c r="L936" s="1" t="s">
        <v>74</v>
      </c>
      <c r="M936" s="1" t="s">
        <v>74</v>
      </c>
      <c r="N936" s="1" t="s">
        <v>74</v>
      </c>
      <c r="O936" s="1" t="s">
        <v>74</v>
      </c>
      <c r="P936" s="1" t="s">
        <v>74</v>
      </c>
      <c r="Q936" s="1" t="s">
        <v>74</v>
      </c>
      <c r="R936" s="1" t="s">
        <v>74</v>
      </c>
      <c r="S936" s="1" t="s">
        <v>74</v>
      </c>
      <c r="T936" s="1" t="s">
        <v>74</v>
      </c>
      <c r="U936" s="1" t="s">
        <v>74</v>
      </c>
      <c r="V936" s="1" t="s">
        <v>9292</v>
      </c>
      <c r="W936" s="1" t="s">
        <v>74</v>
      </c>
      <c r="X936" s="1" t="s">
        <v>74</v>
      </c>
      <c r="Y936" s="1" t="s">
        <v>74</v>
      </c>
      <c r="Z936" s="1" t="s">
        <v>74</v>
      </c>
      <c r="AA936" s="1" t="s">
        <v>9293</v>
      </c>
      <c r="AB936" s="1" t="s">
        <v>9294</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5582</v>
      </c>
      <c r="AP936" s="1" t="s">
        <v>74</v>
      </c>
      <c r="AQ936" s="1" t="s">
        <v>74</v>
      </c>
      <c r="AR936" s="1" t="s">
        <v>74</v>
      </c>
      <c r="AS936" s="1" t="s">
        <v>74</v>
      </c>
      <c r="AT936" s="1" t="s">
        <v>2987</v>
      </c>
      <c r="AU936" s="1">
        <v>2006.0</v>
      </c>
      <c r="AV936" s="1">
        <v>99.0</v>
      </c>
      <c r="AW936" s="1">
        <v>12.0</v>
      </c>
      <c r="AX936" s="1" t="s">
        <v>74</v>
      </c>
      <c r="AY936" s="1" t="s">
        <v>74</v>
      </c>
      <c r="AZ936" s="1" t="s">
        <v>74</v>
      </c>
      <c r="BA936" s="1" t="s">
        <v>74</v>
      </c>
      <c r="BB936" s="1" t="s">
        <v>74</v>
      </c>
      <c r="BC936" s="1" t="s">
        <v>74</v>
      </c>
      <c r="BD936" s="1">
        <v>123305.0</v>
      </c>
      <c r="BE936" s="1" t="s">
        <v>9295</v>
      </c>
      <c r="BF936" s="2" t="str">
        <f>HYPERLINK("http://dx.doi.org/10.1063/1.2207830","http://dx.doi.org/10.1063/1.2207830")</f>
        <v>http://dx.doi.org/10.1063/1.2207830</v>
      </c>
      <c r="BG936" s="1" t="s">
        <v>74</v>
      </c>
      <c r="BH936" s="1" t="s">
        <v>74</v>
      </c>
      <c r="BI936" s="1" t="s">
        <v>74</v>
      </c>
      <c r="BJ936" s="1" t="s">
        <v>74</v>
      </c>
      <c r="BK936" s="1" t="s">
        <v>74</v>
      </c>
      <c r="BL936" s="1" t="s">
        <v>74</v>
      </c>
      <c r="BM936" s="1" t="s">
        <v>74</v>
      </c>
      <c r="BN936" s="1" t="s">
        <v>74</v>
      </c>
      <c r="BO936" s="1" t="s">
        <v>74</v>
      </c>
      <c r="BP936" s="1" t="s">
        <v>74</v>
      </c>
      <c r="BQ936" s="1" t="s">
        <v>74</v>
      </c>
      <c r="BR936" s="1" t="s">
        <v>74</v>
      </c>
      <c r="BS936" s="1" t="s">
        <v>9296</v>
      </c>
      <c r="BT936" s="1" t="str">
        <f>HYPERLINK("https%3A%2F%2Fwww.webofscience.com%2Fwos%2Fwoscc%2Ffull-record%2FWOS:000238730000020","View Full Record in Web of Science")</f>
        <v>View Full Record in Web of Science</v>
      </c>
    </row>
    <row r="937" ht="12.75" customHeight="1">
      <c r="A937" s="1" t="s">
        <v>72</v>
      </c>
      <c r="B937" s="1" t="s">
        <v>9297</v>
      </c>
      <c r="C937" s="1" t="s">
        <v>74</v>
      </c>
      <c r="D937" s="1" t="s">
        <v>74</v>
      </c>
      <c r="E937" s="1" t="s">
        <v>74</v>
      </c>
      <c r="F937" s="1" t="s">
        <v>9297</v>
      </c>
      <c r="G937" s="1" t="s">
        <v>74</v>
      </c>
      <c r="H937" s="1" t="s">
        <v>74</v>
      </c>
      <c r="I937" s="1" t="s">
        <v>9298</v>
      </c>
      <c r="J937" s="1" t="s">
        <v>2139</v>
      </c>
      <c r="K937" s="1" t="s">
        <v>74</v>
      </c>
      <c r="L937" s="1" t="s">
        <v>74</v>
      </c>
      <c r="M937" s="1" t="s">
        <v>74</v>
      </c>
      <c r="N937" s="1" t="s">
        <v>74</v>
      </c>
      <c r="O937" s="1" t="s">
        <v>74</v>
      </c>
      <c r="P937" s="1" t="s">
        <v>74</v>
      </c>
      <c r="Q937" s="1" t="s">
        <v>74</v>
      </c>
      <c r="R937" s="1" t="s">
        <v>74</v>
      </c>
      <c r="S937" s="1" t="s">
        <v>74</v>
      </c>
      <c r="T937" s="1" t="s">
        <v>74</v>
      </c>
      <c r="U937" s="1" t="s">
        <v>74</v>
      </c>
      <c r="V937" s="1" t="s">
        <v>9299</v>
      </c>
      <c r="W937" s="1" t="s">
        <v>74</v>
      </c>
      <c r="X937" s="1" t="s">
        <v>74</v>
      </c>
      <c r="Y937" s="1" t="s">
        <v>74</v>
      </c>
      <c r="Z937" s="1" t="s">
        <v>74</v>
      </c>
      <c r="AA937" s="1" t="s">
        <v>9300</v>
      </c>
      <c r="AB937" s="1" t="s">
        <v>9301</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2143</v>
      </c>
      <c r="AP937" s="1" t="s">
        <v>4587</v>
      </c>
      <c r="AQ937" s="1" t="s">
        <v>74</v>
      </c>
      <c r="AR937" s="1" t="s">
        <v>74</v>
      </c>
      <c r="AS937" s="1" t="s">
        <v>74</v>
      </c>
      <c r="AT937" s="1" t="s">
        <v>2112</v>
      </c>
      <c r="AU937" s="1">
        <v>2004.0</v>
      </c>
      <c r="AV937" s="1">
        <v>52.0</v>
      </c>
      <c r="AW937" s="1">
        <v>6.0</v>
      </c>
      <c r="AX937" s="1" t="s">
        <v>74</v>
      </c>
      <c r="AY937" s="1" t="s">
        <v>74</v>
      </c>
      <c r="AZ937" s="1" t="s">
        <v>74</v>
      </c>
      <c r="BA937" s="1" t="s">
        <v>74</v>
      </c>
      <c r="BB937" s="1">
        <v>1773.0</v>
      </c>
      <c r="BC937" s="1">
        <v>1779.0</v>
      </c>
      <c r="BD937" s="1" t="s">
        <v>74</v>
      </c>
      <c r="BE937" s="1" t="s">
        <v>9302</v>
      </c>
      <c r="BF937" s="2" t="str">
        <f>HYPERLINK("http://dx.doi.org/10.1021/jf035168t","http://dx.doi.org/10.1021/jf035168t")</f>
        <v>http://dx.doi.org/10.1021/jf035168t</v>
      </c>
      <c r="BG937" s="1" t="s">
        <v>74</v>
      </c>
      <c r="BH937" s="1" t="s">
        <v>74</v>
      </c>
      <c r="BI937" s="1" t="s">
        <v>74</v>
      </c>
      <c r="BJ937" s="1" t="s">
        <v>74</v>
      </c>
      <c r="BK937" s="1" t="s">
        <v>74</v>
      </c>
      <c r="BL937" s="1" t="s">
        <v>74</v>
      </c>
      <c r="BM937" s="1" t="s">
        <v>74</v>
      </c>
      <c r="BN937" s="1">
        <v>1.5030245E7</v>
      </c>
      <c r="BO937" s="1" t="s">
        <v>74</v>
      </c>
      <c r="BP937" s="1" t="s">
        <v>74</v>
      </c>
      <c r="BQ937" s="1" t="s">
        <v>74</v>
      </c>
      <c r="BR937" s="1" t="s">
        <v>74</v>
      </c>
      <c r="BS937" s="1" t="s">
        <v>9303</v>
      </c>
      <c r="BT937" s="1" t="str">
        <f>HYPERLINK("https%3A%2F%2Fwww.webofscience.com%2Fwos%2Fwoscc%2Ffull-record%2FWOS:000220285600058","View Full Record in Web of Science")</f>
        <v>View Full Record in Web of Science</v>
      </c>
    </row>
    <row r="938" ht="12.75" customHeight="1">
      <c r="A938" s="1" t="s">
        <v>72</v>
      </c>
      <c r="B938" s="1" t="s">
        <v>9304</v>
      </c>
      <c r="C938" s="1" t="s">
        <v>74</v>
      </c>
      <c r="D938" s="1" t="s">
        <v>74</v>
      </c>
      <c r="E938" s="1" t="s">
        <v>74</v>
      </c>
      <c r="F938" s="1" t="s">
        <v>9304</v>
      </c>
      <c r="G938" s="1" t="s">
        <v>74</v>
      </c>
      <c r="H938" s="1" t="s">
        <v>74</v>
      </c>
      <c r="I938" s="1" t="s">
        <v>9305</v>
      </c>
      <c r="J938" s="1" t="s">
        <v>9306</v>
      </c>
      <c r="K938" s="1" t="s">
        <v>74</v>
      </c>
      <c r="L938" s="1" t="s">
        <v>74</v>
      </c>
      <c r="M938" s="1" t="s">
        <v>74</v>
      </c>
      <c r="N938" s="1" t="s">
        <v>74</v>
      </c>
      <c r="O938" s="1" t="s">
        <v>74</v>
      </c>
      <c r="P938" s="1" t="s">
        <v>74</v>
      </c>
      <c r="Q938" s="1" t="s">
        <v>74</v>
      </c>
      <c r="R938" s="1" t="s">
        <v>74</v>
      </c>
      <c r="S938" s="1" t="s">
        <v>74</v>
      </c>
      <c r="T938" s="1" t="s">
        <v>74</v>
      </c>
      <c r="U938" s="1" t="s">
        <v>74</v>
      </c>
      <c r="V938" s="1" t="s">
        <v>9307</v>
      </c>
      <c r="W938" s="1" t="s">
        <v>74</v>
      </c>
      <c r="X938" s="1" t="s">
        <v>74</v>
      </c>
      <c r="Y938" s="1" t="s">
        <v>74</v>
      </c>
      <c r="Z938" s="1" t="s">
        <v>74</v>
      </c>
      <c r="AA938" s="1" t="s">
        <v>74</v>
      </c>
      <c r="AB938" s="1" t="s">
        <v>74</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9308</v>
      </c>
      <c r="AP938" s="1" t="s">
        <v>74</v>
      </c>
      <c r="AQ938" s="1" t="s">
        <v>74</v>
      </c>
      <c r="AR938" s="1" t="s">
        <v>74</v>
      </c>
      <c r="AS938" s="1" t="s">
        <v>74</v>
      </c>
      <c r="AT938" s="1" t="s">
        <v>1106</v>
      </c>
      <c r="AU938" s="1">
        <v>2002.0</v>
      </c>
      <c r="AV938" s="1">
        <v>5.0</v>
      </c>
      <c r="AW938" s="1">
        <v>1.0</v>
      </c>
      <c r="AX938" s="1" t="s">
        <v>74</v>
      </c>
      <c r="AY938" s="1" t="s">
        <v>74</v>
      </c>
      <c r="AZ938" s="1" t="s">
        <v>74</v>
      </c>
      <c r="BA938" s="1" t="s">
        <v>74</v>
      </c>
      <c r="BB938" s="1">
        <v>35.0</v>
      </c>
      <c r="BC938" s="1">
        <v>40.0</v>
      </c>
      <c r="BD938" s="1" t="s">
        <v>74</v>
      </c>
      <c r="BE938" s="1" t="s">
        <v>74</v>
      </c>
      <c r="BF938" s="1" t="s">
        <v>74</v>
      </c>
      <c r="BG938" s="1" t="s">
        <v>74</v>
      </c>
      <c r="BH938" s="1" t="s">
        <v>74</v>
      </c>
      <c r="BI938" s="1" t="s">
        <v>74</v>
      </c>
      <c r="BJ938" s="1" t="s">
        <v>74</v>
      </c>
      <c r="BK938" s="1" t="s">
        <v>74</v>
      </c>
      <c r="BL938" s="1" t="s">
        <v>74</v>
      </c>
      <c r="BM938" s="1" t="s">
        <v>74</v>
      </c>
      <c r="BN938" s="1" t="s">
        <v>74</v>
      </c>
      <c r="BO938" s="1" t="s">
        <v>74</v>
      </c>
      <c r="BP938" s="1" t="s">
        <v>74</v>
      </c>
      <c r="BQ938" s="1" t="s">
        <v>74</v>
      </c>
      <c r="BR938" s="1" t="s">
        <v>74</v>
      </c>
      <c r="BS938" s="1" t="s">
        <v>9309</v>
      </c>
      <c r="BT938" s="1" t="str">
        <f>HYPERLINK("https%3A%2F%2Fwww.webofscience.com%2Fwos%2Fwoscc%2Ffull-record%2FWOS:000174086000006","View Full Record in Web of Science")</f>
        <v>View Full Record in Web of Science</v>
      </c>
    </row>
    <row r="939" ht="12.75" customHeight="1">
      <c r="A939" s="1" t="s">
        <v>72</v>
      </c>
      <c r="B939" s="1" t="s">
        <v>9310</v>
      </c>
      <c r="C939" s="1" t="s">
        <v>74</v>
      </c>
      <c r="D939" s="1" t="s">
        <v>74</v>
      </c>
      <c r="E939" s="1" t="s">
        <v>74</v>
      </c>
      <c r="F939" s="1" t="s">
        <v>9310</v>
      </c>
      <c r="G939" s="1" t="s">
        <v>74</v>
      </c>
      <c r="H939" s="1" t="s">
        <v>74</v>
      </c>
      <c r="I939" s="1" t="s">
        <v>9311</v>
      </c>
      <c r="J939" s="1" t="s">
        <v>9312</v>
      </c>
      <c r="K939" s="1" t="s">
        <v>74</v>
      </c>
      <c r="L939" s="1" t="s">
        <v>74</v>
      </c>
      <c r="M939" s="1" t="s">
        <v>74</v>
      </c>
      <c r="N939" s="1" t="s">
        <v>74</v>
      </c>
      <c r="O939" s="1" t="s">
        <v>74</v>
      </c>
      <c r="P939" s="1" t="s">
        <v>74</v>
      </c>
      <c r="Q939" s="1" t="s">
        <v>74</v>
      </c>
      <c r="R939" s="1" t="s">
        <v>74</v>
      </c>
      <c r="S939" s="1" t="s">
        <v>74</v>
      </c>
      <c r="T939" s="1" t="s">
        <v>74</v>
      </c>
      <c r="U939" s="1" t="s">
        <v>74</v>
      </c>
      <c r="V939" s="1" t="s">
        <v>9313</v>
      </c>
      <c r="W939" s="1" t="s">
        <v>74</v>
      </c>
      <c r="X939" s="1" t="s">
        <v>74</v>
      </c>
      <c r="Y939" s="1" t="s">
        <v>74</v>
      </c>
      <c r="Z939" s="1" t="s">
        <v>74</v>
      </c>
      <c r="AA939" s="1" t="s">
        <v>9314</v>
      </c>
      <c r="AB939" s="1" t="s">
        <v>9315</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9316</v>
      </c>
      <c r="AP939" s="1" t="s">
        <v>74</v>
      </c>
      <c r="AQ939" s="1" t="s">
        <v>74</v>
      </c>
      <c r="AR939" s="1" t="s">
        <v>74</v>
      </c>
      <c r="AS939" s="1" t="s">
        <v>74</v>
      </c>
      <c r="AT939" s="1" t="s">
        <v>94</v>
      </c>
      <c r="AU939" s="1">
        <v>1998.0</v>
      </c>
      <c r="AV939" s="1">
        <v>11.0</v>
      </c>
      <c r="AW939" s="1">
        <v>6.0</v>
      </c>
      <c r="AX939" s="1" t="s">
        <v>74</v>
      </c>
      <c r="AY939" s="1" t="s">
        <v>74</v>
      </c>
      <c r="AZ939" s="1" t="s">
        <v>74</v>
      </c>
      <c r="BA939" s="1" t="s">
        <v>74</v>
      </c>
      <c r="BB939" s="1">
        <v>411.0</v>
      </c>
      <c r="BC939" s="1">
        <v>418.0</v>
      </c>
      <c r="BD939" s="1" t="s">
        <v>74</v>
      </c>
      <c r="BE939" s="1" t="s">
        <v>9317</v>
      </c>
      <c r="BF939" s="2" t="str">
        <f>HYPERLINK("http://dx.doi.org/10.1002/(SICI)1099-1395(199806)11:6&lt;411::AID-POC9&gt;3.0.CO;2-L","http://dx.doi.org/10.1002/(SICI)1099-1395(199806)11:6&lt;411::AID-POC9&gt;3.0.CO;2-L")</f>
        <v>http://dx.doi.org/10.1002/(SICI)1099-1395(199806)11:6&lt;411::AID-POC9&gt;3.0.CO;2-L</v>
      </c>
      <c r="BG939" s="1" t="s">
        <v>74</v>
      </c>
      <c r="BH939" s="1" t="s">
        <v>74</v>
      </c>
      <c r="BI939" s="1" t="s">
        <v>74</v>
      </c>
      <c r="BJ939" s="1" t="s">
        <v>74</v>
      </c>
      <c r="BK939" s="1" t="s">
        <v>74</v>
      </c>
      <c r="BL939" s="1" t="s">
        <v>74</v>
      </c>
      <c r="BM939" s="1" t="s">
        <v>74</v>
      </c>
      <c r="BN939" s="1" t="s">
        <v>74</v>
      </c>
      <c r="BO939" s="1" t="s">
        <v>74</v>
      </c>
      <c r="BP939" s="1" t="s">
        <v>74</v>
      </c>
      <c r="BQ939" s="1" t="s">
        <v>74</v>
      </c>
      <c r="BR939" s="1" t="s">
        <v>74</v>
      </c>
      <c r="BS939" s="1" t="s">
        <v>9318</v>
      </c>
      <c r="BT939" s="1" t="str">
        <f>HYPERLINK("https%3A%2F%2Fwww.webofscience.com%2Fwos%2Fwoscc%2Ffull-record%2FWOS:000075124800006","View Full Record in Web of Science")</f>
        <v>View Full Record in Web of Science</v>
      </c>
    </row>
    <row r="940" ht="12.75" customHeight="1">
      <c r="A940" s="1" t="s">
        <v>72</v>
      </c>
      <c r="B940" s="1" t="s">
        <v>9319</v>
      </c>
      <c r="C940" s="1" t="s">
        <v>74</v>
      </c>
      <c r="D940" s="1" t="s">
        <v>74</v>
      </c>
      <c r="E940" s="1" t="s">
        <v>74</v>
      </c>
      <c r="F940" s="1" t="s">
        <v>9319</v>
      </c>
      <c r="G940" s="1" t="s">
        <v>74</v>
      </c>
      <c r="H940" s="1" t="s">
        <v>74</v>
      </c>
      <c r="I940" s="1" t="s">
        <v>9320</v>
      </c>
      <c r="J940" s="1" t="s">
        <v>3084</v>
      </c>
      <c r="K940" s="1" t="s">
        <v>74</v>
      </c>
      <c r="L940" s="1" t="s">
        <v>74</v>
      </c>
      <c r="M940" s="1" t="s">
        <v>74</v>
      </c>
      <c r="N940" s="1" t="s">
        <v>74</v>
      </c>
      <c r="O940" s="1" t="s">
        <v>74</v>
      </c>
      <c r="P940" s="1" t="s">
        <v>74</v>
      </c>
      <c r="Q940" s="1" t="s">
        <v>74</v>
      </c>
      <c r="R940" s="1" t="s">
        <v>74</v>
      </c>
      <c r="S940" s="1" t="s">
        <v>74</v>
      </c>
      <c r="T940" s="1" t="s">
        <v>74</v>
      </c>
      <c r="U940" s="1" t="s">
        <v>74</v>
      </c>
      <c r="V940" s="1" t="s">
        <v>9321</v>
      </c>
      <c r="W940" s="1" t="s">
        <v>74</v>
      </c>
      <c r="X940" s="1" t="s">
        <v>74</v>
      </c>
      <c r="Y940" s="1" t="s">
        <v>74</v>
      </c>
      <c r="Z940" s="1" t="s">
        <v>74</v>
      </c>
      <c r="AA940" s="1" t="s">
        <v>9322</v>
      </c>
      <c r="AB940" s="1" t="s">
        <v>74</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3087</v>
      </c>
      <c r="AP940" s="1" t="s">
        <v>74</v>
      </c>
      <c r="AQ940" s="1" t="s">
        <v>74</v>
      </c>
      <c r="AR940" s="1" t="s">
        <v>74</v>
      </c>
      <c r="AS940" s="1" t="s">
        <v>74</v>
      </c>
      <c r="AT940" s="1" t="s">
        <v>82</v>
      </c>
      <c r="AU940" s="1">
        <v>1997.0</v>
      </c>
      <c r="AV940" s="1">
        <v>17.0</v>
      </c>
      <c r="AW940" s="1" t="s">
        <v>74</v>
      </c>
      <c r="AX940" s="1">
        <v>5.0</v>
      </c>
      <c r="AY940" s="1" t="s">
        <v>74</v>
      </c>
      <c r="AZ940" s="1" t="s">
        <v>74</v>
      </c>
      <c r="BA940" s="1" t="s">
        <v>74</v>
      </c>
      <c r="BB940" s="1">
        <v>1027.0</v>
      </c>
      <c r="BC940" s="1">
        <v>1042.0</v>
      </c>
      <c r="BD940" s="1" t="s">
        <v>74</v>
      </c>
      <c r="BE940" s="1" t="s">
        <v>9323</v>
      </c>
      <c r="BF940" s="2" t="str">
        <f>HYPERLINK("http://dx.doi.org/10.1017/S014338579708629X","http://dx.doi.org/10.1017/S014338579708629X")</f>
        <v>http://dx.doi.org/10.1017/S014338579708629X</v>
      </c>
      <c r="BG940" s="1" t="s">
        <v>74</v>
      </c>
      <c r="BH940" s="1" t="s">
        <v>74</v>
      </c>
      <c r="BI940" s="1" t="s">
        <v>74</v>
      </c>
      <c r="BJ940" s="1" t="s">
        <v>74</v>
      </c>
      <c r="BK940" s="1" t="s">
        <v>74</v>
      </c>
      <c r="BL940" s="1" t="s">
        <v>74</v>
      </c>
      <c r="BM940" s="1" t="s">
        <v>74</v>
      </c>
      <c r="BN940" s="1" t="s">
        <v>74</v>
      </c>
      <c r="BO940" s="1" t="s">
        <v>74</v>
      </c>
      <c r="BP940" s="1" t="s">
        <v>74</v>
      </c>
      <c r="BQ940" s="1" t="s">
        <v>74</v>
      </c>
      <c r="BR940" s="1" t="s">
        <v>74</v>
      </c>
      <c r="BS940" s="1" t="s">
        <v>9324</v>
      </c>
      <c r="BT940" s="1" t="str">
        <f>HYPERLINK("https%3A%2F%2Fwww.webofscience.com%2Fwos%2Fwoscc%2Ffull-record%2FWOS:A1997YF19800002","View Full Record in Web of Science")</f>
        <v>View Full Record in Web of Science</v>
      </c>
    </row>
    <row r="941" ht="12.75" customHeight="1">
      <c r="A941" s="1" t="s">
        <v>72</v>
      </c>
      <c r="B941" s="1" t="s">
        <v>9325</v>
      </c>
      <c r="C941" s="1" t="s">
        <v>74</v>
      </c>
      <c r="D941" s="1" t="s">
        <v>74</v>
      </c>
      <c r="E941" s="1" t="s">
        <v>74</v>
      </c>
      <c r="F941" s="1" t="s">
        <v>9326</v>
      </c>
      <c r="G941" s="1" t="s">
        <v>74</v>
      </c>
      <c r="H941" s="1" t="s">
        <v>74</v>
      </c>
      <c r="I941" s="1" t="s">
        <v>9327</v>
      </c>
      <c r="J941" s="1" t="s">
        <v>1100</v>
      </c>
      <c r="K941" s="1" t="s">
        <v>74</v>
      </c>
      <c r="L941" s="1" t="s">
        <v>74</v>
      </c>
      <c r="M941" s="1" t="s">
        <v>74</v>
      </c>
      <c r="N941" s="1" t="s">
        <v>74</v>
      </c>
      <c r="O941" s="1" t="s">
        <v>74</v>
      </c>
      <c r="P941" s="1" t="s">
        <v>74</v>
      </c>
      <c r="Q941" s="1" t="s">
        <v>74</v>
      </c>
      <c r="R941" s="1" t="s">
        <v>74</v>
      </c>
      <c r="S941" s="1" t="s">
        <v>74</v>
      </c>
      <c r="T941" s="1" t="s">
        <v>74</v>
      </c>
      <c r="U941" s="1" t="s">
        <v>74</v>
      </c>
      <c r="V941" s="1" t="s">
        <v>9328</v>
      </c>
      <c r="W941" s="1" t="s">
        <v>74</v>
      </c>
      <c r="X941" s="1" t="s">
        <v>74</v>
      </c>
      <c r="Y941" s="1" t="s">
        <v>74</v>
      </c>
      <c r="Z941" s="1" t="s">
        <v>74</v>
      </c>
      <c r="AA941" s="1" t="s">
        <v>9329</v>
      </c>
      <c r="AB941" s="1" t="s">
        <v>9330</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1104</v>
      </c>
      <c r="AP941" s="1" t="s">
        <v>1105</v>
      </c>
      <c r="AQ941" s="1" t="s">
        <v>74</v>
      </c>
      <c r="AR941" s="1" t="s">
        <v>74</v>
      </c>
      <c r="AS941" s="1" t="s">
        <v>74</v>
      </c>
      <c r="AT941" s="1" t="s">
        <v>164</v>
      </c>
      <c r="AU941" s="1">
        <v>2024.0</v>
      </c>
      <c r="AV941" s="1">
        <v>62.0</v>
      </c>
      <c r="AW941" s="1" t="s">
        <v>74</v>
      </c>
      <c r="AX941" s="1" t="s">
        <v>74</v>
      </c>
      <c r="AY941" s="1" t="s">
        <v>74</v>
      </c>
      <c r="AZ941" s="1" t="s">
        <v>74</v>
      </c>
      <c r="BA941" s="1" t="s">
        <v>74</v>
      </c>
      <c r="BB941" s="1" t="s">
        <v>74</v>
      </c>
      <c r="BC941" s="1" t="s">
        <v>74</v>
      </c>
      <c r="BD941" s="1">
        <v>105283.0</v>
      </c>
      <c r="BE941" s="1" t="s">
        <v>9331</v>
      </c>
      <c r="BF941" s="2" t="str">
        <f>HYPERLINK("http://dx.doi.org/10.1016/j.fbio.2024.105283","http://dx.doi.org/10.1016/j.fbio.2024.105283")</f>
        <v>http://dx.doi.org/10.1016/j.fbio.2024.105283</v>
      </c>
      <c r="BG941" s="1" t="s">
        <v>74</v>
      </c>
      <c r="BH941" s="1" t="s">
        <v>1712</v>
      </c>
      <c r="BI941" s="1" t="s">
        <v>74</v>
      </c>
      <c r="BJ941" s="1" t="s">
        <v>74</v>
      </c>
      <c r="BK941" s="1" t="s">
        <v>74</v>
      </c>
      <c r="BL941" s="1" t="s">
        <v>74</v>
      </c>
      <c r="BM941" s="1" t="s">
        <v>74</v>
      </c>
      <c r="BN941" s="1" t="s">
        <v>74</v>
      </c>
      <c r="BO941" s="1" t="s">
        <v>74</v>
      </c>
      <c r="BP941" s="1" t="s">
        <v>74</v>
      </c>
      <c r="BQ941" s="1" t="s">
        <v>74</v>
      </c>
      <c r="BR941" s="1" t="s">
        <v>74</v>
      </c>
      <c r="BS941" s="1" t="s">
        <v>9332</v>
      </c>
      <c r="BT941" s="1" t="str">
        <f>HYPERLINK("https%3A%2F%2Fwww.webofscience.com%2Fwos%2Fwoscc%2Ffull-record%2FWOS:001338833300001","View Full Record in Web of Science")</f>
        <v>View Full Record in Web of Science</v>
      </c>
    </row>
    <row r="942" ht="12.75" customHeight="1">
      <c r="A942" s="1" t="s">
        <v>72</v>
      </c>
      <c r="B942" s="1" t="s">
        <v>9333</v>
      </c>
      <c r="C942" s="1" t="s">
        <v>74</v>
      </c>
      <c r="D942" s="1" t="s">
        <v>74</v>
      </c>
      <c r="E942" s="1" t="s">
        <v>74</v>
      </c>
      <c r="F942" s="1" t="s">
        <v>9334</v>
      </c>
      <c r="G942" s="1" t="s">
        <v>74</v>
      </c>
      <c r="H942" s="1" t="s">
        <v>74</v>
      </c>
      <c r="I942" s="1" t="s">
        <v>9335</v>
      </c>
      <c r="J942" s="1" t="s">
        <v>9336</v>
      </c>
      <c r="K942" s="1" t="s">
        <v>74</v>
      </c>
      <c r="L942" s="1" t="s">
        <v>74</v>
      </c>
      <c r="M942" s="1" t="s">
        <v>74</v>
      </c>
      <c r="N942" s="1" t="s">
        <v>74</v>
      </c>
      <c r="O942" s="1" t="s">
        <v>74</v>
      </c>
      <c r="P942" s="1" t="s">
        <v>74</v>
      </c>
      <c r="Q942" s="1" t="s">
        <v>74</v>
      </c>
      <c r="R942" s="1" t="s">
        <v>74</v>
      </c>
      <c r="S942" s="1" t="s">
        <v>74</v>
      </c>
      <c r="T942" s="1" t="s">
        <v>74</v>
      </c>
      <c r="U942" s="1" t="s">
        <v>74</v>
      </c>
      <c r="V942" s="1" t="s">
        <v>9337</v>
      </c>
      <c r="W942" s="1" t="s">
        <v>74</v>
      </c>
      <c r="X942" s="1" t="s">
        <v>74</v>
      </c>
      <c r="Y942" s="1" t="s">
        <v>74</v>
      </c>
      <c r="Z942" s="1" t="s">
        <v>74</v>
      </c>
      <c r="AA942" s="1" t="s">
        <v>9338</v>
      </c>
      <c r="AB942" s="1" t="s">
        <v>9339</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9340</v>
      </c>
      <c r="AP942" s="1" t="s">
        <v>9341</v>
      </c>
      <c r="AQ942" s="1" t="s">
        <v>74</v>
      </c>
      <c r="AR942" s="1" t="s">
        <v>74</v>
      </c>
      <c r="AS942" s="1" t="s">
        <v>74</v>
      </c>
      <c r="AT942" s="1" t="s">
        <v>2208</v>
      </c>
      <c r="AU942" s="1">
        <v>2023.0</v>
      </c>
      <c r="AV942" s="1">
        <v>103.0</v>
      </c>
      <c r="AW942" s="1" t="s">
        <v>74</v>
      </c>
      <c r="AX942" s="1" t="s">
        <v>74</v>
      </c>
      <c r="AY942" s="1" t="s">
        <v>74</v>
      </c>
      <c r="AZ942" s="1" t="s">
        <v>74</v>
      </c>
      <c r="BA942" s="1" t="s">
        <v>74</v>
      </c>
      <c r="BB942" s="1" t="s">
        <v>74</v>
      </c>
      <c r="BC942" s="1" t="s">
        <v>74</v>
      </c>
      <c r="BD942" s="1">
        <v>105169.0</v>
      </c>
      <c r="BE942" s="1" t="s">
        <v>9342</v>
      </c>
      <c r="BF942" s="2" t="str">
        <f>HYPERLINK("http://dx.doi.org/10.1016/j.euromechsol.2023.105169","http://dx.doi.org/10.1016/j.euromechsol.2023.105169")</f>
        <v>http://dx.doi.org/10.1016/j.euromechsol.2023.105169</v>
      </c>
      <c r="BG942" s="1" t="s">
        <v>74</v>
      </c>
      <c r="BH942" s="1" t="s">
        <v>5806</v>
      </c>
      <c r="BI942" s="1" t="s">
        <v>74</v>
      </c>
      <c r="BJ942" s="1" t="s">
        <v>74</v>
      </c>
      <c r="BK942" s="1" t="s">
        <v>74</v>
      </c>
      <c r="BL942" s="1" t="s">
        <v>74</v>
      </c>
      <c r="BM942" s="1" t="s">
        <v>74</v>
      </c>
      <c r="BN942" s="1" t="s">
        <v>74</v>
      </c>
      <c r="BO942" s="1" t="s">
        <v>74</v>
      </c>
      <c r="BP942" s="1" t="s">
        <v>74</v>
      </c>
      <c r="BQ942" s="1" t="s">
        <v>74</v>
      </c>
      <c r="BR942" s="1" t="s">
        <v>74</v>
      </c>
      <c r="BS942" s="1" t="s">
        <v>9343</v>
      </c>
      <c r="BT942" s="1" t="str">
        <f>HYPERLINK("https%3A%2F%2Fwww.webofscience.com%2Fwos%2Fwoscc%2Ffull-record%2FWOS:001102544300001","View Full Record in Web of Science")</f>
        <v>View Full Record in Web of Science</v>
      </c>
    </row>
    <row r="943" ht="12.75" customHeight="1">
      <c r="A943" s="1" t="s">
        <v>72</v>
      </c>
      <c r="B943" s="1" t="s">
        <v>9344</v>
      </c>
      <c r="C943" s="1" t="s">
        <v>74</v>
      </c>
      <c r="D943" s="1" t="s">
        <v>74</v>
      </c>
      <c r="E943" s="1" t="s">
        <v>74</v>
      </c>
      <c r="F943" s="1" t="s">
        <v>9345</v>
      </c>
      <c r="G943" s="1" t="s">
        <v>74</v>
      </c>
      <c r="H943" s="1" t="s">
        <v>74</v>
      </c>
      <c r="I943" s="1" t="s">
        <v>9346</v>
      </c>
      <c r="J943" s="1" t="s">
        <v>1381</v>
      </c>
      <c r="K943" s="1" t="s">
        <v>74</v>
      </c>
      <c r="L943" s="1" t="s">
        <v>74</v>
      </c>
      <c r="M943" s="1" t="s">
        <v>74</v>
      </c>
      <c r="N943" s="1" t="s">
        <v>74</v>
      </c>
      <c r="O943" s="1" t="s">
        <v>74</v>
      </c>
      <c r="P943" s="1" t="s">
        <v>74</v>
      </c>
      <c r="Q943" s="1" t="s">
        <v>74</v>
      </c>
      <c r="R943" s="1" t="s">
        <v>74</v>
      </c>
      <c r="S943" s="1" t="s">
        <v>74</v>
      </c>
      <c r="T943" s="1" t="s">
        <v>74</v>
      </c>
      <c r="U943" s="1" t="s">
        <v>74</v>
      </c>
      <c r="V943" s="1" t="s">
        <v>9347</v>
      </c>
      <c r="W943" s="1" t="s">
        <v>74</v>
      </c>
      <c r="X943" s="1" t="s">
        <v>74</v>
      </c>
      <c r="Y943" s="1" t="s">
        <v>74</v>
      </c>
      <c r="Z943" s="1" t="s">
        <v>74</v>
      </c>
      <c r="AA943" s="1" t="s">
        <v>9348</v>
      </c>
      <c r="AB943" s="1" t="s">
        <v>9349</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74</v>
      </c>
      <c r="AP943" s="1" t="s">
        <v>1385</v>
      </c>
      <c r="AQ943" s="1" t="s">
        <v>74</v>
      </c>
      <c r="AR943" s="1" t="s">
        <v>74</v>
      </c>
      <c r="AS943" s="1" t="s">
        <v>74</v>
      </c>
      <c r="AT943" s="1" t="s">
        <v>1279</v>
      </c>
      <c r="AU943" s="1">
        <v>2023.0</v>
      </c>
      <c r="AV943" s="1">
        <v>23.0</v>
      </c>
      <c r="AW943" s="1">
        <v>7.0</v>
      </c>
      <c r="AX943" s="1" t="s">
        <v>74</v>
      </c>
      <c r="AY943" s="1" t="s">
        <v>74</v>
      </c>
      <c r="AZ943" s="1" t="s">
        <v>74</v>
      </c>
      <c r="BA943" s="1" t="s">
        <v>74</v>
      </c>
      <c r="BB943" s="1" t="s">
        <v>74</v>
      </c>
      <c r="BC943" s="1" t="s">
        <v>74</v>
      </c>
      <c r="BD943" s="1">
        <v>3426.0</v>
      </c>
      <c r="BE943" s="1" t="s">
        <v>9350</v>
      </c>
      <c r="BF943" s="2" t="str">
        <f>HYPERLINK("http://dx.doi.org/10.3390/s23073426","http://dx.doi.org/10.3390/s23073426")</f>
        <v>http://dx.doi.org/10.3390/s23073426</v>
      </c>
      <c r="BG943" s="1" t="s">
        <v>74</v>
      </c>
      <c r="BH943" s="1" t="s">
        <v>74</v>
      </c>
      <c r="BI943" s="1" t="s">
        <v>74</v>
      </c>
      <c r="BJ943" s="1" t="s">
        <v>74</v>
      </c>
      <c r="BK943" s="1" t="s">
        <v>74</v>
      </c>
      <c r="BL943" s="1" t="s">
        <v>74</v>
      </c>
      <c r="BM943" s="1" t="s">
        <v>74</v>
      </c>
      <c r="BN943" s="1">
        <v>3.7050485E7</v>
      </c>
      <c r="BO943" s="1" t="s">
        <v>74</v>
      </c>
      <c r="BP943" s="1" t="s">
        <v>74</v>
      </c>
      <c r="BQ943" s="1" t="s">
        <v>74</v>
      </c>
      <c r="BR943" s="1" t="s">
        <v>74</v>
      </c>
      <c r="BS943" s="1" t="s">
        <v>9351</v>
      </c>
      <c r="BT943" s="1" t="str">
        <f>HYPERLINK("https%3A%2F%2Fwww.webofscience.com%2Fwos%2Fwoscc%2Ffull-record%2FWOS:000970292500001","View Full Record in Web of Science")</f>
        <v>View Full Record in Web of Science</v>
      </c>
    </row>
    <row r="944" ht="12.75" customHeight="1">
      <c r="A944" s="1" t="s">
        <v>72</v>
      </c>
      <c r="B944" s="1" t="s">
        <v>9352</v>
      </c>
      <c r="C944" s="1" t="s">
        <v>74</v>
      </c>
      <c r="D944" s="1" t="s">
        <v>74</v>
      </c>
      <c r="E944" s="1" t="s">
        <v>74</v>
      </c>
      <c r="F944" s="1" t="s">
        <v>9353</v>
      </c>
      <c r="G944" s="1" t="s">
        <v>74</v>
      </c>
      <c r="H944" s="1" t="s">
        <v>74</v>
      </c>
      <c r="I944" s="1" t="s">
        <v>9354</v>
      </c>
      <c r="J944" s="1" t="s">
        <v>9355</v>
      </c>
      <c r="K944" s="1" t="s">
        <v>74</v>
      </c>
      <c r="L944" s="1" t="s">
        <v>74</v>
      </c>
      <c r="M944" s="1" t="s">
        <v>74</v>
      </c>
      <c r="N944" s="1" t="s">
        <v>74</v>
      </c>
      <c r="O944" s="1" t="s">
        <v>74</v>
      </c>
      <c r="P944" s="1" t="s">
        <v>74</v>
      </c>
      <c r="Q944" s="1" t="s">
        <v>74</v>
      </c>
      <c r="R944" s="1" t="s">
        <v>74</v>
      </c>
      <c r="S944" s="1" t="s">
        <v>74</v>
      </c>
      <c r="T944" s="1" t="s">
        <v>74</v>
      </c>
      <c r="U944" s="1" t="s">
        <v>74</v>
      </c>
      <c r="V944" s="1" t="s">
        <v>9356</v>
      </c>
      <c r="W944" s="1" t="s">
        <v>74</v>
      </c>
      <c r="X944" s="1" t="s">
        <v>74</v>
      </c>
      <c r="Y944" s="1" t="s">
        <v>74</v>
      </c>
      <c r="Z944" s="1" t="s">
        <v>74</v>
      </c>
      <c r="AA944" s="1" t="s">
        <v>9357</v>
      </c>
      <c r="AB944" s="1" t="s">
        <v>9358</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9359</v>
      </c>
      <c r="AP944" s="1" t="s">
        <v>9360</v>
      </c>
      <c r="AQ944" s="1" t="s">
        <v>74</v>
      </c>
      <c r="AR944" s="1" t="s">
        <v>74</v>
      </c>
      <c r="AS944" s="1" t="s">
        <v>74</v>
      </c>
      <c r="AT944" s="1" t="s">
        <v>408</v>
      </c>
      <c r="AU944" s="1">
        <v>2023.0</v>
      </c>
      <c r="AV944" s="1">
        <v>81.0</v>
      </c>
      <c r="AW944" s="1" t="s">
        <v>74</v>
      </c>
      <c r="AX944" s="1" t="s">
        <v>74</v>
      </c>
      <c r="AY944" s="1" t="s">
        <v>74</v>
      </c>
      <c r="AZ944" s="1" t="s">
        <v>74</v>
      </c>
      <c r="BA944" s="1" t="s">
        <v>74</v>
      </c>
      <c r="BB944" s="1" t="s">
        <v>74</v>
      </c>
      <c r="BC944" s="1" t="s">
        <v>74</v>
      </c>
      <c r="BD944" s="1">
        <v>103372.0</v>
      </c>
      <c r="BE944" s="1" t="s">
        <v>9361</v>
      </c>
      <c r="BF944" s="2" t="str">
        <f>HYPERLINK("http://dx.doi.org/10.1016/j.resourpol.2023.103372","http://dx.doi.org/10.1016/j.resourpol.2023.103372")</f>
        <v>http://dx.doi.org/10.1016/j.resourpol.2023.103372</v>
      </c>
      <c r="BG944" s="1" t="s">
        <v>74</v>
      </c>
      <c r="BH944" s="1" t="s">
        <v>5815</v>
      </c>
      <c r="BI944" s="1" t="s">
        <v>74</v>
      </c>
      <c r="BJ944" s="1" t="s">
        <v>74</v>
      </c>
      <c r="BK944" s="1" t="s">
        <v>74</v>
      </c>
      <c r="BL944" s="1" t="s">
        <v>74</v>
      </c>
      <c r="BM944" s="1" t="s">
        <v>74</v>
      </c>
      <c r="BN944" s="1" t="s">
        <v>74</v>
      </c>
      <c r="BO944" s="1" t="s">
        <v>74</v>
      </c>
      <c r="BP944" s="1" t="s">
        <v>74</v>
      </c>
      <c r="BQ944" s="1" t="s">
        <v>74</v>
      </c>
      <c r="BR944" s="1" t="s">
        <v>74</v>
      </c>
      <c r="BS944" s="1" t="s">
        <v>9362</v>
      </c>
      <c r="BT944" s="1" t="str">
        <f>HYPERLINK("https%3A%2F%2Fwww.webofscience.com%2Fwos%2Fwoscc%2Ffull-record%2FWOS:000965589100001","View Full Record in Web of Science")</f>
        <v>View Full Record in Web of Science</v>
      </c>
    </row>
    <row r="945" ht="12.75" customHeight="1">
      <c r="A945" s="1" t="s">
        <v>72</v>
      </c>
      <c r="B945" s="1" t="s">
        <v>9363</v>
      </c>
      <c r="C945" s="1" t="s">
        <v>74</v>
      </c>
      <c r="D945" s="1" t="s">
        <v>74</v>
      </c>
      <c r="E945" s="1" t="s">
        <v>74</v>
      </c>
      <c r="F945" s="1" t="s">
        <v>9364</v>
      </c>
      <c r="G945" s="1" t="s">
        <v>74</v>
      </c>
      <c r="H945" s="1" t="s">
        <v>74</v>
      </c>
      <c r="I945" s="1" t="s">
        <v>9365</v>
      </c>
      <c r="J945" s="1" t="s">
        <v>9366</v>
      </c>
      <c r="K945" s="1" t="s">
        <v>74</v>
      </c>
      <c r="L945" s="1" t="s">
        <v>74</v>
      </c>
      <c r="M945" s="1" t="s">
        <v>74</v>
      </c>
      <c r="N945" s="1" t="s">
        <v>74</v>
      </c>
      <c r="O945" s="1" t="s">
        <v>9367</v>
      </c>
      <c r="P945" s="1" t="s">
        <v>9368</v>
      </c>
      <c r="Q945" s="1" t="s">
        <v>1799</v>
      </c>
      <c r="R945" s="1" t="s">
        <v>74</v>
      </c>
      <c r="S945" s="1" t="s">
        <v>74</v>
      </c>
      <c r="T945" s="1" t="s">
        <v>74</v>
      </c>
      <c r="U945" s="1" t="s">
        <v>74</v>
      </c>
      <c r="V945" s="1" t="s">
        <v>74</v>
      </c>
      <c r="W945" s="1" t="s">
        <v>74</v>
      </c>
      <c r="X945" s="1" t="s">
        <v>74</v>
      </c>
      <c r="Y945" s="1" t="s">
        <v>74</v>
      </c>
      <c r="Z945" s="1" t="s">
        <v>74</v>
      </c>
      <c r="AA945" s="1" t="s">
        <v>74</v>
      </c>
      <c r="AB945" s="1" t="s">
        <v>74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9369</v>
      </c>
      <c r="AP945" s="1" t="s">
        <v>9370</v>
      </c>
      <c r="AQ945" s="1" t="s">
        <v>74</v>
      </c>
      <c r="AR945" s="1" t="s">
        <v>74</v>
      </c>
      <c r="AS945" s="1" t="s">
        <v>74</v>
      </c>
      <c r="AT945" s="1" t="s">
        <v>94</v>
      </c>
      <c r="AU945" s="1">
        <v>2022.0</v>
      </c>
      <c r="AV945" s="1">
        <v>65.0</v>
      </c>
      <c r="AW945" s="1" t="s">
        <v>74</v>
      </c>
      <c r="AX945" s="1" t="s">
        <v>74</v>
      </c>
      <c r="AY945" s="1">
        <v>1.0</v>
      </c>
      <c r="AZ945" s="1" t="s">
        <v>569</v>
      </c>
      <c r="BA945" s="1" t="s">
        <v>9371</v>
      </c>
      <c r="BB945" s="1" t="s">
        <v>9372</v>
      </c>
      <c r="BC945" s="1" t="s">
        <v>9372</v>
      </c>
      <c r="BD945" s="1" t="s">
        <v>74</v>
      </c>
      <c r="BE945" s="1" t="s">
        <v>9373</v>
      </c>
      <c r="BF945" s="2" t="str">
        <f>HYPERLINK("http://dx.doi.org/10.1192/j.eurpsy.2022.2208","http://dx.doi.org/10.1192/j.eurpsy.2022.2208")</f>
        <v>http://dx.doi.org/10.1192/j.eurpsy.2022.2208</v>
      </c>
      <c r="BG945" s="1" t="s">
        <v>74</v>
      </c>
      <c r="BH945" s="1" t="s">
        <v>74</v>
      </c>
      <c r="BI945" s="1" t="s">
        <v>74</v>
      </c>
      <c r="BJ945" s="1" t="s">
        <v>74</v>
      </c>
      <c r="BK945" s="1" t="s">
        <v>74</v>
      </c>
      <c r="BL945" s="1" t="s">
        <v>74</v>
      </c>
      <c r="BM945" s="1" t="s">
        <v>74</v>
      </c>
      <c r="BN945" s="1" t="s">
        <v>74</v>
      </c>
      <c r="BO945" s="1" t="s">
        <v>74</v>
      </c>
      <c r="BP945" s="1" t="s">
        <v>74</v>
      </c>
      <c r="BQ945" s="1" t="s">
        <v>74</v>
      </c>
      <c r="BR945" s="1" t="s">
        <v>74</v>
      </c>
      <c r="BS945" s="1" t="s">
        <v>9374</v>
      </c>
      <c r="BT945" s="1" t="str">
        <f>HYPERLINK("https%3A%2F%2Fwww.webofscience.com%2Fwos%2Fwoscc%2Ffull-record%2FWOS:000897965702685","View Full Record in Web of Science")</f>
        <v>View Full Record in Web of Science</v>
      </c>
    </row>
    <row r="946" ht="12.75" customHeight="1">
      <c r="A946" s="1" t="s">
        <v>72</v>
      </c>
      <c r="B946" s="1" t="s">
        <v>9375</v>
      </c>
      <c r="C946" s="1" t="s">
        <v>74</v>
      </c>
      <c r="D946" s="1" t="s">
        <v>74</v>
      </c>
      <c r="E946" s="1" t="s">
        <v>74</v>
      </c>
      <c r="F946" s="1" t="s">
        <v>9376</v>
      </c>
      <c r="G946" s="1" t="s">
        <v>74</v>
      </c>
      <c r="H946" s="1" t="s">
        <v>74</v>
      </c>
      <c r="I946" s="1" t="s">
        <v>9377</v>
      </c>
      <c r="J946" s="1" t="s">
        <v>9378</v>
      </c>
      <c r="K946" s="1" t="s">
        <v>74</v>
      </c>
      <c r="L946" s="1" t="s">
        <v>74</v>
      </c>
      <c r="M946" s="1" t="s">
        <v>74</v>
      </c>
      <c r="N946" s="1" t="s">
        <v>74</v>
      </c>
      <c r="O946" s="1" t="s">
        <v>74</v>
      </c>
      <c r="P946" s="1" t="s">
        <v>74</v>
      </c>
      <c r="Q946" s="1" t="s">
        <v>74</v>
      </c>
      <c r="R946" s="1" t="s">
        <v>74</v>
      </c>
      <c r="S946" s="1" t="s">
        <v>74</v>
      </c>
      <c r="T946" s="1" t="s">
        <v>74</v>
      </c>
      <c r="U946" s="1" t="s">
        <v>74</v>
      </c>
      <c r="V946" s="1" t="s">
        <v>9379</v>
      </c>
      <c r="W946" s="1" t="s">
        <v>74</v>
      </c>
      <c r="X946" s="1" t="s">
        <v>74</v>
      </c>
      <c r="Y946" s="1" t="s">
        <v>74</v>
      </c>
      <c r="Z946" s="1" t="s">
        <v>74</v>
      </c>
      <c r="AA946" s="1" t="s">
        <v>74</v>
      </c>
      <c r="AB946" s="1" t="s">
        <v>9380</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9381</v>
      </c>
      <c r="AP946" s="1" t="s">
        <v>9382</v>
      </c>
      <c r="AQ946" s="1" t="s">
        <v>74</v>
      </c>
      <c r="AR946" s="1" t="s">
        <v>74</v>
      </c>
      <c r="AS946" s="1" t="s">
        <v>74</v>
      </c>
      <c r="AT946" s="1" t="s">
        <v>7785</v>
      </c>
      <c r="AU946" s="1">
        <v>2022.0</v>
      </c>
      <c r="AV946" s="1">
        <v>22.0</v>
      </c>
      <c r="AW946" s="1">
        <v>1.0</v>
      </c>
      <c r="AX946" s="1" t="s">
        <v>74</v>
      </c>
      <c r="AY946" s="1" t="s">
        <v>74</v>
      </c>
      <c r="AZ946" s="1" t="s">
        <v>74</v>
      </c>
      <c r="BA946" s="1" t="s">
        <v>74</v>
      </c>
      <c r="BB946" s="1">
        <v>108.0</v>
      </c>
      <c r="BC946" s="1">
        <v>124.0</v>
      </c>
      <c r="BD946" s="1" t="s">
        <v>74</v>
      </c>
      <c r="BE946" s="1" t="s">
        <v>9383</v>
      </c>
      <c r="BF946" s="2" t="str">
        <f>HYPERLINK("http://dx.doi.org/10.1515/epoly-2022-0015","http://dx.doi.org/10.1515/epoly-2022-0015")</f>
        <v>http://dx.doi.org/10.1515/epoly-2022-0015</v>
      </c>
      <c r="BG946" s="1" t="s">
        <v>74</v>
      </c>
      <c r="BH946" s="1" t="s">
        <v>74</v>
      </c>
      <c r="BI946" s="1" t="s">
        <v>74</v>
      </c>
      <c r="BJ946" s="1" t="s">
        <v>74</v>
      </c>
      <c r="BK946" s="1" t="s">
        <v>74</v>
      </c>
      <c r="BL946" s="1" t="s">
        <v>74</v>
      </c>
      <c r="BM946" s="1" t="s">
        <v>74</v>
      </c>
      <c r="BN946" s="1" t="s">
        <v>74</v>
      </c>
      <c r="BO946" s="1" t="s">
        <v>74</v>
      </c>
      <c r="BP946" s="1" t="s">
        <v>74</v>
      </c>
      <c r="BQ946" s="1" t="s">
        <v>74</v>
      </c>
      <c r="BR946" s="1" t="s">
        <v>74</v>
      </c>
      <c r="BS946" s="1" t="s">
        <v>9384</v>
      </c>
      <c r="BT946" s="1" t="str">
        <f>HYPERLINK("https%3A%2F%2Fwww.webofscience.com%2Fwos%2Fwoscc%2Ffull-record%2FWOS:000740800500001","View Full Record in Web of Science")</f>
        <v>View Full Record in Web of Science</v>
      </c>
    </row>
    <row r="947" ht="12.75" customHeight="1">
      <c r="A947" s="1" t="s">
        <v>207</v>
      </c>
      <c r="B947" s="1" t="s">
        <v>9385</v>
      </c>
      <c r="C947" s="1" t="s">
        <v>74</v>
      </c>
      <c r="D947" s="1" t="s">
        <v>74</v>
      </c>
      <c r="E947" s="1" t="s">
        <v>224</v>
      </c>
      <c r="F947" s="1" t="s">
        <v>9386</v>
      </c>
      <c r="G947" s="1" t="s">
        <v>74</v>
      </c>
      <c r="H947" s="1" t="s">
        <v>74</v>
      </c>
      <c r="I947" s="1" t="s">
        <v>9387</v>
      </c>
      <c r="J947" s="1" t="s">
        <v>9388</v>
      </c>
      <c r="K947" s="1" t="s">
        <v>74</v>
      </c>
      <c r="L947" s="1" t="s">
        <v>74</v>
      </c>
      <c r="M947" s="1" t="s">
        <v>74</v>
      </c>
      <c r="N947" s="1" t="s">
        <v>74</v>
      </c>
      <c r="O947" s="1" t="s">
        <v>9389</v>
      </c>
      <c r="P947" s="1" t="s">
        <v>9390</v>
      </c>
      <c r="Q947" s="1" t="s">
        <v>9391</v>
      </c>
      <c r="R947" s="1" t="s">
        <v>9392</v>
      </c>
      <c r="S947" s="1" t="s">
        <v>74</v>
      </c>
      <c r="T947" s="1" t="s">
        <v>74</v>
      </c>
      <c r="U947" s="1" t="s">
        <v>74</v>
      </c>
      <c r="V947" s="1" t="s">
        <v>9393</v>
      </c>
      <c r="W947" s="1" t="s">
        <v>74</v>
      </c>
      <c r="X947" s="1" t="s">
        <v>74</v>
      </c>
      <c r="Y947" s="1" t="s">
        <v>74</v>
      </c>
      <c r="Z947" s="1" t="s">
        <v>74</v>
      </c>
      <c r="AA947" s="1" t="s">
        <v>9394</v>
      </c>
      <c r="AB947" s="1" t="s">
        <v>74</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74</v>
      </c>
      <c r="AP947" s="1" t="s">
        <v>74</v>
      </c>
      <c r="AQ947" s="1" t="s">
        <v>9395</v>
      </c>
      <c r="AR947" s="1" t="s">
        <v>74</v>
      </c>
      <c r="AS947" s="1" t="s">
        <v>74</v>
      </c>
      <c r="AT947" s="1" t="s">
        <v>74</v>
      </c>
      <c r="AU947" s="1">
        <v>2022.0</v>
      </c>
      <c r="AV947" s="1" t="s">
        <v>74</v>
      </c>
      <c r="AW947" s="1" t="s">
        <v>74</v>
      </c>
      <c r="AX947" s="1" t="s">
        <v>74</v>
      </c>
      <c r="AY947" s="1" t="s">
        <v>74</v>
      </c>
      <c r="AZ947" s="1" t="s">
        <v>74</v>
      </c>
      <c r="BA947" s="1" t="s">
        <v>74</v>
      </c>
      <c r="BB947" s="1" t="s">
        <v>74</v>
      </c>
      <c r="BC947" s="1" t="s">
        <v>74</v>
      </c>
      <c r="BD947" s="1" t="s">
        <v>74</v>
      </c>
      <c r="BE947" s="1" t="s">
        <v>9396</v>
      </c>
      <c r="BF947" s="2" t="str">
        <f>HYPERLINK("http://dx.doi.org/10.1109/KPEC54747.2022.9814781","http://dx.doi.org/10.1109/KPEC54747.2022.9814781")</f>
        <v>http://dx.doi.org/10.1109/KPEC54747.2022.9814781</v>
      </c>
      <c r="BG947" s="1" t="s">
        <v>74</v>
      </c>
      <c r="BH947" s="1" t="s">
        <v>74</v>
      </c>
      <c r="BI947" s="1" t="s">
        <v>74</v>
      </c>
      <c r="BJ947" s="1" t="s">
        <v>74</v>
      </c>
      <c r="BK947" s="1" t="s">
        <v>74</v>
      </c>
      <c r="BL947" s="1" t="s">
        <v>74</v>
      </c>
      <c r="BM947" s="1" t="s">
        <v>74</v>
      </c>
      <c r="BN947" s="1" t="s">
        <v>74</v>
      </c>
      <c r="BO947" s="1" t="s">
        <v>74</v>
      </c>
      <c r="BP947" s="1" t="s">
        <v>74</v>
      </c>
      <c r="BQ947" s="1" t="s">
        <v>74</v>
      </c>
      <c r="BR947" s="1" t="s">
        <v>74</v>
      </c>
      <c r="BS947" s="1" t="s">
        <v>9397</v>
      </c>
      <c r="BT947" s="1" t="str">
        <f>HYPERLINK("https%3A%2F%2Fwww.webofscience.com%2Fwos%2Fwoscc%2Ffull-record%2FWOS:000853634000034","View Full Record in Web of Science")</f>
        <v>View Full Record in Web of Science</v>
      </c>
    </row>
    <row r="948" ht="12.75" customHeight="1">
      <c r="A948" s="1" t="s">
        <v>72</v>
      </c>
      <c r="B948" s="1" t="s">
        <v>9398</v>
      </c>
      <c r="C948" s="1" t="s">
        <v>74</v>
      </c>
      <c r="D948" s="1" t="s">
        <v>74</v>
      </c>
      <c r="E948" s="1" t="s">
        <v>74</v>
      </c>
      <c r="F948" s="1" t="s">
        <v>9399</v>
      </c>
      <c r="G948" s="1" t="s">
        <v>74</v>
      </c>
      <c r="H948" s="1" t="s">
        <v>74</v>
      </c>
      <c r="I948" s="1" t="s">
        <v>9400</v>
      </c>
      <c r="J948" s="1" t="s">
        <v>4135</v>
      </c>
      <c r="K948" s="1" t="s">
        <v>74</v>
      </c>
      <c r="L948" s="1" t="s">
        <v>74</v>
      </c>
      <c r="M948" s="1" t="s">
        <v>74</v>
      </c>
      <c r="N948" s="1" t="s">
        <v>74</v>
      </c>
      <c r="O948" s="1" t="s">
        <v>74</v>
      </c>
      <c r="P948" s="1" t="s">
        <v>74</v>
      </c>
      <c r="Q948" s="1" t="s">
        <v>74</v>
      </c>
      <c r="R948" s="1" t="s">
        <v>74</v>
      </c>
      <c r="S948" s="1" t="s">
        <v>74</v>
      </c>
      <c r="T948" s="1" t="s">
        <v>74</v>
      </c>
      <c r="U948" s="1" t="s">
        <v>74</v>
      </c>
      <c r="V948" s="1" t="s">
        <v>9401</v>
      </c>
      <c r="W948" s="1" t="s">
        <v>74</v>
      </c>
      <c r="X948" s="1" t="s">
        <v>74</v>
      </c>
      <c r="Y948" s="1" t="s">
        <v>74</v>
      </c>
      <c r="Z948" s="1" t="s">
        <v>74</v>
      </c>
      <c r="AA948" s="1" t="s">
        <v>74</v>
      </c>
      <c r="AB948" s="1" t="s">
        <v>5853</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4137</v>
      </c>
      <c r="AP948" s="1" t="s">
        <v>74</v>
      </c>
      <c r="AQ948" s="1" t="s">
        <v>74</v>
      </c>
      <c r="AR948" s="1" t="s">
        <v>74</v>
      </c>
      <c r="AS948" s="1" t="s">
        <v>74</v>
      </c>
      <c r="AT948" s="1" t="s">
        <v>418</v>
      </c>
      <c r="AU948" s="1">
        <v>2021.0</v>
      </c>
      <c r="AV948" s="1">
        <v>13.0</v>
      </c>
      <c r="AW948" s="1">
        <v>3.0</v>
      </c>
      <c r="AX948" s="1" t="s">
        <v>74</v>
      </c>
      <c r="AY948" s="1" t="s">
        <v>74</v>
      </c>
      <c r="AZ948" s="1" t="s">
        <v>74</v>
      </c>
      <c r="BA948" s="1" t="s">
        <v>74</v>
      </c>
      <c r="BB948" s="1">
        <v>481.0</v>
      </c>
      <c r="BC948" s="1">
        <v>492.0</v>
      </c>
      <c r="BD948" s="1" t="s">
        <v>74</v>
      </c>
      <c r="BE948" s="1" t="s">
        <v>74</v>
      </c>
      <c r="BF948" s="1" t="s">
        <v>74</v>
      </c>
      <c r="BG948" s="1" t="s">
        <v>74</v>
      </c>
      <c r="BH948" s="1" t="s">
        <v>74</v>
      </c>
      <c r="BI948" s="1" t="s">
        <v>74</v>
      </c>
      <c r="BJ948" s="1" t="s">
        <v>74</v>
      </c>
      <c r="BK948" s="1" t="s">
        <v>74</v>
      </c>
      <c r="BL948" s="1" t="s">
        <v>74</v>
      </c>
      <c r="BM948" s="1" t="s">
        <v>74</v>
      </c>
      <c r="BN948" s="1" t="s">
        <v>74</v>
      </c>
      <c r="BO948" s="1" t="s">
        <v>74</v>
      </c>
      <c r="BP948" s="1" t="s">
        <v>74</v>
      </c>
      <c r="BQ948" s="1" t="s">
        <v>74</v>
      </c>
      <c r="BR948" s="1" t="s">
        <v>74</v>
      </c>
      <c r="BS948" s="1" t="s">
        <v>9402</v>
      </c>
      <c r="BT948" s="1" t="str">
        <f>HYPERLINK("https%3A%2F%2Fwww.webofscience.com%2Fwos%2Fwoscc%2Ffull-record%2FWOS:000700078200009","View Full Record in Web of Science")</f>
        <v>View Full Record in Web of Science</v>
      </c>
    </row>
    <row r="949" ht="12.75" customHeight="1">
      <c r="A949" s="1" t="s">
        <v>72</v>
      </c>
      <c r="B949" s="1" t="s">
        <v>9403</v>
      </c>
      <c r="C949" s="1" t="s">
        <v>74</v>
      </c>
      <c r="D949" s="1" t="s">
        <v>74</v>
      </c>
      <c r="E949" s="1" t="s">
        <v>74</v>
      </c>
      <c r="F949" s="1" t="s">
        <v>9404</v>
      </c>
      <c r="G949" s="1" t="s">
        <v>74</v>
      </c>
      <c r="H949" s="1" t="s">
        <v>74</v>
      </c>
      <c r="I949" s="1" t="s">
        <v>9405</v>
      </c>
      <c r="J949" s="1" t="s">
        <v>3611</v>
      </c>
      <c r="K949" s="1" t="s">
        <v>74</v>
      </c>
      <c r="L949" s="1" t="s">
        <v>74</v>
      </c>
      <c r="M949" s="1" t="s">
        <v>74</v>
      </c>
      <c r="N949" s="1" t="s">
        <v>74</v>
      </c>
      <c r="O949" s="1" t="s">
        <v>74</v>
      </c>
      <c r="P949" s="1" t="s">
        <v>74</v>
      </c>
      <c r="Q949" s="1" t="s">
        <v>74</v>
      </c>
      <c r="R949" s="1" t="s">
        <v>74</v>
      </c>
      <c r="S949" s="1" t="s">
        <v>74</v>
      </c>
      <c r="T949" s="1" t="s">
        <v>74</v>
      </c>
      <c r="U949" s="1" t="s">
        <v>74</v>
      </c>
      <c r="V949" s="1" t="s">
        <v>9406</v>
      </c>
      <c r="W949" s="1" t="s">
        <v>74</v>
      </c>
      <c r="X949" s="1" t="s">
        <v>74</v>
      </c>
      <c r="Y949" s="1" t="s">
        <v>74</v>
      </c>
      <c r="Z949" s="1" t="s">
        <v>74</v>
      </c>
      <c r="AA949" s="1" t="s">
        <v>9407</v>
      </c>
      <c r="AB949" s="1" t="s">
        <v>9408</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3615</v>
      </c>
      <c r="AP949" s="1" t="s">
        <v>74</v>
      </c>
      <c r="AQ949" s="1" t="s">
        <v>74</v>
      </c>
      <c r="AR949" s="1" t="s">
        <v>74</v>
      </c>
      <c r="AS949" s="1" t="s">
        <v>74</v>
      </c>
      <c r="AT949" s="1" t="s">
        <v>5345</v>
      </c>
      <c r="AU949" s="1">
        <v>2021.0</v>
      </c>
      <c r="AV949" s="1">
        <v>9.0</v>
      </c>
      <c r="AW949" s="1" t="s">
        <v>74</v>
      </c>
      <c r="AX949" s="1" t="s">
        <v>74</v>
      </c>
      <c r="AY949" s="1" t="s">
        <v>74</v>
      </c>
      <c r="AZ949" s="1" t="s">
        <v>74</v>
      </c>
      <c r="BA949" s="1" t="s">
        <v>74</v>
      </c>
      <c r="BB949" s="1" t="s">
        <v>74</v>
      </c>
      <c r="BC949" s="1" t="s">
        <v>74</v>
      </c>
      <c r="BD949" s="1">
        <v>656472.0</v>
      </c>
      <c r="BE949" s="1" t="s">
        <v>9409</v>
      </c>
      <c r="BF949" s="2" t="str">
        <f>HYPERLINK("http://dx.doi.org/10.3389/fbioe.2021.656472","http://dx.doi.org/10.3389/fbioe.2021.656472")</f>
        <v>http://dx.doi.org/10.3389/fbioe.2021.656472</v>
      </c>
      <c r="BG949" s="1" t="s">
        <v>74</v>
      </c>
      <c r="BH949" s="1" t="s">
        <v>74</v>
      </c>
      <c r="BI949" s="1" t="s">
        <v>74</v>
      </c>
      <c r="BJ949" s="1" t="s">
        <v>74</v>
      </c>
      <c r="BK949" s="1" t="s">
        <v>74</v>
      </c>
      <c r="BL949" s="1" t="s">
        <v>74</v>
      </c>
      <c r="BM949" s="1" t="s">
        <v>74</v>
      </c>
      <c r="BN949" s="1">
        <v>3.4095097E7</v>
      </c>
      <c r="BO949" s="1" t="s">
        <v>74</v>
      </c>
      <c r="BP949" s="1" t="s">
        <v>74</v>
      </c>
      <c r="BQ949" s="1" t="s">
        <v>74</v>
      </c>
      <c r="BR949" s="1" t="s">
        <v>74</v>
      </c>
      <c r="BS949" s="1" t="s">
        <v>9410</v>
      </c>
      <c r="BT949" s="1" t="str">
        <f>HYPERLINK("https%3A%2F%2Fwww.webofscience.com%2Fwos%2Fwoscc%2Ffull-record%2FWOS:000657306300001","View Full Record in Web of Science")</f>
        <v>View Full Record in Web of Science</v>
      </c>
    </row>
    <row r="950" ht="12.75" customHeight="1">
      <c r="A950" s="1" t="s">
        <v>72</v>
      </c>
      <c r="B950" s="1" t="s">
        <v>9411</v>
      </c>
      <c r="C950" s="1" t="s">
        <v>74</v>
      </c>
      <c r="D950" s="1" t="s">
        <v>74</v>
      </c>
      <c r="E950" s="1" t="s">
        <v>74</v>
      </c>
      <c r="F950" s="1" t="s">
        <v>9412</v>
      </c>
      <c r="G950" s="1" t="s">
        <v>74</v>
      </c>
      <c r="H950" s="1" t="s">
        <v>74</v>
      </c>
      <c r="I950" s="1" t="s">
        <v>9413</v>
      </c>
      <c r="J950" s="1" t="s">
        <v>9414</v>
      </c>
      <c r="K950" s="1" t="s">
        <v>74</v>
      </c>
      <c r="L950" s="1" t="s">
        <v>74</v>
      </c>
      <c r="M950" s="1" t="s">
        <v>74</v>
      </c>
      <c r="N950" s="1" t="s">
        <v>74</v>
      </c>
      <c r="O950" s="1" t="s">
        <v>74</v>
      </c>
      <c r="P950" s="1" t="s">
        <v>74</v>
      </c>
      <c r="Q950" s="1" t="s">
        <v>74</v>
      </c>
      <c r="R950" s="1" t="s">
        <v>74</v>
      </c>
      <c r="S950" s="1" t="s">
        <v>74</v>
      </c>
      <c r="T950" s="1" t="s">
        <v>74</v>
      </c>
      <c r="U950" s="1" t="s">
        <v>74</v>
      </c>
      <c r="V950" s="1" t="s">
        <v>9415</v>
      </c>
      <c r="W950" s="1" t="s">
        <v>74</v>
      </c>
      <c r="X950" s="1" t="s">
        <v>74</v>
      </c>
      <c r="Y950" s="1" t="s">
        <v>74</v>
      </c>
      <c r="Z950" s="1" t="s">
        <v>74</v>
      </c>
      <c r="AA950" s="1" t="s">
        <v>9416</v>
      </c>
      <c r="AB950" s="1" t="s">
        <v>74</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9417</v>
      </c>
      <c r="AP950" s="1" t="s">
        <v>9418</v>
      </c>
      <c r="AQ950" s="1" t="s">
        <v>74</v>
      </c>
      <c r="AR950" s="1" t="s">
        <v>74</v>
      </c>
      <c r="AS950" s="1" t="s">
        <v>74</v>
      </c>
      <c r="AT950" s="1" t="s">
        <v>745</v>
      </c>
      <c r="AU950" s="1">
        <v>2021.0</v>
      </c>
      <c r="AV950" s="1">
        <v>149.0</v>
      </c>
      <c r="AW950" s="1" t="s">
        <v>74</v>
      </c>
      <c r="AX950" s="1" t="s">
        <v>74</v>
      </c>
      <c r="AY950" s="1" t="s">
        <v>74</v>
      </c>
      <c r="AZ950" s="1" t="s">
        <v>74</v>
      </c>
      <c r="BA950" s="1" t="s">
        <v>74</v>
      </c>
      <c r="BB950" s="1">
        <v>1.0</v>
      </c>
      <c r="BC950" s="1">
        <v>1.0</v>
      </c>
      <c r="BD950" s="1" t="s">
        <v>74</v>
      </c>
      <c r="BE950" s="1" t="s">
        <v>9419</v>
      </c>
      <c r="BF950" s="2" t="str">
        <f>HYPERLINK("http://dx.doi.org/10.1016/j.wneu.2021.01.125","http://dx.doi.org/10.1016/j.wneu.2021.01.125")</f>
        <v>http://dx.doi.org/10.1016/j.wneu.2021.01.125</v>
      </c>
      <c r="BG950" s="1" t="s">
        <v>74</v>
      </c>
      <c r="BH950" s="1" t="s">
        <v>131</v>
      </c>
      <c r="BI950" s="1" t="s">
        <v>74</v>
      </c>
      <c r="BJ950" s="1" t="s">
        <v>74</v>
      </c>
      <c r="BK950" s="1" t="s">
        <v>74</v>
      </c>
      <c r="BL950" s="1" t="s">
        <v>74</v>
      </c>
      <c r="BM950" s="1" t="s">
        <v>74</v>
      </c>
      <c r="BN950" s="1">
        <v>3.3548526E7</v>
      </c>
      <c r="BO950" s="1" t="s">
        <v>74</v>
      </c>
      <c r="BP950" s="1" t="s">
        <v>74</v>
      </c>
      <c r="BQ950" s="1" t="s">
        <v>74</v>
      </c>
      <c r="BR950" s="1" t="s">
        <v>74</v>
      </c>
      <c r="BS950" s="1" t="s">
        <v>9420</v>
      </c>
      <c r="BT950" s="1" t="str">
        <f>HYPERLINK("https%3A%2F%2Fwww.webofscience.com%2Fwos%2Fwoscc%2Ffull-record%2FWOS:000646895900002","View Full Record in Web of Science")</f>
        <v>View Full Record in Web of Science</v>
      </c>
    </row>
    <row r="951" ht="12.75" customHeight="1">
      <c r="A951" s="1" t="s">
        <v>72</v>
      </c>
      <c r="B951" s="1" t="s">
        <v>9421</v>
      </c>
      <c r="C951" s="1" t="s">
        <v>74</v>
      </c>
      <c r="D951" s="1" t="s">
        <v>74</v>
      </c>
      <c r="E951" s="1" t="s">
        <v>74</v>
      </c>
      <c r="F951" s="1" t="s">
        <v>9422</v>
      </c>
      <c r="G951" s="1" t="s">
        <v>74</v>
      </c>
      <c r="H951" s="1" t="s">
        <v>74</v>
      </c>
      <c r="I951" s="1" t="s">
        <v>9423</v>
      </c>
      <c r="J951" s="1" t="s">
        <v>1959</v>
      </c>
      <c r="K951" s="1" t="s">
        <v>74</v>
      </c>
      <c r="L951" s="1" t="s">
        <v>74</v>
      </c>
      <c r="M951" s="1" t="s">
        <v>74</v>
      </c>
      <c r="N951" s="1" t="s">
        <v>74</v>
      </c>
      <c r="O951" s="1" t="s">
        <v>74</v>
      </c>
      <c r="P951" s="1" t="s">
        <v>74</v>
      </c>
      <c r="Q951" s="1" t="s">
        <v>74</v>
      </c>
      <c r="R951" s="1" t="s">
        <v>74</v>
      </c>
      <c r="S951" s="1" t="s">
        <v>74</v>
      </c>
      <c r="T951" s="1" t="s">
        <v>74</v>
      </c>
      <c r="U951" s="1" t="s">
        <v>74</v>
      </c>
      <c r="V951" s="1" t="s">
        <v>9424</v>
      </c>
      <c r="W951" s="1" t="s">
        <v>74</v>
      </c>
      <c r="X951" s="1" t="s">
        <v>74</v>
      </c>
      <c r="Y951" s="1" t="s">
        <v>74</v>
      </c>
      <c r="Z951" s="1" t="s">
        <v>74</v>
      </c>
      <c r="AA951" s="1" t="s">
        <v>9425</v>
      </c>
      <c r="AB951" s="1" t="s">
        <v>9426</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1963</v>
      </c>
      <c r="AP951" s="1" t="s">
        <v>74</v>
      </c>
      <c r="AQ951" s="1" t="s">
        <v>74</v>
      </c>
      <c r="AR951" s="1" t="s">
        <v>74</v>
      </c>
      <c r="AS951" s="1" t="s">
        <v>74</v>
      </c>
      <c r="AT951" s="1" t="s">
        <v>7248</v>
      </c>
      <c r="AU951" s="1">
        <v>2020.0</v>
      </c>
      <c r="AV951" s="1">
        <v>10.0</v>
      </c>
      <c r="AW951" s="1">
        <v>1.0</v>
      </c>
      <c r="AX951" s="1" t="s">
        <v>74</v>
      </c>
      <c r="AY951" s="1" t="s">
        <v>74</v>
      </c>
      <c r="AZ951" s="1" t="s">
        <v>74</v>
      </c>
      <c r="BA951" s="1" t="s">
        <v>74</v>
      </c>
      <c r="BB951" s="1" t="s">
        <v>74</v>
      </c>
      <c r="BC951" s="1" t="s">
        <v>74</v>
      </c>
      <c r="BD951" s="1">
        <v>20024.0</v>
      </c>
      <c r="BE951" s="1" t="s">
        <v>9427</v>
      </c>
      <c r="BF951" s="2" t="str">
        <f>HYPERLINK("http://dx.doi.org/10.1038/s41598-020-77074-2","http://dx.doi.org/10.1038/s41598-020-77074-2")</f>
        <v>http://dx.doi.org/10.1038/s41598-020-77074-2</v>
      </c>
      <c r="BG951" s="1" t="s">
        <v>74</v>
      </c>
      <c r="BH951" s="1" t="s">
        <v>74</v>
      </c>
      <c r="BI951" s="1" t="s">
        <v>74</v>
      </c>
      <c r="BJ951" s="1" t="s">
        <v>74</v>
      </c>
      <c r="BK951" s="1" t="s">
        <v>74</v>
      </c>
      <c r="BL951" s="1" t="s">
        <v>74</v>
      </c>
      <c r="BM951" s="1" t="s">
        <v>74</v>
      </c>
      <c r="BN951" s="1">
        <v>3.3208879E7</v>
      </c>
      <c r="BO951" s="1" t="s">
        <v>74</v>
      </c>
      <c r="BP951" s="1" t="s">
        <v>74</v>
      </c>
      <c r="BQ951" s="1" t="s">
        <v>74</v>
      </c>
      <c r="BR951" s="1" t="s">
        <v>74</v>
      </c>
      <c r="BS951" s="1" t="s">
        <v>9428</v>
      </c>
      <c r="BT951" s="1" t="str">
        <f>HYPERLINK("https%3A%2F%2Fwww.webofscience.com%2Fwos%2Fwoscc%2Ffull-record%2FWOS:000595719100009","View Full Record in Web of Science")</f>
        <v>View Full Record in Web of Science</v>
      </c>
    </row>
    <row r="952" ht="12.75" customHeight="1">
      <c r="A952" s="1" t="s">
        <v>72</v>
      </c>
      <c r="B952" s="1" t="s">
        <v>9429</v>
      </c>
      <c r="C952" s="1" t="s">
        <v>74</v>
      </c>
      <c r="D952" s="1" t="s">
        <v>74</v>
      </c>
      <c r="E952" s="1" t="s">
        <v>74</v>
      </c>
      <c r="F952" s="1" t="s">
        <v>9430</v>
      </c>
      <c r="G952" s="1" t="s">
        <v>74</v>
      </c>
      <c r="H952" s="1" t="s">
        <v>74</v>
      </c>
      <c r="I952" s="1" t="s">
        <v>9431</v>
      </c>
      <c r="J952" s="1" t="s">
        <v>9432</v>
      </c>
      <c r="K952" s="1" t="s">
        <v>74</v>
      </c>
      <c r="L952" s="1" t="s">
        <v>74</v>
      </c>
      <c r="M952" s="1" t="s">
        <v>74</v>
      </c>
      <c r="N952" s="1" t="s">
        <v>74</v>
      </c>
      <c r="O952" s="1" t="s">
        <v>74</v>
      </c>
      <c r="P952" s="1" t="s">
        <v>74</v>
      </c>
      <c r="Q952" s="1" t="s">
        <v>74</v>
      </c>
      <c r="R952" s="1" t="s">
        <v>74</v>
      </c>
      <c r="S952" s="1" t="s">
        <v>74</v>
      </c>
      <c r="T952" s="1" t="s">
        <v>74</v>
      </c>
      <c r="U952" s="1" t="s">
        <v>74</v>
      </c>
      <c r="V952" s="1" t="s">
        <v>9433</v>
      </c>
      <c r="W952" s="1" t="s">
        <v>74</v>
      </c>
      <c r="X952" s="1" t="s">
        <v>74</v>
      </c>
      <c r="Y952" s="1" t="s">
        <v>74</v>
      </c>
      <c r="Z952" s="1" t="s">
        <v>74</v>
      </c>
      <c r="AA952" s="1" t="s">
        <v>9434</v>
      </c>
      <c r="AB952" s="1" t="s">
        <v>74</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9435</v>
      </c>
      <c r="AP952" s="1" t="s">
        <v>9436</v>
      </c>
      <c r="AQ952" s="1" t="s">
        <v>74</v>
      </c>
      <c r="AR952" s="1" t="s">
        <v>74</v>
      </c>
      <c r="AS952" s="1" t="s">
        <v>74</v>
      </c>
      <c r="AT952" s="1" t="s">
        <v>745</v>
      </c>
      <c r="AU952" s="1">
        <v>2020.0</v>
      </c>
      <c r="AV952" s="1">
        <v>318.0</v>
      </c>
      <c r="AW952" s="1">
        <v>5.0</v>
      </c>
      <c r="AX952" s="1" t="s">
        <v>74</v>
      </c>
      <c r="AY952" s="1" t="s">
        <v>74</v>
      </c>
      <c r="AZ952" s="1" t="s">
        <v>74</v>
      </c>
      <c r="BA952" s="1" t="s">
        <v>74</v>
      </c>
      <c r="BB952" s="1" t="s">
        <v>9437</v>
      </c>
      <c r="BC952" s="1" t="s">
        <v>9438</v>
      </c>
      <c r="BD952" s="1" t="s">
        <v>74</v>
      </c>
      <c r="BE952" s="1" t="s">
        <v>9439</v>
      </c>
      <c r="BF952" s="2" t="str">
        <f>HYPERLINK("http://dx.doi.org/10.1152/ajpheart.00451.2019","http://dx.doi.org/10.1152/ajpheart.00451.2019")</f>
        <v>http://dx.doi.org/10.1152/ajpheart.00451.2019</v>
      </c>
      <c r="BG952" s="1" t="s">
        <v>74</v>
      </c>
      <c r="BH952" s="1" t="s">
        <v>74</v>
      </c>
      <c r="BI952" s="1" t="s">
        <v>74</v>
      </c>
      <c r="BJ952" s="1" t="s">
        <v>74</v>
      </c>
      <c r="BK952" s="1" t="s">
        <v>74</v>
      </c>
      <c r="BL952" s="1" t="s">
        <v>74</v>
      </c>
      <c r="BM952" s="1" t="s">
        <v>74</v>
      </c>
      <c r="BN952" s="1">
        <v>3.2330089E7</v>
      </c>
      <c r="BO952" s="1" t="s">
        <v>74</v>
      </c>
      <c r="BP952" s="1" t="s">
        <v>74</v>
      </c>
      <c r="BQ952" s="1" t="s">
        <v>74</v>
      </c>
      <c r="BR952" s="1" t="s">
        <v>74</v>
      </c>
      <c r="BS952" s="1" t="s">
        <v>9440</v>
      </c>
      <c r="BT952" s="1" t="str">
        <f>HYPERLINK("https%3A%2F%2Fwww.webofscience.com%2Fwos%2Fwoscc%2Ffull-record%2FWOS:000532579000028","View Full Record in Web of Science")</f>
        <v>View Full Record in Web of Science</v>
      </c>
    </row>
    <row r="953" ht="12.75" customHeight="1">
      <c r="A953" s="1" t="s">
        <v>72</v>
      </c>
      <c r="B953" s="1" t="s">
        <v>9441</v>
      </c>
      <c r="C953" s="1" t="s">
        <v>74</v>
      </c>
      <c r="D953" s="1" t="s">
        <v>74</v>
      </c>
      <c r="E953" s="1" t="s">
        <v>74</v>
      </c>
      <c r="F953" s="1" t="s">
        <v>9442</v>
      </c>
      <c r="G953" s="1" t="s">
        <v>74</v>
      </c>
      <c r="H953" s="1" t="s">
        <v>74</v>
      </c>
      <c r="I953" s="1" t="s">
        <v>9443</v>
      </c>
      <c r="J953" s="1" t="s">
        <v>665</v>
      </c>
      <c r="K953" s="1" t="s">
        <v>74</v>
      </c>
      <c r="L953" s="1" t="s">
        <v>74</v>
      </c>
      <c r="M953" s="1" t="s">
        <v>74</v>
      </c>
      <c r="N953" s="1" t="s">
        <v>74</v>
      </c>
      <c r="O953" s="1" t="s">
        <v>74</v>
      </c>
      <c r="P953" s="1" t="s">
        <v>74</v>
      </c>
      <c r="Q953" s="1" t="s">
        <v>74</v>
      </c>
      <c r="R953" s="1" t="s">
        <v>74</v>
      </c>
      <c r="S953" s="1" t="s">
        <v>74</v>
      </c>
      <c r="T953" s="1" t="s">
        <v>74</v>
      </c>
      <c r="U953" s="1" t="s">
        <v>74</v>
      </c>
      <c r="V953" s="1" t="s">
        <v>9444</v>
      </c>
      <c r="W953" s="1" t="s">
        <v>74</v>
      </c>
      <c r="X953" s="1" t="s">
        <v>74</v>
      </c>
      <c r="Y953" s="1" t="s">
        <v>74</v>
      </c>
      <c r="Z953" s="1" t="s">
        <v>74</v>
      </c>
      <c r="AA953" s="1" t="s">
        <v>9445</v>
      </c>
      <c r="AB953" s="1" t="s">
        <v>9446</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74</v>
      </c>
      <c r="AP953" s="1" t="s">
        <v>669</v>
      </c>
      <c r="AQ953" s="1" t="s">
        <v>74</v>
      </c>
      <c r="AR953" s="1" t="s">
        <v>74</v>
      </c>
      <c r="AS953" s="1" t="s">
        <v>74</v>
      </c>
      <c r="AT953" s="1" t="s">
        <v>164</v>
      </c>
      <c r="AU953" s="1">
        <v>2019.0</v>
      </c>
      <c r="AV953" s="1">
        <v>24.0</v>
      </c>
      <c r="AW953" s="1">
        <v>23.0</v>
      </c>
      <c r="AX953" s="1" t="s">
        <v>74</v>
      </c>
      <c r="AY953" s="1" t="s">
        <v>74</v>
      </c>
      <c r="AZ953" s="1" t="s">
        <v>74</v>
      </c>
      <c r="BA953" s="1" t="s">
        <v>74</v>
      </c>
      <c r="BB953" s="1" t="s">
        <v>74</v>
      </c>
      <c r="BC953" s="1" t="s">
        <v>74</v>
      </c>
      <c r="BD953" s="1">
        <v>4378.0</v>
      </c>
      <c r="BE953" s="1" t="s">
        <v>9447</v>
      </c>
      <c r="BF953" s="2" t="str">
        <f>HYPERLINK("http://dx.doi.org/10.3390/molecules24234378","http://dx.doi.org/10.3390/molecules24234378")</f>
        <v>http://dx.doi.org/10.3390/molecules24234378</v>
      </c>
      <c r="BG953" s="1" t="s">
        <v>74</v>
      </c>
      <c r="BH953" s="1" t="s">
        <v>74</v>
      </c>
      <c r="BI953" s="1" t="s">
        <v>74</v>
      </c>
      <c r="BJ953" s="1" t="s">
        <v>74</v>
      </c>
      <c r="BK953" s="1" t="s">
        <v>74</v>
      </c>
      <c r="BL953" s="1" t="s">
        <v>74</v>
      </c>
      <c r="BM953" s="1" t="s">
        <v>74</v>
      </c>
      <c r="BN953" s="1">
        <v>3.180119E7</v>
      </c>
      <c r="BO953" s="1" t="s">
        <v>74</v>
      </c>
      <c r="BP953" s="1" t="s">
        <v>74</v>
      </c>
      <c r="BQ953" s="1" t="s">
        <v>74</v>
      </c>
      <c r="BR953" s="1" t="s">
        <v>74</v>
      </c>
      <c r="BS953" s="1" t="s">
        <v>9448</v>
      </c>
      <c r="BT953" s="1" t="str">
        <f>HYPERLINK("https%3A%2F%2Fwww.webofscience.com%2Fwos%2Fwoscc%2Ffull-record%2FWOS:000507294400177","View Full Record in Web of Science")</f>
        <v>View Full Record in Web of Science</v>
      </c>
    </row>
    <row r="954" ht="12.75" customHeight="1">
      <c r="A954" s="1" t="s">
        <v>72</v>
      </c>
      <c r="B954" s="1" t="s">
        <v>9449</v>
      </c>
      <c r="C954" s="1" t="s">
        <v>74</v>
      </c>
      <c r="D954" s="1" t="s">
        <v>74</v>
      </c>
      <c r="E954" s="1" t="s">
        <v>74</v>
      </c>
      <c r="F954" s="1" t="s">
        <v>9450</v>
      </c>
      <c r="G954" s="1" t="s">
        <v>74</v>
      </c>
      <c r="H954" s="1" t="s">
        <v>74</v>
      </c>
      <c r="I954" s="1" t="s">
        <v>9451</v>
      </c>
      <c r="J954" s="1" t="s">
        <v>9452</v>
      </c>
      <c r="K954" s="1" t="s">
        <v>74</v>
      </c>
      <c r="L954" s="1" t="s">
        <v>74</v>
      </c>
      <c r="M954" s="1" t="s">
        <v>74</v>
      </c>
      <c r="N954" s="1" t="s">
        <v>74</v>
      </c>
      <c r="O954" s="1" t="s">
        <v>74</v>
      </c>
      <c r="P954" s="1" t="s">
        <v>74</v>
      </c>
      <c r="Q954" s="1" t="s">
        <v>74</v>
      </c>
      <c r="R954" s="1" t="s">
        <v>74</v>
      </c>
      <c r="S954" s="1" t="s">
        <v>74</v>
      </c>
      <c r="T954" s="1" t="s">
        <v>74</v>
      </c>
      <c r="U954" s="1" t="s">
        <v>74</v>
      </c>
      <c r="V954" s="1" t="s">
        <v>9453</v>
      </c>
      <c r="W954" s="1" t="s">
        <v>74</v>
      </c>
      <c r="X954" s="1" t="s">
        <v>74</v>
      </c>
      <c r="Y954" s="1" t="s">
        <v>74</v>
      </c>
      <c r="Z954" s="1" t="s">
        <v>74</v>
      </c>
      <c r="AA954" s="1" t="s">
        <v>9454</v>
      </c>
      <c r="AB954" s="1" t="s">
        <v>9455</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9456</v>
      </c>
      <c r="AP954" s="1" t="s">
        <v>9457</v>
      </c>
      <c r="AQ954" s="1" t="s">
        <v>74</v>
      </c>
      <c r="AR954" s="1" t="s">
        <v>74</v>
      </c>
      <c r="AS954" s="1" t="s">
        <v>74</v>
      </c>
      <c r="AT954" s="1" t="s">
        <v>94</v>
      </c>
      <c r="AU954" s="1">
        <v>2018.0</v>
      </c>
      <c r="AV954" s="1">
        <v>3.0</v>
      </c>
      <c r="AW954" s="1">
        <v>2.0</v>
      </c>
      <c r="AX954" s="1" t="s">
        <v>74</v>
      </c>
      <c r="AY954" s="1" t="s">
        <v>74</v>
      </c>
      <c r="AZ954" s="1" t="s">
        <v>74</v>
      </c>
      <c r="BA954" s="1" t="s">
        <v>74</v>
      </c>
      <c r="BB954" s="1">
        <v>145.0</v>
      </c>
      <c r="BC954" s="1">
        <v>150.0</v>
      </c>
      <c r="BD954" s="1" t="s">
        <v>74</v>
      </c>
      <c r="BE954" s="1" t="s">
        <v>9458</v>
      </c>
      <c r="BF954" s="2" t="str">
        <f>HYPERLINK("http://dx.doi.org/10.1016/j.jsamd.2018.03.008","http://dx.doi.org/10.1016/j.jsamd.2018.03.008")</f>
        <v>http://dx.doi.org/10.1016/j.jsamd.2018.03.008</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9459</v>
      </c>
      <c r="BT954" s="1" t="str">
        <f>HYPERLINK("https%3A%2F%2Fwww.webofscience.com%2Fwos%2Fwoscc%2Ffull-record%2FWOS:000437216800003","View Full Record in Web of Science")</f>
        <v>View Full Record in Web of Science</v>
      </c>
    </row>
    <row r="955" ht="12.75" customHeight="1">
      <c r="A955" s="1" t="s">
        <v>748</v>
      </c>
      <c r="B955" s="1" t="s">
        <v>9460</v>
      </c>
      <c r="C955" s="1" t="s">
        <v>74</v>
      </c>
      <c r="D955" s="1" t="s">
        <v>9461</v>
      </c>
      <c r="E955" s="1" t="s">
        <v>74</v>
      </c>
      <c r="F955" s="1" t="s">
        <v>9462</v>
      </c>
      <c r="G955" s="1" t="s">
        <v>74</v>
      </c>
      <c r="H955" s="1" t="s">
        <v>74</v>
      </c>
      <c r="I955" s="1" t="s">
        <v>9463</v>
      </c>
      <c r="J955" s="1" t="s">
        <v>9464</v>
      </c>
      <c r="K955" s="1" t="s">
        <v>9465</v>
      </c>
      <c r="L955" s="1" t="s">
        <v>74</v>
      </c>
      <c r="M955" s="1" t="s">
        <v>74</v>
      </c>
      <c r="N955" s="1" t="s">
        <v>74</v>
      </c>
      <c r="O955" s="1" t="s">
        <v>74</v>
      </c>
      <c r="P955" s="1" t="s">
        <v>74</v>
      </c>
      <c r="Q955" s="1" t="s">
        <v>74</v>
      </c>
      <c r="R955" s="1" t="s">
        <v>74</v>
      </c>
      <c r="S955" s="1" t="s">
        <v>74</v>
      </c>
      <c r="T955" s="1" t="s">
        <v>74</v>
      </c>
      <c r="U955" s="1" t="s">
        <v>74</v>
      </c>
      <c r="V955" s="1" t="s">
        <v>9466</v>
      </c>
      <c r="W955" s="1" t="s">
        <v>74</v>
      </c>
      <c r="X955" s="1" t="s">
        <v>74</v>
      </c>
      <c r="Y955" s="1" t="s">
        <v>74</v>
      </c>
      <c r="Z955" s="1" t="s">
        <v>74</v>
      </c>
      <c r="AA955" s="1" t="s">
        <v>9467</v>
      </c>
      <c r="AB955" s="1" t="s">
        <v>74</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74</v>
      </c>
      <c r="AP955" s="1" t="s">
        <v>74</v>
      </c>
      <c r="AQ955" s="1" t="s">
        <v>9468</v>
      </c>
      <c r="AR955" s="1" t="s">
        <v>74</v>
      </c>
      <c r="AS955" s="1" t="s">
        <v>74</v>
      </c>
      <c r="AT955" s="1" t="s">
        <v>74</v>
      </c>
      <c r="AU955" s="1">
        <v>2018.0</v>
      </c>
      <c r="AV955" s="1" t="s">
        <v>74</v>
      </c>
      <c r="AW955" s="1" t="s">
        <v>74</v>
      </c>
      <c r="AX955" s="1" t="s">
        <v>74</v>
      </c>
      <c r="AY955" s="1" t="s">
        <v>74</v>
      </c>
      <c r="AZ955" s="1" t="s">
        <v>74</v>
      </c>
      <c r="BA955" s="1" t="s">
        <v>74</v>
      </c>
      <c r="BB955" s="1">
        <v>317.0</v>
      </c>
      <c r="BC955" s="1">
        <v>330.0</v>
      </c>
      <c r="BD955" s="1" t="s">
        <v>74</v>
      </c>
      <c r="BE955" s="1" t="s">
        <v>9469</v>
      </c>
      <c r="BF955" s="2" t="str">
        <f>HYPERLINK("http://dx.doi.org/10.1007/978-3-319-74820-7_16","http://dx.doi.org/10.1007/978-3-319-74820-7_16")</f>
        <v>http://dx.doi.org/10.1007/978-3-319-74820-7_16</v>
      </c>
      <c r="BG955" s="1" t="s">
        <v>9470</v>
      </c>
      <c r="BH955" s="1" t="s">
        <v>74</v>
      </c>
      <c r="BI955" s="1" t="s">
        <v>74</v>
      </c>
      <c r="BJ955" s="1" t="s">
        <v>74</v>
      </c>
      <c r="BK955" s="1" t="s">
        <v>74</v>
      </c>
      <c r="BL955" s="1" t="s">
        <v>74</v>
      </c>
      <c r="BM955" s="1" t="s">
        <v>74</v>
      </c>
      <c r="BN955" s="1" t="s">
        <v>74</v>
      </c>
      <c r="BO955" s="1" t="s">
        <v>74</v>
      </c>
      <c r="BP955" s="1" t="s">
        <v>74</v>
      </c>
      <c r="BQ955" s="1" t="s">
        <v>74</v>
      </c>
      <c r="BR955" s="1" t="s">
        <v>74</v>
      </c>
      <c r="BS955" s="1" t="s">
        <v>9471</v>
      </c>
      <c r="BT955" s="1" t="str">
        <f>HYPERLINK("https%3A%2F%2Fwww.webofscience.com%2Fwos%2Fwoscc%2Ffull-record%2FWOS:000449846200016","View Full Record in Web of Science")</f>
        <v>View Full Record in Web of Science</v>
      </c>
    </row>
    <row r="956" ht="12.75" customHeight="1">
      <c r="A956" s="1" t="s">
        <v>72</v>
      </c>
      <c r="B956" s="1" t="s">
        <v>9472</v>
      </c>
      <c r="C956" s="1" t="s">
        <v>74</v>
      </c>
      <c r="D956" s="1" t="s">
        <v>74</v>
      </c>
      <c r="E956" s="1" t="s">
        <v>74</v>
      </c>
      <c r="F956" s="1" t="s">
        <v>9473</v>
      </c>
      <c r="G956" s="1" t="s">
        <v>74</v>
      </c>
      <c r="H956" s="1" t="s">
        <v>74</v>
      </c>
      <c r="I956" s="1" t="s">
        <v>9474</v>
      </c>
      <c r="J956" s="1" t="s">
        <v>9475</v>
      </c>
      <c r="K956" s="1" t="s">
        <v>74</v>
      </c>
      <c r="L956" s="1" t="s">
        <v>74</v>
      </c>
      <c r="M956" s="1" t="s">
        <v>74</v>
      </c>
      <c r="N956" s="1" t="s">
        <v>74</v>
      </c>
      <c r="O956" s="1" t="s">
        <v>74</v>
      </c>
      <c r="P956" s="1" t="s">
        <v>74</v>
      </c>
      <c r="Q956" s="1" t="s">
        <v>74</v>
      </c>
      <c r="R956" s="1" t="s">
        <v>74</v>
      </c>
      <c r="S956" s="1" t="s">
        <v>74</v>
      </c>
      <c r="T956" s="1" t="s">
        <v>74</v>
      </c>
      <c r="U956" s="1" t="s">
        <v>74</v>
      </c>
      <c r="V956" s="1" t="s">
        <v>9476</v>
      </c>
      <c r="W956" s="1" t="s">
        <v>74</v>
      </c>
      <c r="X956" s="1" t="s">
        <v>74</v>
      </c>
      <c r="Y956" s="1" t="s">
        <v>74</v>
      </c>
      <c r="Z956" s="1" t="s">
        <v>74</v>
      </c>
      <c r="AA956" s="1" t="s">
        <v>6622</v>
      </c>
      <c r="AB956" s="1" t="s">
        <v>6623</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9477</v>
      </c>
      <c r="AP956" s="1" t="s">
        <v>9478</v>
      </c>
      <c r="AQ956" s="1" t="s">
        <v>74</v>
      </c>
      <c r="AR956" s="1" t="s">
        <v>74</v>
      </c>
      <c r="AS956" s="1" t="s">
        <v>74</v>
      </c>
      <c r="AT956" s="1" t="s">
        <v>1106</v>
      </c>
      <c r="AU956" s="1">
        <v>2018.0</v>
      </c>
      <c r="AV956" s="1">
        <v>126.0</v>
      </c>
      <c r="AW956" s="1" t="s">
        <v>74</v>
      </c>
      <c r="AX956" s="1" t="s">
        <v>74</v>
      </c>
      <c r="AY956" s="1" t="s">
        <v>74</v>
      </c>
      <c r="AZ956" s="1" t="s">
        <v>74</v>
      </c>
      <c r="BA956" s="1" t="s">
        <v>74</v>
      </c>
      <c r="BB956" s="1">
        <v>21.0</v>
      </c>
      <c r="BC956" s="1">
        <v>27.0</v>
      </c>
      <c r="BD956" s="1" t="s">
        <v>74</v>
      </c>
      <c r="BE956" s="1" t="s">
        <v>9479</v>
      </c>
      <c r="BF956" s="2" t="str">
        <f>HYPERLINK("http://dx.doi.org/10.1016/j.ibiod.2017.09.023","http://dx.doi.org/10.1016/j.ibiod.2017.09.023")</f>
        <v>http://dx.doi.org/10.1016/j.ibiod.2017.09.023</v>
      </c>
      <c r="BG956" s="1" t="s">
        <v>74</v>
      </c>
      <c r="BH956" s="1" t="s">
        <v>74</v>
      </c>
      <c r="BI956" s="1" t="s">
        <v>74</v>
      </c>
      <c r="BJ956" s="1" t="s">
        <v>74</v>
      </c>
      <c r="BK956" s="1" t="s">
        <v>74</v>
      </c>
      <c r="BL956" s="1" t="s">
        <v>74</v>
      </c>
      <c r="BM956" s="1" t="s">
        <v>74</v>
      </c>
      <c r="BN956" s="1" t="s">
        <v>74</v>
      </c>
      <c r="BO956" s="1" t="s">
        <v>74</v>
      </c>
      <c r="BP956" s="1" t="s">
        <v>74</v>
      </c>
      <c r="BQ956" s="1" t="s">
        <v>74</v>
      </c>
      <c r="BR956" s="1" t="s">
        <v>74</v>
      </c>
      <c r="BS956" s="1" t="s">
        <v>9480</v>
      </c>
      <c r="BT956" s="1" t="str">
        <f>HYPERLINK("https%3A%2F%2Fwww.webofscience.com%2Fwos%2Fwoscc%2Ffull-record%2FWOS:000418981900003","View Full Record in Web of Science")</f>
        <v>View Full Record in Web of Science</v>
      </c>
    </row>
    <row r="957" ht="12.75" customHeight="1">
      <c r="A957" s="1" t="s">
        <v>72</v>
      </c>
      <c r="B957" s="1" t="s">
        <v>9481</v>
      </c>
      <c r="C957" s="1" t="s">
        <v>74</v>
      </c>
      <c r="D957" s="1" t="s">
        <v>74</v>
      </c>
      <c r="E957" s="1" t="s">
        <v>74</v>
      </c>
      <c r="F957" s="1" t="s">
        <v>9482</v>
      </c>
      <c r="G957" s="1" t="s">
        <v>74</v>
      </c>
      <c r="H957" s="1" t="s">
        <v>74</v>
      </c>
      <c r="I957" s="1" t="s">
        <v>9483</v>
      </c>
      <c r="J957" s="1" t="s">
        <v>8925</v>
      </c>
      <c r="K957" s="1" t="s">
        <v>74</v>
      </c>
      <c r="L957" s="1" t="s">
        <v>74</v>
      </c>
      <c r="M957" s="1" t="s">
        <v>74</v>
      </c>
      <c r="N957" s="1" t="s">
        <v>74</v>
      </c>
      <c r="O957" s="1" t="s">
        <v>74</v>
      </c>
      <c r="P957" s="1" t="s">
        <v>74</v>
      </c>
      <c r="Q957" s="1" t="s">
        <v>74</v>
      </c>
      <c r="R957" s="1" t="s">
        <v>74</v>
      </c>
      <c r="S957" s="1" t="s">
        <v>74</v>
      </c>
      <c r="T957" s="1" t="s">
        <v>74</v>
      </c>
      <c r="U957" s="1" t="s">
        <v>74</v>
      </c>
      <c r="V957" s="1" t="s">
        <v>9484</v>
      </c>
      <c r="W957" s="1" t="s">
        <v>74</v>
      </c>
      <c r="X957" s="1" t="s">
        <v>74</v>
      </c>
      <c r="Y957" s="1" t="s">
        <v>74</v>
      </c>
      <c r="Z957" s="1" t="s">
        <v>74</v>
      </c>
      <c r="AA957" s="1" t="s">
        <v>9485</v>
      </c>
      <c r="AB957" s="1" t="s">
        <v>555</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8929</v>
      </c>
      <c r="AP957" s="1" t="s">
        <v>8930</v>
      </c>
      <c r="AQ957" s="1" t="s">
        <v>74</v>
      </c>
      <c r="AR957" s="1" t="s">
        <v>74</v>
      </c>
      <c r="AS957" s="1" t="s">
        <v>74</v>
      </c>
      <c r="AT957" s="1" t="s">
        <v>4906</v>
      </c>
      <c r="AU957" s="1">
        <v>2017.0</v>
      </c>
      <c r="AV957" s="1">
        <v>134.0</v>
      </c>
      <c r="AW957" s="1">
        <v>39.0</v>
      </c>
      <c r="AX957" s="1" t="s">
        <v>74</v>
      </c>
      <c r="AY957" s="1" t="s">
        <v>74</v>
      </c>
      <c r="AZ957" s="1" t="s">
        <v>74</v>
      </c>
      <c r="BA957" s="1" t="s">
        <v>74</v>
      </c>
      <c r="BB957" s="1" t="s">
        <v>74</v>
      </c>
      <c r="BC957" s="1" t="s">
        <v>74</v>
      </c>
      <c r="BD957" s="1">
        <v>45355.0</v>
      </c>
      <c r="BE957" s="1" t="s">
        <v>9486</v>
      </c>
      <c r="BF957" s="2" t="str">
        <f>HYPERLINK("http://dx.doi.org/10.1002/app.45355","http://dx.doi.org/10.1002/app.45355")</f>
        <v>http://dx.doi.org/10.1002/app.45355</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9487</v>
      </c>
      <c r="BT957" s="1" t="str">
        <f>HYPERLINK("https%3A%2F%2Fwww.webofscience.com%2Fwos%2Fwoscc%2Ffull-record%2FWOS:000405633000020","View Full Record in Web of Science")</f>
        <v>View Full Record in Web of Science</v>
      </c>
    </row>
    <row r="958" ht="12.75" customHeight="1">
      <c r="A958" s="1" t="s">
        <v>72</v>
      </c>
      <c r="B958" s="1" t="s">
        <v>9488</v>
      </c>
      <c r="C958" s="1" t="s">
        <v>74</v>
      </c>
      <c r="D958" s="1" t="s">
        <v>74</v>
      </c>
      <c r="E958" s="1" t="s">
        <v>74</v>
      </c>
      <c r="F958" s="1" t="s">
        <v>9489</v>
      </c>
      <c r="G958" s="1" t="s">
        <v>74</v>
      </c>
      <c r="H958" s="1" t="s">
        <v>74</v>
      </c>
      <c r="I958" s="1" t="s">
        <v>9490</v>
      </c>
      <c r="J958" s="1" t="s">
        <v>9491</v>
      </c>
      <c r="K958" s="1" t="s">
        <v>74</v>
      </c>
      <c r="L958" s="1" t="s">
        <v>74</v>
      </c>
      <c r="M958" s="1" t="s">
        <v>74</v>
      </c>
      <c r="N958" s="1" t="s">
        <v>74</v>
      </c>
      <c r="O958" s="1" t="s">
        <v>74</v>
      </c>
      <c r="P958" s="1" t="s">
        <v>74</v>
      </c>
      <c r="Q958" s="1" t="s">
        <v>74</v>
      </c>
      <c r="R958" s="1" t="s">
        <v>74</v>
      </c>
      <c r="S958" s="1" t="s">
        <v>74</v>
      </c>
      <c r="T958" s="1" t="s">
        <v>74</v>
      </c>
      <c r="U958" s="1" t="s">
        <v>74</v>
      </c>
      <c r="V958" s="1" t="s">
        <v>9492</v>
      </c>
      <c r="W958" s="1" t="s">
        <v>74</v>
      </c>
      <c r="X958" s="1" t="s">
        <v>74</v>
      </c>
      <c r="Y958" s="1" t="s">
        <v>74</v>
      </c>
      <c r="Z958" s="1" t="s">
        <v>74</v>
      </c>
      <c r="AA958" s="1" t="s">
        <v>9493</v>
      </c>
      <c r="AB958" s="1" t="s">
        <v>9494</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9495</v>
      </c>
      <c r="AP958" s="1" t="s">
        <v>9496</v>
      </c>
      <c r="AQ958" s="1" t="s">
        <v>74</v>
      </c>
      <c r="AR958" s="1" t="s">
        <v>74</v>
      </c>
      <c r="AS958" s="1" t="s">
        <v>74</v>
      </c>
      <c r="AT958" s="1" t="s">
        <v>82</v>
      </c>
      <c r="AU958" s="1">
        <v>2017.0</v>
      </c>
      <c r="AV958" s="1">
        <v>119.0</v>
      </c>
      <c r="AW958" s="1">
        <v>10.0</v>
      </c>
      <c r="AX958" s="1" t="s">
        <v>74</v>
      </c>
      <c r="AY958" s="1" t="s">
        <v>74</v>
      </c>
      <c r="AZ958" s="1" t="s">
        <v>74</v>
      </c>
      <c r="BA958" s="1" t="s">
        <v>74</v>
      </c>
      <c r="BB958" s="1" t="s">
        <v>74</v>
      </c>
      <c r="BC958" s="1" t="s">
        <v>74</v>
      </c>
      <c r="BD958" s="1">
        <v>1700041.0</v>
      </c>
      <c r="BE958" s="1" t="s">
        <v>9497</v>
      </c>
      <c r="BF958" s="2" t="str">
        <f>HYPERLINK("http://dx.doi.org/10.1002/ejlt.201700041","http://dx.doi.org/10.1002/ejlt.201700041")</f>
        <v>http://dx.doi.org/10.1002/ejlt.201700041</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9498</v>
      </c>
      <c r="BT958" s="1" t="str">
        <f>HYPERLINK("https%3A%2F%2Fwww.webofscience.com%2Fwos%2Fwoscc%2Ffull-record%2FWOS:000412122500021","View Full Record in Web of Science")</f>
        <v>View Full Record in Web of Science</v>
      </c>
    </row>
    <row r="959" ht="12.75" customHeight="1">
      <c r="A959" s="1" t="s">
        <v>72</v>
      </c>
      <c r="B959" s="1" t="s">
        <v>9499</v>
      </c>
      <c r="C959" s="1" t="s">
        <v>74</v>
      </c>
      <c r="D959" s="1" t="s">
        <v>74</v>
      </c>
      <c r="E959" s="1" t="s">
        <v>74</v>
      </c>
      <c r="F959" s="1" t="s">
        <v>9500</v>
      </c>
      <c r="G959" s="1" t="s">
        <v>74</v>
      </c>
      <c r="H959" s="1" t="s">
        <v>74</v>
      </c>
      <c r="I959" s="1" t="s">
        <v>9501</v>
      </c>
      <c r="J959" s="1" t="s">
        <v>9502</v>
      </c>
      <c r="K959" s="1" t="s">
        <v>74</v>
      </c>
      <c r="L959" s="1" t="s">
        <v>74</v>
      </c>
      <c r="M959" s="1" t="s">
        <v>74</v>
      </c>
      <c r="N959" s="1" t="s">
        <v>74</v>
      </c>
      <c r="O959" s="1" t="s">
        <v>74</v>
      </c>
      <c r="P959" s="1" t="s">
        <v>74</v>
      </c>
      <c r="Q959" s="1" t="s">
        <v>74</v>
      </c>
      <c r="R959" s="1" t="s">
        <v>74</v>
      </c>
      <c r="S959" s="1" t="s">
        <v>74</v>
      </c>
      <c r="T959" s="1" t="s">
        <v>74</v>
      </c>
      <c r="U959" s="1" t="s">
        <v>74</v>
      </c>
      <c r="V959" s="1" t="s">
        <v>9503</v>
      </c>
      <c r="W959" s="1" t="s">
        <v>74</v>
      </c>
      <c r="X959" s="1" t="s">
        <v>74</v>
      </c>
      <c r="Y959" s="1" t="s">
        <v>74</v>
      </c>
      <c r="Z959" s="1" t="s">
        <v>74</v>
      </c>
      <c r="AA959" s="1" t="s">
        <v>9504</v>
      </c>
      <c r="AB959" s="1" t="s">
        <v>9505</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9506</v>
      </c>
      <c r="AP959" s="1" t="s">
        <v>9507</v>
      </c>
      <c r="AQ959" s="1" t="s">
        <v>74</v>
      </c>
      <c r="AR959" s="1" t="s">
        <v>74</v>
      </c>
      <c r="AS959" s="1" t="s">
        <v>74</v>
      </c>
      <c r="AT959" s="1" t="s">
        <v>177</v>
      </c>
      <c r="AU959" s="1">
        <v>2017.0</v>
      </c>
      <c r="AV959" s="1">
        <v>123.0</v>
      </c>
      <c r="AW959" s="1" t="s">
        <v>74</v>
      </c>
      <c r="AX959" s="1" t="s">
        <v>74</v>
      </c>
      <c r="AY959" s="1" t="s">
        <v>74</v>
      </c>
      <c r="AZ959" s="1" t="s">
        <v>74</v>
      </c>
      <c r="BA959" s="1" t="s">
        <v>74</v>
      </c>
      <c r="BB959" s="1">
        <v>1.0</v>
      </c>
      <c r="BC959" s="1">
        <v>7.0</v>
      </c>
      <c r="BD959" s="1" t="s">
        <v>74</v>
      </c>
      <c r="BE959" s="1" t="s">
        <v>9508</v>
      </c>
      <c r="BF959" s="2" t="str">
        <f>HYPERLINK("http://dx.doi.org/10.1016/j.ip1.2017.02.007","http://dx.doi.org/10.1016/j.ip1.2017.02.007")</f>
        <v>http://dx.doi.org/10.1016/j.ip1.2017.02.007</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9509</v>
      </c>
      <c r="BT959" s="1" t="str">
        <f>HYPERLINK("https%3A%2F%2Fwww.webofscience.com%2Fwos%2Fwoscc%2Ffull-record%2FWOS:000400878300001","View Full Record in Web of Science")</f>
        <v>View Full Record in Web of Science</v>
      </c>
    </row>
    <row r="960" ht="12.75" customHeight="1">
      <c r="A960" s="1" t="s">
        <v>207</v>
      </c>
      <c r="B960" s="1" t="s">
        <v>9510</v>
      </c>
      <c r="C960" s="1" t="s">
        <v>74</v>
      </c>
      <c r="D960" s="1" t="s">
        <v>9511</v>
      </c>
      <c r="E960" s="1" t="s">
        <v>74</v>
      </c>
      <c r="F960" s="1" t="s">
        <v>9512</v>
      </c>
      <c r="G960" s="1" t="s">
        <v>74</v>
      </c>
      <c r="H960" s="1" t="s">
        <v>74</v>
      </c>
      <c r="I960" s="1" t="s">
        <v>9513</v>
      </c>
      <c r="J960" s="1" t="s">
        <v>9514</v>
      </c>
      <c r="K960" s="1" t="s">
        <v>213</v>
      </c>
      <c r="L960" s="1" t="s">
        <v>74</v>
      </c>
      <c r="M960" s="1" t="s">
        <v>74</v>
      </c>
      <c r="N960" s="1" t="s">
        <v>74</v>
      </c>
      <c r="O960" s="1" t="s">
        <v>9515</v>
      </c>
      <c r="P960" s="1" t="s">
        <v>9516</v>
      </c>
      <c r="Q960" s="1" t="s">
        <v>9517</v>
      </c>
      <c r="R960" s="1" t="s">
        <v>9518</v>
      </c>
      <c r="S960" s="1" t="s">
        <v>74</v>
      </c>
      <c r="T960" s="1" t="s">
        <v>74</v>
      </c>
      <c r="U960" s="1" t="s">
        <v>74</v>
      </c>
      <c r="V960" s="1" t="s">
        <v>9519</v>
      </c>
      <c r="W960" s="1" t="s">
        <v>74</v>
      </c>
      <c r="X960" s="1" t="s">
        <v>74</v>
      </c>
      <c r="Y960" s="1" t="s">
        <v>74</v>
      </c>
      <c r="Z960" s="1" t="s">
        <v>74</v>
      </c>
      <c r="AA960" s="1" t="s">
        <v>9520</v>
      </c>
      <c r="AB960" s="1" t="s">
        <v>5103</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220</v>
      </c>
      <c r="AP960" s="1" t="s">
        <v>74</v>
      </c>
      <c r="AQ960" s="1" t="s">
        <v>74</v>
      </c>
      <c r="AR960" s="1" t="s">
        <v>74</v>
      </c>
      <c r="AS960" s="1" t="s">
        <v>74</v>
      </c>
      <c r="AT960" s="1" t="s">
        <v>74</v>
      </c>
      <c r="AU960" s="1">
        <v>2017.0</v>
      </c>
      <c r="AV960" s="1">
        <v>122.0</v>
      </c>
      <c r="AW960" s="1" t="s">
        <v>74</v>
      </c>
      <c r="AX960" s="1" t="s">
        <v>74</v>
      </c>
      <c r="AY960" s="1" t="s">
        <v>74</v>
      </c>
      <c r="AZ960" s="1" t="s">
        <v>74</v>
      </c>
      <c r="BA960" s="1" t="s">
        <v>74</v>
      </c>
      <c r="BB960" s="1">
        <v>339.0</v>
      </c>
      <c r="BC960" s="1">
        <v>345.0</v>
      </c>
      <c r="BD960" s="1" t="s">
        <v>74</v>
      </c>
      <c r="BE960" s="1" t="s">
        <v>9521</v>
      </c>
      <c r="BF960" s="2" t="str">
        <f>HYPERLINK("http://dx.doi.org/10.1016/j.procs.2017.11.378","http://dx.doi.org/10.1016/j.procs.2017.11.378")</f>
        <v>http://dx.doi.org/10.1016/j.procs.2017.11.378</v>
      </c>
      <c r="BG960" s="1" t="s">
        <v>74</v>
      </c>
      <c r="BH960" s="1" t="s">
        <v>74</v>
      </c>
      <c r="BI960" s="1" t="s">
        <v>74</v>
      </c>
      <c r="BJ960" s="1" t="s">
        <v>74</v>
      </c>
      <c r="BK960" s="1" t="s">
        <v>74</v>
      </c>
      <c r="BL960" s="1" t="s">
        <v>74</v>
      </c>
      <c r="BM960" s="1" t="s">
        <v>74</v>
      </c>
      <c r="BN960" s="1" t="s">
        <v>74</v>
      </c>
      <c r="BO960" s="1" t="s">
        <v>74</v>
      </c>
      <c r="BP960" s="1" t="s">
        <v>74</v>
      </c>
      <c r="BQ960" s="1" t="s">
        <v>74</v>
      </c>
      <c r="BR960" s="1" t="s">
        <v>74</v>
      </c>
      <c r="BS960" s="1" t="s">
        <v>9522</v>
      </c>
      <c r="BT960" s="1" t="str">
        <f>HYPERLINK("https%3A%2F%2Fwww.webofscience.com%2Fwos%2Fwoscc%2Ffull-record%2FWOS:000426698300045","View Full Record in Web of Science")</f>
        <v>View Full Record in Web of Science</v>
      </c>
    </row>
    <row r="961" ht="12.75" customHeight="1">
      <c r="A961" s="1" t="s">
        <v>72</v>
      </c>
      <c r="B961" s="1" t="s">
        <v>9523</v>
      </c>
      <c r="C961" s="1" t="s">
        <v>74</v>
      </c>
      <c r="D961" s="1" t="s">
        <v>74</v>
      </c>
      <c r="E961" s="1" t="s">
        <v>74</v>
      </c>
      <c r="F961" s="1" t="s">
        <v>9524</v>
      </c>
      <c r="G961" s="1" t="s">
        <v>74</v>
      </c>
      <c r="H961" s="1" t="s">
        <v>74</v>
      </c>
      <c r="I961" s="1" t="s">
        <v>9525</v>
      </c>
      <c r="J961" s="1" t="s">
        <v>9526</v>
      </c>
      <c r="K961" s="1" t="s">
        <v>74</v>
      </c>
      <c r="L961" s="1" t="s">
        <v>74</v>
      </c>
      <c r="M961" s="1" t="s">
        <v>74</v>
      </c>
      <c r="N961" s="1" t="s">
        <v>74</v>
      </c>
      <c r="O961" s="1" t="s">
        <v>74</v>
      </c>
      <c r="P961" s="1" t="s">
        <v>74</v>
      </c>
      <c r="Q961" s="1" t="s">
        <v>74</v>
      </c>
      <c r="R961" s="1" t="s">
        <v>74</v>
      </c>
      <c r="S961" s="1" t="s">
        <v>74</v>
      </c>
      <c r="T961" s="1" t="s">
        <v>74</v>
      </c>
      <c r="U961" s="1" t="s">
        <v>74</v>
      </c>
      <c r="V961" s="1" t="s">
        <v>9527</v>
      </c>
      <c r="W961" s="1" t="s">
        <v>74</v>
      </c>
      <c r="X961" s="1" t="s">
        <v>74</v>
      </c>
      <c r="Y961" s="1" t="s">
        <v>74</v>
      </c>
      <c r="Z961" s="1" t="s">
        <v>74</v>
      </c>
      <c r="AA961" s="1" t="s">
        <v>9528</v>
      </c>
      <c r="AB961" s="1" t="s">
        <v>9529</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9530</v>
      </c>
      <c r="AP961" s="1" t="s">
        <v>9531</v>
      </c>
      <c r="AQ961" s="1" t="s">
        <v>74</v>
      </c>
      <c r="AR961" s="1" t="s">
        <v>74</v>
      </c>
      <c r="AS961" s="1" t="s">
        <v>74</v>
      </c>
      <c r="AT961" s="1" t="s">
        <v>374</v>
      </c>
      <c r="AU961" s="1">
        <v>2016.0</v>
      </c>
      <c r="AV961" s="1">
        <v>84.0</v>
      </c>
      <c r="AW961" s="1" t="s">
        <v>74</v>
      </c>
      <c r="AX961" s="1" t="s">
        <v>74</v>
      </c>
      <c r="AY961" s="1" t="s">
        <v>74</v>
      </c>
      <c r="AZ961" s="1" t="s">
        <v>74</v>
      </c>
      <c r="BA961" s="1" t="s">
        <v>74</v>
      </c>
      <c r="BB961" s="1">
        <v>188.0</v>
      </c>
      <c r="BC961" s="1">
        <v>204.0</v>
      </c>
      <c r="BD961" s="1" t="s">
        <v>74</v>
      </c>
      <c r="BE961" s="1" t="s">
        <v>9532</v>
      </c>
      <c r="BF961" s="2" t="str">
        <f>HYPERLINK("http://dx.doi.org/10.1016/j.eurpolymj.2016.09.017","http://dx.doi.org/10.1016/j.eurpolymj.2016.09.017")</f>
        <v>http://dx.doi.org/10.1016/j.eurpolymj.2016.09.017</v>
      </c>
      <c r="BG961" s="1" t="s">
        <v>74</v>
      </c>
      <c r="BH961" s="1" t="s">
        <v>74</v>
      </c>
      <c r="BI961" s="1" t="s">
        <v>74</v>
      </c>
      <c r="BJ961" s="1" t="s">
        <v>74</v>
      </c>
      <c r="BK961" s="1" t="s">
        <v>74</v>
      </c>
      <c r="BL961" s="1" t="s">
        <v>74</v>
      </c>
      <c r="BM961" s="1" t="s">
        <v>74</v>
      </c>
      <c r="BN961" s="1" t="s">
        <v>74</v>
      </c>
      <c r="BO961" s="1" t="s">
        <v>74</v>
      </c>
      <c r="BP961" s="1" t="s">
        <v>74</v>
      </c>
      <c r="BQ961" s="1" t="s">
        <v>74</v>
      </c>
      <c r="BR961" s="1" t="s">
        <v>74</v>
      </c>
      <c r="BS961" s="1" t="s">
        <v>9533</v>
      </c>
      <c r="BT961" s="1" t="str">
        <f>HYPERLINK("https%3A%2F%2Fwww.webofscience.com%2Fwos%2Fwoscc%2Ffull-record%2FWOS:000390181800016","View Full Record in Web of Science")</f>
        <v>View Full Record in Web of Science</v>
      </c>
    </row>
    <row r="962" ht="12.75" customHeight="1">
      <c r="A962" s="1" t="s">
        <v>72</v>
      </c>
      <c r="B962" s="1" t="s">
        <v>9534</v>
      </c>
      <c r="C962" s="1" t="s">
        <v>74</v>
      </c>
      <c r="D962" s="1" t="s">
        <v>74</v>
      </c>
      <c r="E962" s="1" t="s">
        <v>74</v>
      </c>
      <c r="F962" s="1" t="s">
        <v>9535</v>
      </c>
      <c r="G962" s="1" t="s">
        <v>74</v>
      </c>
      <c r="H962" s="1" t="s">
        <v>74</v>
      </c>
      <c r="I962" s="1" t="s">
        <v>9536</v>
      </c>
      <c r="J962" s="1" t="s">
        <v>6252</v>
      </c>
      <c r="K962" s="1" t="s">
        <v>74</v>
      </c>
      <c r="L962" s="1" t="s">
        <v>74</v>
      </c>
      <c r="M962" s="1" t="s">
        <v>74</v>
      </c>
      <c r="N962" s="1" t="s">
        <v>74</v>
      </c>
      <c r="O962" s="1" t="s">
        <v>74</v>
      </c>
      <c r="P962" s="1" t="s">
        <v>74</v>
      </c>
      <c r="Q962" s="1" t="s">
        <v>74</v>
      </c>
      <c r="R962" s="1" t="s">
        <v>74</v>
      </c>
      <c r="S962" s="1" t="s">
        <v>74</v>
      </c>
      <c r="T962" s="1" t="s">
        <v>74</v>
      </c>
      <c r="U962" s="1" t="s">
        <v>74</v>
      </c>
      <c r="V962" s="1" t="s">
        <v>9537</v>
      </c>
      <c r="W962" s="1" t="s">
        <v>74</v>
      </c>
      <c r="X962" s="1" t="s">
        <v>74</v>
      </c>
      <c r="Y962" s="1" t="s">
        <v>74</v>
      </c>
      <c r="Z962" s="1" t="s">
        <v>74</v>
      </c>
      <c r="AA962" s="1" t="s">
        <v>9538</v>
      </c>
      <c r="AB962" s="1" t="s">
        <v>9539</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6256</v>
      </c>
      <c r="AP962" s="1" t="s">
        <v>9540</v>
      </c>
      <c r="AQ962" s="1" t="s">
        <v>74</v>
      </c>
      <c r="AR962" s="1" t="s">
        <v>74</v>
      </c>
      <c r="AS962" s="1" t="s">
        <v>74</v>
      </c>
      <c r="AT962" s="1" t="s">
        <v>282</v>
      </c>
      <c r="AU962" s="1">
        <v>2016.0</v>
      </c>
      <c r="AV962" s="1">
        <v>25.0</v>
      </c>
      <c r="AW962" s="1">
        <v>2.0</v>
      </c>
      <c r="AX962" s="1" t="s">
        <v>74</v>
      </c>
      <c r="AY962" s="1" t="s">
        <v>74</v>
      </c>
      <c r="AZ962" s="1" t="s">
        <v>74</v>
      </c>
      <c r="BA962" s="1" t="s">
        <v>74</v>
      </c>
      <c r="BB962" s="1">
        <v>195.0</v>
      </c>
      <c r="BC962" s="1">
        <v>202.0</v>
      </c>
      <c r="BD962" s="1" t="s">
        <v>74</v>
      </c>
      <c r="BE962" s="1" t="s">
        <v>74</v>
      </c>
      <c r="BF962" s="1" t="s">
        <v>74</v>
      </c>
      <c r="BG962" s="1" t="s">
        <v>74</v>
      </c>
      <c r="BH962" s="1" t="s">
        <v>74</v>
      </c>
      <c r="BI962" s="1" t="s">
        <v>74</v>
      </c>
      <c r="BJ962" s="1" t="s">
        <v>74</v>
      </c>
      <c r="BK962" s="1" t="s">
        <v>74</v>
      </c>
      <c r="BL962" s="1" t="s">
        <v>74</v>
      </c>
      <c r="BM962" s="1" t="s">
        <v>74</v>
      </c>
      <c r="BN962" s="1" t="s">
        <v>74</v>
      </c>
      <c r="BO962" s="1" t="s">
        <v>74</v>
      </c>
      <c r="BP962" s="1" t="s">
        <v>74</v>
      </c>
      <c r="BQ962" s="1" t="s">
        <v>74</v>
      </c>
      <c r="BR962" s="1" t="s">
        <v>74</v>
      </c>
      <c r="BS962" s="1" t="s">
        <v>9541</v>
      </c>
      <c r="BT962" s="1" t="str">
        <f>HYPERLINK("https%3A%2F%2Fwww.webofscience.com%2Fwos%2Fwoscc%2Ffull-record%2FWOS:000385262200010","View Full Record in Web of Science")</f>
        <v>View Full Record in Web of Science</v>
      </c>
    </row>
    <row r="963" ht="12.75" customHeight="1">
      <c r="A963" s="1" t="s">
        <v>72</v>
      </c>
      <c r="B963" s="1" t="s">
        <v>9542</v>
      </c>
      <c r="C963" s="1" t="s">
        <v>74</v>
      </c>
      <c r="D963" s="1" t="s">
        <v>74</v>
      </c>
      <c r="E963" s="1" t="s">
        <v>74</v>
      </c>
      <c r="F963" s="1" t="s">
        <v>9543</v>
      </c>
      <c r="G963" s="1" t="s">
        <v>74</v>
      </c>
      <c r="H963" s="1" t="s">
        <v>74</v>
      </c>
      <c r="I963" s="1" t="s">
        <v>9544</v>
      </c>
      <c r="J963" s="1" t="s">
        <v>9545</v>
      </c>
      <c r="K963" s="1" t="s">
        <v>74</v>
      </c>
      <c r="L963" s="1" t="s">
        <v>74</v>
      </c>
      <c r="M963" s="1" t="s">
        <v>74</v>
      </c>
      <c r="N963" s="1" t="s">
        <v>74</v>
      </c>
      <c r="O963" s="1" t="s">
        <v>74</v>
      </c>
      <c r="P963" s="1" t="s">
        <v>74</v>
      </c>
      <c r="Q963" s="1" t="s">
        <v>74</v>
      </c>
      <c r="R963" s="1" t="s">
        <v>74</v>
      </c>
      <c r="S963" s="1" t="s">
        <v>74</v>
      </c>
      <c r="T963" s="1" t="s">
        <v>74</v>
      </c>
      <c r="U963" s="1" t="s">
        <v>74</v>
      </c>
      <c r="V963" s="1" t="s">
        <v>9546</v>
      </c>
      <c r="W963" s="1" t="s">
        <v>74</v>
      </c>
      <c r="X963" s="1" t="s">
        <v>74</v>
      </c>
      <c r="Y963" s="1" t="s">
        <v>74</v>
      </c>
      <c r="Z963" s="1" t="s">
        <v>74</v>
      </c>
      <c r="AA963" s="1" t="s">
        <v>9547</v>
      </c>
      <c r="AB963" s="1" t="s">
        <v>9548</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9549</v>
      </c>
      <c r="AP963" s="1" t="s">
        <v>9550</v>
      </c>
      <c r="AQ963" s="1" t="s">
        <v>74</v>
      </c>
      <c r="AR963" s="1" t="s">
        <v>74</v>
      </c>
      <c r="AS963" s="1" t="s">
        <v>74</v>
      </c>
      <c r="AT963" s="1" t="s">
        <v>164</v>
      </c>
      <c r="AU963" s="1">
        <v>2013.0</v>
      </c>
      <c r="AV963" s="1">
        <v>86.0</v>
      </c>
      <c r="AW963" s="1" t="s">
        <v>74</v>
      </c>
      <c r="AX963" s="1" t="s">
        <v>74</v>
      </c>
      <c r="AY963" s="1" t="s">
        <v>74</v>
      </c>
      <c r="AZ963" s="1" t="s">
        <v>74</v>
      </c>
      <c r="BA963" s="1" t="s">
        <v>74</v>
      </c>
      <c r="BB963" s="1">
        <v>153.0</v>
      </c>
      <c r="BC963" s="1">
        <v>161.0</v>
      </c>
      <c r="BD963" s="1" t="s">
        <v>74</v>
      </c>
      <c r="BE963" s="1" t="s">
        <v>9551</v>
      </c>
      <c r="BF963" s="2" t="str">
        <f>HYPERLINK("http://dx.doi.org/10.1016/j.clay.2013.10.001","http://dx.doi.org/10.1016/j.clay.2013.10.001")</f>
        <v>http://dx.doi.org/10.1016/j.clay.2013.10.001</v>
      </c>
      <c r="BG963" s="1" t="s">
        <v>74</v>
      </c>
      <c r="BH963" s="1" t="s">
        <v>74</v>
      </c>
      <c r="BI963" s="1" t="s">
        <v>74</v>
      </c>
      <c r="BJ963" s="1" t="s">
        <v>74</v>
      </c>
      <c r="BK963" s="1" t="s">
        <v>74</v>
      </c>
      <c r="BL963" s="1" t="s">
        <v>74</v>
      </c>
      <c r="BM963" s="1" t="s">
        <v>74</v>
      </c>
      <c r="BN963" s="1" t="s">
        <v>74</v>
      </c>
      <c r="BO963" s="1" t="s">
        <v>74</v>
      </c>
      <c r="BP963" s="1" t="s">
        <v>74</v>
      </c>
      <c r="BQ963" s="1" t="s">
        <v>74</v>
      </c>
      <c r="BR963" s="1" t="s">
        <v>74</v>
      </c>
      <c r="BS963" s="1" t="s">
        <v>9552</v>
      </c>
      <c r="BT963" s="1" t="str">
        <f>HYPERLINK("https%3A%2F%2Fwww.webofscience.com%2Fwos%2Fwoscc%2Ffull-record%2FWOS:000328597100020","View Full Record in Web of Science")</f>
        <v>View Full Record in Web of Science</v>
      </c>
    </row>
    <row r="964" ht="12.75" customHeight="1">
      <c r="A964" s="1" t="s">
        <v>72</v>
      </c>
      <c r="B964" s="1" t="s">
        <v>9553</v>
      </c>
      <c r="C964" s="1" t="s">
        <v>74</v>
      </c>
      <c r="D964" s="1" t="s">
        <v>74</v>
      </c>
      <c r="E964" s="1" t="s">
        <v>74</v>
      </c>
      <c r="F964" s="1" t="s">
        <v>9554</v>
      </c>
      <c r="G964" s="1" t="s">
        <v>74</v>
      </c>
      <c r="H964" s="1" t="s">
        <v>74</v>
      </c>
      <c r="I964" s="1" t="s">
        <v>9555</v>
      </c>
      <c r="J964" s="1" t="s">
        <v>9179</v>
      </c>
      <c r="K964" s="1" t="s">
        <v>74</v>
      </c>
      <c r="L964" s="1" t="s">
        <v>74</v>
      </c>
      <c r="M964" s="1" t="s">
        <v>74</v>
      </c>
      <c r="N964" s="1" t="s">
        <v>74</v>
      </c>
      <c r="O964" s="1" t="s">
        <v>74</v>
      </c>
      <c r="P964" s="1" t="s">
        <v>74</v>
      </c>
      <c r="Q964" s="1" t="s">
        <v>74</v>
      </c>
      <c r="R964" s="1" t="s">
        <v>74</v>
      </c>
      <c r="S964" s="1" t="s">
        <v>74</v>
      </c>
      <c r="T964" s="1" t="s">
        <v>74</v>
      </c>
      <c r="U964" s="1" t="s">
        <v>74</v>
      </c>
      <c r="V964" s="1" t="s">
        <v>9556</v>
      </c>
      <c r="W964" s="1" t="s">
        <v>74</v>
      </c>
      <c r="X964" s="1" t="s">
        <v>74</v>
      </c>
      <c r="Y964" s="1" t="s">
        <v>74</v>
      </c>
      <c r="Z964" s="1" t="s">
        <v>74</v>
      </c>
      <c r="AA964" s="1" t="s">
        <v>9557</v>
      </c>
      <c r="AB964" s="1" t="s">
        <v>9558</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9183</v>
      </c>
      <c r="AP964" s="1" t="s">
        <v>9184</v>
      </c>
      <c r="AQ964" s="1" t="s">
        <v>74</v>
      </c>
      <c r="AR964" s="1" t="s">
        <v>74</v>
      </c>
      <c r="AS964" s="1" t="s">
        <v>74</v>
      </c>
      <c r="AT964" s="1" t="s">
        <v>1279</v>
      </c>
      <c r="AU964" s="1">
        <v>2013.0</v>
      </c>
      <c r="AV964" s="1">
        <v>63.0</v>
      </c>
      <c r="AW964" s="1" t="s">
        <v>74</v>
      </c>
      <c r="AX964" s="1">
        <v>4.0</v>
      </c>
      <c r="AY964" s="1" t="s">
        <v>74</v>
      </c>
      <c r="AZ964" s="1" t="s">
        <v>74</v>
      </c>
      <c r="BA964" s="1" t="s">
        <v>74</v>
      </c>
      <c r="BB964" s="1">
        <v>1485.0</v>
      </c>
      <c r="BC964" s="1">
        <v>1491.0</v>
      </c>
      <c r="BD964" s="1" t="s">
        <v>74</v>
      </c>
      <c r="BE964" s="1" t="s">
        <v>9559</v>
      </c>
      <c r="BF964" s="2" t="str">
        <f>HYPERLINK("http://dx.doi.org/10.1099/ijs.0.045807-0","http://dx.doi.org/10.1099/ijs.0.045807-0")</f>
        <v>http://dx.doi.org/10.1099/ijs.0.045807-0</v>
      </c>
      <c r="BG964" s="1" t="s">
        <v>74</v>
      </c>
      <c r="BH964" s="1" t="s">
        <v>74</v>
      </c>
      <c r="BI964" s="1" t="s">
        <v>74</v>
      </c>
      <c r="BJ964" s="1" t="s">
        <v>74</v>
      </c>
      <c r="BK964" s="1" t="s">
        <v>74</v>
      </c>
      <c r="BL964" s="1" t="s">
        <v>74</v>
      </c>
      <c r="BM964" s="1" t="s">
        <v>74</v>
      </c>
      <c r="BN964" s="1">
        <v>2.2863987E7</v>
      </c>
      <c r="BO964" s="1" t="s">
        <v>74</v>
      </c>
      <c r="BP964" s="1" t="s">
        <v>74</v>
      </c>
      <c r="BQ964" s="1" t="s">
        <v>74</v>
      </c>
      <c r="BR964" s="1" t="s">
        <v>74</v>
      </c>
      <c r="BS964" s="1" t="s">
        <v>9560</v>
      </c>
      <c r="BT964" s="1" t="str">
        <f>HYPERLINK("https%3A%2F%2Fwww.webofscience.com%2Fwos%2Fwoscc%2Ffull-record%2FWOS:000319785700043","View Full Record in Web of Science")</f>
        <v>View Full Record in Web of Science</v>
      </c>
    </row>
    <row r="965" ht="12.75" customHeight="1">
      <c r="A965" s="1" t="s">
        <v>72</v>
      </c>
      <c r="B965" s="1" t="s">
        <v>9561</v>
      </c>
      <c r="C965" s="1" t="s">
        <v>74</v>
      </c>
      <c r="D965" s="1" t="s">
        <v>74</v>
      </c>
      <c r="E965" s="1" t="s">
        <v>74</v>
      </c>
      <c r="F965" s="1" t="s">
        <v>9562</v>
      </c>
      <c r="G965" s="1" t="s">
        <v>74</v>
      </c>
      <c r="H965" s="1" t="s">
        <v>74</v>
      </c>
      <c r="I965" s="1" t="s">
        <v>9563</v>
      </c>
      <c r="J965" s="1" t="s">
        <v>9564</v>
      </c>
      <c r="K965" s="1" t="s">
        <v>74</v>
      </c>
      <c r="L965" s="1" t="s">
        <v>74</v>
      </c>
      <c r="M965" s="1" t="s">
        <v>74</v>
      </c>
      <c r="N965" s="1" t="s">
        <v>74</v>
      </c>
      <c r="O965" s="1" t="s">
        <v>74</v>
      </c>
      <c r="P965" s="1" t="s">
        <v>74</v>
      </c>
      <c r="Q965" s="1" t="s">
        <v>74</v>
      </c>
      <c r="R965" s="1" t="s">
        <v>74</v>
      </c>
      <c r="S965" s="1" t="s">
        <v>74</v>
      </c>
      <c r="T965" s="1" t="s">
        <v>74</v>
      </c>
      <c r="U965" s="1" t="s">
        <v>74</v>
      </c>
      <c r="V965" s="1" t="s">
        <v>9565</v>
      </c>
      <c r="W965" s="1" t="s">
        <v>74</v>
      </c>
      <c r="X965" s="1" t="s">
        <v>74</v>
      </c>
      <c r="Y965" s="1" t="s">
        <v>74</v>
      </c>
      <c r="Z965" s="1" t="s">
        <v>74</v>
      </c>
      <c r="AA965" s="1" t="s">
        <v>9566</v>
      </c>
      <c r="AB965" s="1" t="s">
        <v>9567</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9568</v>
      </c>
      <c r="AP965" s="1" t="s">
        <v>9569</v>
      </c>
      <c r="AQ965" s="1" t="s">
        <v>74</v>
      </c>
      <c r="AR965" s="1" t="s">
        <v>74</v>
      </c>
      <c r="AS965" s="1" t="s">
        <v>74</v>
      </c>
      <c r="AT965" s="1" t="s">
        <v>294</v>
      </c>
      <c r="AU965" s="1">
        <v>2011.0</v>
      </c>
      <c r="AV965" s="1">
        <v>94.0</v>
      </c>
      <c r="AW965" s="1">
        <v>2.0</v>
      </c>
      <c r="AX965" s="1" t="s">
        <v>74</v>
      </c>
      <c r="AY965" s="1" t="s">
        <v>74</v>
      </c>
      <c r="AZ965" s="1" t="s">
        <v>74</v>
      </c>
      <c r="BA965" s="1" t="s">
        <v>74</v>
      </c>
      <c r="BB965" s="1">
        <v>293.0</v>
      </c>
      <c r="BC965" s="1">
        <v>300.0</v>
      </c>
      <c r="BD965" s="1" t="s">
        <v>74</v>
      </c>
      <c r="BE965" s="1" t="s">
        <v>9570</v>
      </c>
      <c r="BF965" s="2" t="str">
        <f>HYPERLINK("http://dx.doi.org/10.1002/hlca.201000227","http://dx.doi.org/10.1002/hlca.201000227")</f>
        <v>http://dx.doi.org/10.1002/hlca.201000227</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9571</v>
      </c>
      <c r="BT965" s="1" t="str">
        <f>HYPERLINK("https%3A%2F%2Fwww.webofscience.com%2Fwos%2Fwoscc%2Ffull-record%2FWOS:000288032600015","View Full Record in Web of Science")</f>
        <v>View Full Record in Web of Science</v>
      </c>
    </row>
    <row r="966" ht="12.75" customHeight="1">
      <c r="A966" s="1" t="s">
        <v>207</v>
      </c>
      <c r="B966" s="1" t="s">
        <v>9572</v>
      </c>
      <c r="C966" s="1" t="s">
        <v>74</v>
      </c>
      <c r="D966" s="1" t="s">
        <v>9573</v>
      </c>
      <c r="E966" s="1" t="s">
        <v>74</v>
      </c>
      <c r="F966" s="1" t="s">
        <v>9574</v>
      </c>
      <c r="G966" s="1" t="s">
        <v>74</v>
      </c>
      <c r="H966" s="1" t="s">
        <v>74</v>
      </c>
      <c r="I966" s="1" t="s">
        <v>9575</v>
      </c>
      <c r="J966" s="1" t="s">
        <v>9576</v>
      </c>
      <c r="K966" s="1" t="s">
        <v>9577</v>
      </c>
      <c r="L966" s="1" t="s">
        <v>74</v>
      </c>
      <c r="M966" s="1" t="s">
        <v>74</v>
      </c>
      <c r="N966" s="1" t="s">
        <v>74</v>
      </c>
      <c r="O966" s="1" t="s">
        <v>9578</v>
      </c>
      <c r="P966" s="1" t="s">
        <v>9579</v>
      </c>
      <c r="Q966" s="1" t="s">
        <v>9580</v>
      </c>
      <c r="R966" s="1" t="s">
        <v>9581</v>
      </c>
      <c r="S966" s="1" t="s">
        <v>74</v>
      </c>
      <c r="T966" s="1" t="s">
        <v>74</v>
      </c>
      <c r="U966" s="1" t="s">
        <v>74</v>
      </c>
      <c r="V966" s="1" t="s">
        <v>9582</v>
      </c>
      <c r="W966" s="1" t="s">
        <v>74</v>
      </c>
      <c r="X966" s="1" t="s">
        <v>74</v>
      </c>
      <c r="Y966" s="1" t="s">
        <v>74</v>
      </c>
      <c r="Z966" s="1" t="s">
        <v>74</v>
      </c>
      <c r="AA966" s="1" t="s">
        <v>9583</v>
      </c>
      <c r="AB966" s="1" t="s">
        <v>9584</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9585</v>
      </c>
      <c r="AP966" s="1" t="s">
        <v>74</v>
      </c>
      <c r="AQ966" s="1" t="s">
        <v>74</v>
      </c>
      <c r="AR966" s="1" t="s">
        <v>74</v>
      </c>
      <c r="AS966" s="1" t="s">
        <v>74</v>
      </c>
      <c r="AT966" s="1" t="s">
        <v>74</v>
      </c>
      <c r="AU966" s="1">
        <v>2011.0</v>
      </c>
      <c r="AV966" s="1">
        <v>304.0</v>
      </c>
      <c r="AW966" s="1" t="s">
        <v>74</v>
      </c>
      <c r="AX966" s="1" t="s">
        <v>74</v>
      </c>
      <c r="AY966" s="1" t="s">
        <v>74</v>
      </c>
      <c r="AZ966" s="1" t="s">
        <v>74</v>
      </c>
      <c r="BA966" s="1" t="s">
        <v>74</v>
      </c>
      <c r="BB966" s="1">
        <v>65.0</v>
      </c>
      <c r="BC966" s="1">
        <v>71.0</v>
      </c>
      <c r="BD966" s="1" t="s">
        <v>74</v>
      </c>
      <c r="BE966" s="1" t="s">
        <v>9586</v>
      </c>
      <c r="BF966" s="2" t="str">
        <f>HYPERLINK("http://dx.doi.org/10.1002/masy.201150609","http://dx.doi.org/10.1002/masy.201150609")</f>
        <v>http://dx.doi.org/10.1002/masy.201150609</v>
      </c>
      <c r="BG966" s="1" t="s">
        <v>74</v>
      </c>
      <c r="BH966" s="1" t="s">
        <v>74</v>
      </c>
      <c r="BI966" s="1" t="s">
        <v>74</v>
      </c>
      <c r="BJ966" s="1" t="s">
        <v>74</v>
      </c>
      <c r="BK966" s="1" t="s">
        <v>74</v>
      </c>
      <c r="BL966" s="1" t="s">
        <v>74</v>
      </c>
      <c r="BM966" s="1" t="s">
        <v>74</v>
      </c>
      <c r="BN966" s="1" t="s">
        <v>74</v>
      </c>
      <c r="BO966" s="1" t="s">
        <v>74</v>
      </c>
      <c r="BP966" s="1" t="s">
        <v>74</v>
      </c>
      <c r="BQ966" s="1" t="s">
        <v>74</v>
      </c>
      <c r="BR966" s="1" t="s">
        <v>74</v>
      </c>
      <c r="BS966" s="1" t="s">
        <v>9587</v>
      </c>
      <c r="BT966" s="1" t="str">
        <f>HYPERLINK("https%3A%2F%2Fwww.webofscience.com%2Fwos%2Fwoscc%2Ffull-record%2FWOS:000297026400009","View Full Record in Web of Science")</f>
        <v>View Full Record in Web of Science</v>
      </c>
    </row>
    <row r="967" ht="12.75" customHeight="1">
      <c r="A967" s="1" t="s">
        <v>72</v>
      </c>
      <c r="B967" s="1" t="s">
        <v>4809</v>
      </c>
      <c r="C967" s="1" t="s">
        <v>74</v>
      </c>
      <c r="D967" s="1" t="s">
        <v>74</v>
      </c>
      <c r="E967" s="1" t="s">
        <v>74</v>
      </c>
      <c r="F967" s="1" t="s">
        <v>4810</v>
      </c>
      <c r="G967" s="1" t="s">
        <v>74</v>
      </c>
      <c r="H967" s="1" t="s">
        <v>74</v>
      </c>
      <c r="I967" s="1" t="s">
        <v>9588</v>
      </c>
      <c r="J967" s="1" t="s">
        <v>1509</v>
      </c>
      <c r="K967" s="1" t="s">
        <v>74</v>
      </c>
      <c r="L967" s="1" t="s">
        <v>74</v>
      </c>
      <c r="M967" s="1" t="s">
        <v>74</v>
      </c>
      <c r="N967" s="1" t="s">
        <v>74</v>
      </c>
      <c r="O967" s="1" t="s">
        <v>74</v>
      </c>
      <c r="P967" s="1" t="s">
        <v>74</v>
      </c>
      <c r="Q967" s="1" t="s">
        <v>74</v>
      </c>
      <c r="R967" s="1" t="s">
        <v>74</v>
      </c>
      <c r="S967" s="1" t="s">
        <v>74</v>
      </c>
      <c r="T967" s="1" t="s">
        <v>74</v>
      </c>
      <c r="U967" s="1" t="s">
        <v>74</v>
      </c>
      <c r="V967" s="1" t="s">
        <v>9589</v>
      </c>
      <c r="W967" s="1" t="s">
        <v>74</v>
      </c>
      <c r="X967" s="1" t="s">
        <v>74</v>
      </c>
      <c r="Y967" s="1" t="s">
        <v>74</v>
      </c>
      <c r="Z967" s="1" t="s">
        <v>74</v>
      </c>
      <c r="AA967" s="1" t="s">
        <v>4813</v>
      </c>
      <c r="AB967" s="1" t="s">
        <v>4814</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1511</v>
      </c>
      <c r="AP967" s="1" t="s">
        <v>1512</v>
      </c>
      <c r="AQ967" s="1" t="s">
        <v>74</v>
      </c>
      <c r="AR967" s="1" t="s">
        <v>74</v>
      </c>
      <c r="AS967" s="1" t="s">
        <v>74</v>
      </c>
      <c r="AT967" s="1" t="s">
        <v>9590</v>
      </c>
      <c r="AU967" s="1">
        <v>2010.0</v>
      </c>
      <c r="AV967" s="1">
        <v>692.0</v>
      </c>
      <c r="AW967" s="1">
        <v>1.0</v>
      </c>
      <c r="AX967" s="1" t="s">
        <v>74</v>
      </c>
      <c r="AY967" s="1" t="s">
        <v>74</v>
      </c>
      <c r="AZ967" s="1" t="s">
        <v>74</v>
      </c>
      <c r="BA967" s="1" t="s">
        <v>74</v>
      </c>
      <c r="BB967" s="1">
        <v>51.0</v>
      </c>
      <c r="BC967" s="1">
        <v>56.0</v>
      </c>
      <c r="BD967" s="1" t="s">
        <v>74</v>
      </c>
      <c r="BE967" s="1" t="s">
        <v>9591</v>
      </c>
      <c r="BF967" s="2" t="str">
        <f>HYPERLINK("http://dx.doi.org/10.1016/j.physletb.2010.07.014","http://dx.doi.org/10.1016/j.physletb.2010.07.014")</f>
        <v>http://dx.doi.org/10.1016/j.physletb.2010.07.014</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9592</v>
      </c>
      <c r="BT967" s="1" t="str">
        <f>HYPERLINK("https%3A%2F%2Fwww.webofscience.com%2Fwos%2Fwoscc%2Ffull-record%2FWOS:000282194200011","View Full Record in Web of Science")</f>
        <v>View Full Record in Web of Science</v>
      </c>
    </row>
    <row r="968" ht="12.75" customHeight="1">
      <c r="A968" s="1" t="s">
        <v>72</v>
      </c>
      <c r="B968" s="1" t="s">
        <v>9593</v>
      </c>
      <c r="C968" s="1" t="s">
        <v>74</v>
      </c>
      <c r="D968" s="1" t="s">
        <v>74</v>
      </c>
      <c r="E968" s="1" t="s">
        <v>74</v>
      </c>
      <c r="F968" s="1" t="s">
        <v>9594</v>
      </c>
      <c r="G968" s="1" t="s">
        <v>74</v>
      </c>
      <c r="H968" s="1" t="s">
        <v>74</v>
      </c>
      <c r="I968" s="1" t="s">
        <v>9595</v>
      </c>
      <c r="J968" s="1" t="s">
        <v>9596</v>
      </c>
      <c r="K968" s="1" t="s">
        <v>74</v>
      </c>
      <c r="L968" s="1" t="s">
        <v>74</v>
      </c>
      <c r="M968" s="1" t="s">
        <v>74</v>
      </c>
      <c r="N968" s="1" t="s">
        <v>74</v>
      </c>
      <c r="O968" s="1" t="s">
        <v>74</v>
      </c>
      <c r="P968" s="1" t="s">
        <v>74</v>
      </c>
      <c r="Q968" s="1" t="s">
        <v>74</v>
      </c>
      <c r="R968" s="1" t="s">
        <v>74</v>
      </c>
      <c r="S968" s="1" t="s">
        <v>74</v>
      </c>
      <c r="T968" s="1" t="s">
        <v>74</v>
      </c>
      <c r="U968" s="1" t="s">
        <v>74</v>
      </c>
      <c r="V968" s="1" t="s">
        <v>9597</v>
      </c>
      <c r="W968" s="1" t="s">
        <v>74</v>
      </c>
      <c r="X968" s="1" t="s">
        <v>74</v>
      </c>
      <c r="Y968" s="1" t="s">
        <v>74</v>
      </c>
      <c r="Z968" s="1" t="s">
        <v>74</v>
      </c>
      <c r="AA968" s="1" t="s">
        <v>9598</v>
      </c>
      <c r="AB968" s="1" t="s">
        <v>9599</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9600</v>
      </c>
      <c r="AP968" s="1" t="s">
        <v>9601</v>
      </c>
      <c r="AQ968" s="1" t="s">
        <v>74</v>
      </c>
      <c r="AR968" s="1" t="s">
        <v>74</v>
      </c>
      <c r="AS968" s="1" t="s">
        <v>74</v>
      </c>
      <c r="AT968" s="1" t="s">
        <v>745</v>
      </c>
      <c r="AU968" s="1">
        <v>2010.0</v>
      </c>
      <c r="AV968" s="1">
        <v>25.0</v>
      </c>
      <c r="AW968" s="1">
        <v>3.0</v>
      </c>
      <c r="AX968" s="1" t="s">
        <v>74</v>
      </c>
      <c r="AY968" s="1" t="s">
        <v>74</v>
      </c>
      <c r="AZ968" s="1" t="s">
        <v>74</v>
      </c>
      <c r="BA968" s="1" t="s">
        <v>74</v>
      </c>
      <c r="BB968" s="1">
        <v>683.0</v>
      </c>
      <c r="BC968" s="1">
        <v>690.0</v>
      </c>
      <c r="BD968" s="1" t="s">
        <v>74</v>
      </c>
      <c r="BE968" s="1" t="s">
        <v>9602</v>
      </c>
      <c r="BF968" s="2" t="str">
        <f>HYPERLINK("http://dx.doi.org/10.1007/s11284-010-0704-4","http://dx.doi.org/10.1007/s11284-010-0704-4")</f>
        <v>http://dx.doi.org/10.1007/s11284-010-0704-4</v>
      </c>
      <c r="BG968" s="1" t="s">
        <v>74</v>
      </c>
      <c r="BH968" s="1" t="s">
        <v>74</v>
      </c>
      <c r="BI968" s="1" t="s">
        <v>74</v>
      </c>
      <c r="BJ968" s="1" t="s">
        <v>74</v>
      </c>
      <c r="BK968" s="1" t="s">
        <v>74</v>
      </c>
      <c r="BL968" s="1" t="s">
        <v>74</v>
      </c>
      <c r="BM968" s="1" t="s">
        <v>74</v>
      </c>
      <c r="BN968" s="1" t="s">
        <v>74</v>
      </c>
      <c r="BO968" s="1" t="s">
        <v>74</v>
      </c>
      <c r="BP968" s="1" t="s">
        <v>74</v>
      </c>
      <c r="BQ968" s="1" t="s">
        <v>74</v>
      </c>
      <c r="BR968" s="1" t="s">
        <v>74</v>
      </c>
      <c r="BS968" s="1" t="s">
        <v>9603</v>
      </c>
      <c r="BT968" s="1" t="str">
        <f>HYPERLINK("https%3A%2F%2Fwww.webofscience.com%2Fwos%2Fwoscc%2Ffull-record%2FWOS:000277596100020","View Full Record in Web of Science")</f>
        <v>View Full Record in Web of Science</v>
      </c>
    </row>
    <row r="969" ht="12.75" customHeight="1">
      <c r="A969" s="1" t="s">
        <v>311</v>
      </c>
      <c r="B969" s="1" t="s">
        <v>9604</v>
      </c>
      <c r="C969" s="1" t="s">
        <v>74</v>
      </c>
      <c r="D969" s="1" t="s">
        <v>9605</v>
      </c>
      <c r="E969" s="1" t="s">
        <v>74</v>
      </c>
      <c r="F969" s="1" t="s">
        <v>9606</v>
      </c>
      <c r="G969" s="1" t="s">
        <v>74</v>
      </c>
      <c r="H969" s="1" t="s">
        <v>74</v>
      </c>
      <c r="I969" s="1" t="s">
        <v>9607</v>
      </c>
      <c r="J969" s="1" t="s">
        <v>9608</v>
      </c>
      <c r="K969" s="1" t="s">
        <v>9609</v>
      </c>
      <c r="L969" s="1" t="s">
        <v>74</v>
      </c>
      <c r="M969" s="1" t="s">
        <v>74</v>
      </c>
      <c r="N969" s="1" t="s">
        <v>74</v>
      </c>
      <c r="O969" s="1" t="s">
        <v>74</v>
      </c>
      <c r="P969" s="1" t="s">
        <v>74</v>
      </c>
      <c r="Q969" s="1" t="s">
        <v>74</v>
      </c>
      <c r="R969" s="1" t="s">
        <v>74</v>
      </c>
      <c r="S969" s="1" t="s">
        <v>74</v>
      </c>
      <c r="T969" s="1" t="s">
        <v>74</v>
      </c>
      <c r="U969" s="1" t="s">
        <v>74</v>
      </c>
      <c r="V969" s="1" t="s">
        <v>74</v>
      </c>
      <c r="W969" s="1" t="s">
        <v>74</v>
      </c>
      <c r="X969" s="1" t="s">
        <v>74</v>
      </c>
      <c r="Y969" s="1" t="s">
        <v>74</v>
      </c>
      <c r="Z969" s="1" t="s">
        <v>74</v>
      </c>
      <c r="AA969" s="1" t="s">
        <v>9610</v>
      </c>
      <c r="AB969" s="1" t="s">
        <v>9611</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9612</v>
      </c>
      <c r="AP969" s="1" t="s">
        <v>74</v>
      </c>
      <c r="AQ969" s="1" t="s">
        <v>9613</v>
      </c>
      <c r="AR969" s="1" t="s">
        <v>74</v>
      </c>
      <c r="AS969" s="1" t="s">
        <v>74</v>
      </c>
      <c r="AT969" s="1" t="s">
        <v>74</v>
      </c>
      <c r="AU969" s="1">
        <v>2010.0</v>
      </c>
      <c r="AV969" s="1">
        <v>68.0</v>
      </c>
      <c r="AW969" s="1" t="s">
        <v>74</v>
      </c>
      <c r="AX969" s="1" t="s">
        <v>74</v>
      </c>
      <c r="AY969" s="1" t="s">
        <v>74</v>
      </c>
      <c r="AZ969" s="1" t="s">
        <v>74</v>
      </c>
      <c r="BA969" s="1" t="s">
        <v>74</v>
      </c>
      <c r="BB969" s="1">
        <v>83.0</v>
      </c>
      <c r="BC969" s="1">
        <v>156.0</v>
      </c>
      <c r="BD969" s="1" t="s">
        <v>74</v>
      </c>
      <c r="BE969" s="1" t="s">
        <v>9614</v>
      </c>
      <c r="BF969" s="2" t="str">
        <f>HYPERLINK("http://dx.doi.org/10.1016/S1099-4831(10)06803-3","http://dx.doi.org/10.1016/S1099-4831(10)06803-3")</f>
        <v>http://dx.doi.org/10.1016/S1099-4831(10)06803-3</v>
      </c>
      <c r="BG969" s="1" t="s">
        <v>74</v>
      </c>
      <c r="BH969" s="1" t="s">
        <v>74</v>
      </c>
      <c r="BI969" s="1" t="s">
        <v>74</v>
      </c>
      <c r="BJ969" s="1" t="s">
        <v>74</v>
      </c>
      <c r="BK969" s="1" t="s">
        <v>74</v>
      </c>
      <c r="BL969" s="1" t="s">
        <v>74</v>
      </c>
      <c r="BM969" s="1" t="s">
        <v>74</v>
      </c>
      <c r="BN969" s="1">
        <v>2.0334037E7</v>
      </c>
      <c r="BO969" s="1" t="s">
        <v>74</v>
      </c>
      <c r="BP969" s="1" t="s">
        <v>74</v>
      </c>
      <c r="BQ969" s="1" t="s">
        <v>74</v>
      </c>
      <c r="BR969" s="1" t="s">
        <v>74</v>
      </c>
      <c r="BS969" s="1" t="s">
        <v>9615</v>
      </c>
      <c r="BT969" s="1" t="str">
        <f>HYPERLINK("https%3A%2F%2Fwww.webofscience.com%2Fwos%2Fwoscc%2Ffull-record%2FWOS:000310996400004","View Full Record in Web of Science")</f>
        <v>View Full Record in Web of Science</v>
      </c>
    </row>
    <row r="970" ht="12.75" customHeight="1">
      <c r="A970" s="1" t="s">
        <v>72</v>
      </c>
      <c r="B970" s="1" t="s">
        <v>9616</v>
      </c>
      <c r="C970" s="1" t="s">
        <v>74</v>
      </c>
      <c r="D970" s="1" t="s">
        <v>74</v>
      </c>
      <c r="E970" s="1" t="s">
        <v>74</v>
      </c>
      <c r="F970" s="1" t="s">
        <v>9617</v>
      </c>
      <c r="G970" s="1" t="s">
        <v>74</v>
      </c>
      <c r="H970" s="1" t="s">
        <v>74</v>
      </c>
      <c r="I970" s="1" t="s">
        <v>9618</v>
      </c>
      <c r="J970" s="1" t="s">
        <v>9619</v>
      </c>
      <c r="K970" s="1" t="s">
        <v>74</v>
      </c>
      <c r="L970" s="1" t="s">
        <v>74</v>
      </c>
      <c r="M970" s="1" t="s">
        <v>74</v>
      </c>
      <c r="N970" s="1" t="s">
        <v>74</v>
      </c>
      <c r="O970" s="1" t="s">
        <v>9620</v>
      </c>
      <c r="P970" s="1" t="s">
        <v>995</v>
      </c>
      <c r="Q970" s="1" t="s">
        <v>9621</v>
      </c>
      <c r="R970" s="1" t="s">
        <v>9622</v>
      </c>
      <c r="S970" s="1" t="s">
        <v>9623</v>
      </c>
      <c r="T970" s="1" t="s">
        <v>74</v>
      </c>
      <c r="U970" s="1" t="s">
        <v>74</v>
      </c>
      <c r="V970" s="1" t="s">
        <v>9624</v>
      </c>
      <c r="W970" s="1" t="s">
        <v>74</v>
      </c>
      <c r="X970" s="1" t="s">
        <v>74</v>
      </c>
      <c r="Y970" s="1" t="s">
        <v>74</v>
      </c>
      <c r="Z970" s="1" t="s">
        <v>74</v>
      </c>
      <c r="AA970" s="1" t="s">
        <v>9625</v>
      </c>
      <c r="AB970" s="1" t="s">
        <v>3386</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9626</v>
      </c>
      <c r="AP970" s="1" t="s">
        <v>74</v>
      </c>
      <c r="AQ970" s="1" t="s">
        <v>74</v>
      </c>
      <c r="AR970" s="1" t="s">
        <v>74</v>
      </c>
      <c r="AS970" s="1" t="s">
        <v>74</v>
      </c>
      <c r="AT970" s="1" t="s">
        <v>282</v>
      </c>
      <c r="AU970" s="1">
        <v>2009.0</v>
      </c>
      <c r="AV970" s="1">
        <v>19.0</v>
      </c>
      <c r="AW970" s="1">
        <v>8.0</v>
      </c>
      <c r="AX970" s="1" t="s">
        <v>74</v>
      </c>
      <c r="AY970" s="1" t="s">
        <v>74</v>
      </c>
      <c r="AZ970" s="1" t="s">
        <v>74</v>
      </c>
      <c r="BA970" s="1" t="s">
        <v>74</v>
      </c>
      <c r="BB970" s="1">
        <v>2755.0</v>
      </c>
      <c r="BC970" s="1">
        <v>2764.0</v>
      </c>
      <c r="BD970" s="1" t="s">
        <v>74</v>
      </c>
      <c r="BE970" s="1" t="s">
        <v>9627</v>
      </c>
      <c r="BF970" s="2" t="str">
        <f>HYPERLINK("http://dx.doi.org/10.1142/S0218127409024463","http://dx.doi.org/10.1142/S0218127409024463")</f>
        <v>http://dx.doi.org/10.1142/S0218127409024463</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9628</v>
      </c>
      <c r="BT970" s="1" t="str">
        <f>HYPERLINK("https%3A%2F%2Fwww.webofscience.com%2Fwos%2Fwoscc%2Ffull-record%2FWOS:000271475800023","View Full Record in Web of Science")</f>
        <v>View Full Record in Web of Science</v>
      </c>
    </row>
    <row r="971" ht="12.75" customHeight="1">
      <c r="A971" s="1" t="s">
        <v>72</v>
      </c>
      <c r="B971" s="1" t="s">
        <v>9629</v>
      </c>
      <c r="C971" s="1" t="s">
        <v>74</v>
      </c>
      <c r="D971" s="1" t="s">
        <v>74</v>
      </c>
      <c r="E971" s="1" t="s">
        <v>74</v>
      </c>
      <c r="F971" s="1" t="s">
        <v>9630</v>
      </c>
      <c r="G971" s="1" t="s">
        <v>74</v>
      </c>
      <c r="H971" s="1" t="s">
        <v>74</v>
      </c>
      <c r="I971" s="1" t="s">
        <v>9631</v>
      </c>
      <c r="J971" s="1" t="s">
        <v>9632</v>
      </c>
      <c r="K971" s="1" t="s">
        <v>74</v>
      </c>
      <c r="L971" s="1" t="s">
        <v>74</v>
      </c>
      <c r="M971" s="1" t="s">
        <v>74</v>
      </c>
      <c r="N971" s="1" t="s">
        <v>74</v>
      </c>
      <c r="O971" s="1" t="s">
        <v>9633</v>
      </c>
      <c r="P971" s="1" t="s">
        <v>9634</v>
      </c>
      <c r="Q971" s="1" t="s">
        <v>9635</v>
      </c>
      <c r="R971" s="1" t="s">
        <v>9636</v>
      </c>
      <c r="S971" s="1" t="s">
        <v>74</v>
      </c>
      <c r="T971" s="1" t="s">
        <v>74</v>
      </c>
      <c r="U971" s="1" t="s">
        <v>74</v>
      </c>
      <c r="V971" s="1" t="s">
        <v>9637</v>
      </c>
      <c r="W971" s="1" t="s">
        <v>74</v>
      </c>
      <c r="X971" s="1" t="s">
        <v>74</v>
      </c>
      <c r="Y971" s="1" t="s">
        <v>74</v>
      </c>
      <c r="Z971" s="1" t="s">
        <v>74</v>
      </c>
      <c r="AA971" s="1" t="s">
        <v>9638</v>
      </c>
      <c r="AB971" s="1" t="s">
        <v>9639</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9640</v>
      </c>
      <c r="AP971" s="1" t="s">
        <v>9641</v>
      </c>
      <c r="AQ971" s="1" t="s">
        <v>74</v>
      </c>
      <c r="AR971" s="1" t="s">
        <v>74</v>
      </c>
      <c r="AS971" s="1" t="s">
        <v>74</v>
      </c>
      <c r="AT971" s="1" t="s">
        <v>74</v>
      </c>
      <c r="AU971" s="1">
        <v>2009.0</v>
      </c>
      <c r="AV971" s="1">
        <v>27.0</v>
      </c>
      <c r="AW971" s="1" t="s">
        <v>74</v>
      </c>
      <c r="AX971" s="1" t="s">
        <v>74</v>
      </c>
      <c r="AY971" s="1" t="s">
        <v>74</v>
      </c>
      <c r="AZ971" s="1" t="s">
        <v>569</v>
      </c>
      <c r="BA971" s="1" t="s">
        <v>74</v>
      </c>
      <c r="BB971" s="1" t="s">
        <v>9642</v>
      </c>
      <c r="BC971" s="1" t="s">
        <v>9643</v>
      </c>
      <c r="BD971" s="1" t="s">
        <v>74</v>
      </c>
      <c r="BE971" s="1" t="s">
        <v>9644</v>
      </c>
      <c r="BF971" s="2" t="str">
        <f>HYPERLINK("http://dx.doi.org/10.17221/1084-CJFS","http://dx.doi.org/10.17221/1084-CJFS")</f>
        <v>http://dx.doi.org/10.17221/1084-CJFS</v>
      </c>
      <c r="BG971" s="1" t="s">
        <v>74</v>
      </c>
      <c r="BH971" s="1" t="s">
        <v>74</v>
      </c>
      <c r="BI971" s="1" t="s">
        <v>74</v>
      </c>
      <c r="BJ971" s="1" t="s">
        <v>74</v>
      </c>
      <c r="BK971" s="1" t="s">
        <v>74</v>
      </c>
      <c r="BL971" s="1" t="s">
        <v>74</v>
      </c>
      <c r="BM971" s="1" t="s">
        <v>74</v>
      </c>
      <c r="BN971" s="1" t="s">
        <v>74</v>
      </c>
      <c r="BO971" s="1" t="s">
        <v>74</v>
      </c>
      <c r="BP971" s="1" t="s">
        <v>74</v>
      </c>
      <c r="BQ971" s="1" t="s">
        <v>74</v>
      </c>
      <c r="BR971" s="1" t="s">
        <v>74</v>
      </c>
      <c r="BS971" s="1" t="s">
        <v>9645</v>
      </c>
      <c r="BT971" s="1" t="str">
        <f>HYPERLINK("https%3A%2F%2Fwww.webofscience.com%2Fwos%2Fwoscc%2Ffull-record%2FWOS:000269005600056","View Full Record in Web of Science")</f>
        <v>View Full Record in Web of Science</v>
      </c>
    </row>
    <row r="972" ht="12.75" customHeight="1">
      <c r="A972" s="1" t="s">
        <v>72</v>
      </c>
      <c r="B972" s="1" t="s">
        <v>9646</v>
      </c>
      <c r="C972" s="1" t="s">
        <v>74</v>
      </c>
      <c r="D972" s="1" t="s">
        <v>74</v>
      </c>
      <c r="E972" s="1" t="s">
        <v>74</v>
      </c>
      <c r="F972" s="1" t="s">
        <v>9646</v>
      </c>
      <c r="G972" s="1" t="s">
        <v>74</v>
      </c>
      <c r="H972" s="1" t="s">
        <v>74</v>
      </c>
      <c r="I972" s="1" t="s">
        <v>9647</v>
      </c>
      <c r="J972" s="1" t="s">
        <v>9648</v>
      </c>
      <c r="K972" s="1" t="s">
        <v>74</v>
      </c>
      <c r="L972" s="1" t="s">
        <v>74</v>
      </c>
      <c r="M972" s="1" t="s">
        <v>74</v>
      </c>
      <c r="N972" s="1" t="s">
        <v>74</v>
      </c>
      <c r="O972" s="1" t="s">
        <v>74</v>
      </c>
      <c r="P972" s="1" t="s">
        <v>74</v>
      </c>
      <c r="Q972" s="1" t="s">
        <v>74</v>
      </c>
      <c r="R972" s="1" t="s">
        <v>74</v>
      </c>
      <c r="S972" s="1" t="s">
        <v>74</v>
      </c>
      <c r="T972" s="1" t="s">
        <v>74</v>
      </c>
      <c r="U972" s="1" t="s">
        <v>74</v>
      </c>
      <c r="V972" s="1" t="s">
        <v>9649</v>
      </c>
      <c r="W972" s="1" t="s">
        <v>74</v>
      </c>
      <c r="X972" s="1" t="s">
        <v>74</v>
      </c>
      <c r="Y972" s="1" t="s">
        <v>74</v>
      </c>
      <c r="Z972" s="1" t="s">
        <v>74</v>
      </c>
      <c r="AA972" s="1" t="s">
        <v>8456</v>
      </c>
      <c r="AB972" s="1" t="s">
        <v>9650</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9651</v>
      </c>
      <c r="AP972" s="1" t="s">
        <v>74</v>
      </c>
      <c r="AQ972" s="1" t="s">
        <v>74</v>
      </c>
      <c r="AR972" s="1" t="s">
        <v>74</v>
      </c>
      <c r="AS972" s="1" t="s">
        <v>74</v>
      </c>
      <c r="AT972" s="1" t="s">
        <v>1106</v>
      </c>
      <c r="AU972" s="1">
        <v>2005.0</v>
      </c>
      <c r="AV972" s="1">
        <v>115.0</v>
      </c>
      <c r="AW972" s="1">
        <v>1.0</v>
      </c>
      <c r="AX972" s="1" t="s">
        <v>74</v>
      </c>
      <c r="AY972" s="1" t="s">
        <v>74</v>
      </c>
      <c r="AZ972" s="1" t="s">
        <v>74</v>
      </c>
      <c r="BA972" s="1" t="s">
        <v>74</v>
      </c>
      <c r="BB972" s="1">
        <v>47.0</v>
      </c>
      <c r="BC972" s="1">
        <v>54.0</v>
      </c>
      <c r="BD972" s="1" t="s">
        <v>74</v>
      </c>
      <c r="BE972" s="1" t="s">
        <v>9652</v>
      </c>
      <c r="BF972" s="2" t="str">
        <f>HYPERLINK("http://dx.doi.org/10.1080/00207450490512641","http://dx.doi.org/10.1080/00207450490512641")</f>
        <v>http://dx.doi.org/10.1080/00207450490512641</v>
      </c>
      <c r="BG972" s="1" t="s">
        <v>74</v>
      </c>
      <c r="BH972" s="1" t="s">
        <v>74</v>
      </c>
      <c r="BI972" s="1" t="s">
        <v>74</v>
      </c>
      <c r="BJ972" s="1" t="s">
        <v>74</v>
      </c>
      <c r="BK972" s="1" t="s">
        <v>74</v>
      </c>
      <c r="BL972" s="1" t="s">
        <v>74</v>
      </c>
      <c r="BM972" s="1" t="s">
        <v>74</v>
      </c>
      <c r="BN972" s="1">
        <v>1.5768851E7</v>
      </c>
      <c r="BO972" s="1" t="s">
        <v>74</v>
      </c>
      <c r="BP972" s="1" t="s">
        <v>74</v>
      </c>
      <c r="BQ972" s="1" t="s">
        <v>74</v>
      </c>
      <c r="BR972" s="1" t="s">
        <v>74</v>
      </c>
      <c r="BS972" s="1" t="s">
        <v>9653</v>
      </c>
      <c r="BT972" s="1" t="str">
        <f>HYPERLINK("https%3A%2F%2Fwww.webofscience.com%2Fwos%2Fwoscc%2Ffull-record%2FWOS:000226139000005","View Full Record in Web of Science")</f>
        <v>View Full Record in Web of Science</v>
      </c>
    </row>
    <row r="973" ht="12.75" customHeight="1">
      <c r="A973" s="1" t="s">
        <v>72</v>
      </c>
      <c r="B973" s="1" t="s">
        <v>9654</v>
      </c>
      <c r="C973" s="1" t="s">
        <v>74</v>
      </c>
      <c r="D973" s="1" t="s">
        <v>74</v>
      </c>
      <c r="E973" s="1" t="s">
        <v>74</v>
      </c>
      <c r="F973" s="1" t="s">
        <v>9654</v>
      </c>
      <c r="G973" s="1" t="s">
        <v>74</v>
      </c>
      <c r="H973" s="1" t="s">
        <v>74</v>
      </c>
      <c r="I973" s="1" t="s">
        <v>9655</v>
      </c>
      <c r="J973" s="1" t="s">
        <v>1577</v>
      </c>
      <c r="K973" s="1" t="s">
        <v>74</v>
      </c>
      <c r="L973" s="1" t="s">
        <v>74</v>
      </c>
      <c r="M973" s="1" t="s">
        <v>74</v>
      </c>
      <c r="N973" s="1" t="s">
        <v>74</v>
      </c>
      <c r="O973" s="1" t="s">
        <v>74</v>
      </c>
      <c r="P973" s="1" t="s">
        <v>74</v>
      </c>
      <c r="Q973" s="1" t="s">
        <v>74</v>
      </c>
      <c r="R973" s="1" t="s">
        <v>74</v>
      </c>
      <c r="S973" s="1" t="s">
        <v>74</v>
      </c>
      <c r="T973" s="1" t="s">
        <v>74</v>
      </c>
      <c r="U973" s="1" t="s">
        <v>74</v>
      </c>
      <c r="V973" s="1" t="s">
        <v>9656</v>
      </c>
      <c r="W973" s="1" t="s">
        <v>74</v>
      </c>
      <c r="X973" s="1" t="s">
        <v>74</v>
      </c>
      <c r="Y973" s="1" t="s">
        <v>74</v>
      </c>
      <c r="Z973" s="1" t="s">
        <v>74</v>
      </c>
      <c r="AA973" s="1" t="s">
        <v>9657</v>
      </c>
      <c r="AB973" s="1" t="s">
        <v>74</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2765</v>
      </c>
      <c r="AP973" s="1" t="s">
        <v>74</v>
      </c>
      <c r="AQ973" s="1" t="s">
        <v>74</v>
      </c>
      <c r="AR973" s="1" t="s">
        <v>74</v>
      </c>
      <c r="AS973" s="1" t="s">
        <v>74</v>
      </c>
      <c r="AT973" s="1" t="s">
        <v>164</v>
      </c>
      <c r="AU973" s="1">
        <v>2004.0</v>
      </c>
      <c r="AV973" s="1">
        <v>49.0</v>
      </c>
      <c r="AW973" s="1">
        <v>4.0</v>
      </c>
      <c r="AX973" s="1" t="s">
        <v>74</v>
      </c>
      <c r="AY973" s="1" t="s">
        <v>74</v>
      </c>
      <c r="AZ973" s="1" t="s">
        <v>74</v>
      </c>
      <c r="BA973" s="1" t="s">
        <v>74</v>
      </c>
      <c r="BB973" s="1">
        <v>281.0</v>
      </c>
      <c r="BC973" s="1">
        <v>284.0</v>
      </c>
      <c r="BD973" s="1" t="s">
        <v>74</v>
      </c>
      <c r="BE973" s="1" t="s">
        <v>74</v>
      </c>
      <c r="BF973" s="1" t="s">
        <v>74</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9658</v>
      </c>
      <c r="BT973" s="1" t="str">
        <f>HYPERLINK("https%3A%2F%2Fwww.webofscience.com%2Fwos%2Fwoscc%2Ffull-record%2FWOS:000225815900001","View Full Record in Web of Science")</f>
        <v>View Full Record in Web of Science</v>
      </c>
    </row>
    <row r="974" ht="12.75" customHeight="1">
      <c r="A974" s="1" t="s">
        <v>72</v>
      </c>
      <c r="B974" s="1" t="s">
        <v>9659</v>
      </c>
      <c r="C974" s="1" t="s">
        <v>74</v>
      </c>
      <c r="D974" s="1" t="s">
        <v>74</v>
      </c>
      <c r="E974" s="1" t="s">
        <v>74</v>
      </c>
      <c r="F974" s="1" t="s">
        <v>9659</v>
      </c>
      <c r="G974" s="1" t="s">
        <v>74</v>
      </c>
      <c r="H974" s="1" t="s">
        <v>74</v>
      </c>
      <c r="I974" s="1" t="s">
        <v>9660</v>
      </c>
      <c r="J974" s="1" t="s">
        <v>9661</v>
      </c>
      <c r="K974" s="1" t="s">
        <v>74</v>
      </c>
      <c r="L974" s="1" t="s">
        <v>74</v>
      </c>
      <c r="M974" s="1" t="s">
        <v>74</v>
      </c>
      <c r="N974" s="1" t="s">
        <v>74</v>
      </c>
      <c r="O974" s="1" t="s">
        <v>9662</v>
      </c>
      <c r="P974" s="1" t="s">
        <v>9663</v>
      </c>
      <c r="Q974" s="1" t="s">
        <v>9664</v>
      </c>
      <c r="R974" s="1" t="s">
        <v>9665</v>
      </c>
      <c r="S974" s="1" t="s">
        <v>74</v>
      </c>
      <c r="T974" s="1" t="s">
        <v>74</v>
      </c>
      <c r="U974" s="1" t="s">
        <v>74</v>
      </c>
      <c r="V974" s="1" t="s">
        <v>9666</v>
      </c>
      <c r="W974" s="1" t="s">
        <v>74</v>
      </c>
      <c r="X974" s="1" t="s">
        <v>74</v>
      </c>
      <c r="Y974" s="1" t="s">
        <v>74</v>
      </c>
      <c r="Z974" s="1" t="s">
        <v>74</v>
      </c>
      <c r="AA974" s="1" t="s">
        <v>2158</v>
      </c>
      <c r="AB974" s="1" t="s">
        <v>7563</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9667</v>
      </c>
      <c r="AP974" s="1" t="s">
        <v>9668</v>
      </c>
      <c r="AQ974" s="1" t="s">
        <v>74</v>
      </c>
      <c r="AR974" s="1" t="s">
        <v>74</v>
      </c>
      <c r="AS974" s="1" t="s">
        <v>74</v>
      </c>
      <c r="AT974" s="1" t="s">
        <v>9669</v>
      </c>
      <c r="AU974" s="1">
        <v>2004.0</v>
      </c>
      <c r="AV974" s="1">
        <v>169.0</v>
      </c>
      <c r="AW974" s="1" t="s">
        <v>2903</v>
      </c>
      <c r="AX974" s="1" t="s">
        <v>74</v>
      </c>
      <c r="AY974" s="1" t="s">
        <v>74</v>
      </c>
      <c r="AZ974" s="1" t="s">
        <v>569</v>
      </c>
      <c r="BA974" s="1" t="s">
        <v>74</v>
      </c>
      <c r="BB974" s="1">
        <v>59.0</v>
      </c>
      <c r="BC974" s="1">
        <v>63.0</v>
      </c>
      <c r="BD974" s="1" t="s">
        <v>74</v>
      </c>
      <c r="BE974" s="1" t="s">
        <v>9670</v>
      </c>
      <c r="BF974" s="2" t="str">
        <f>HYPERLINK("http://dx.doi.org/10.1016/S0167-2738(03)00083-3","http://dx.doi.org/10.1016/S0167-2738(03)00083-3")</f>
        <v>http://dx.doi.org/10.1016/S0167-2738(03)00083-3</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9671</v>
      </c>
      <c r="BT974" s="1" t="str">
        <f>HYPERLINK("https%3A%2F%2Fwww.webofscience.com%2Fwos%2Fwoscc%2Ffull-record%2FWOS:000222429700011","View Full Record in Web of Science")</f>
        <v>View Full Record in Web of Science</v>
      </c>
    </row>
    <row r="975" ht="12.75" customHeight="1">
      <c r="A975" s="1" t="s">
        <v>72</v>
      </c>
      <c r="B975" s="1" t="s">
        <v>9672</v>
      </c>
      <c r="C975" s="1" t="s">
        <v>74</v>
      </c>
      <c r="D975" s="1" t="s">
        <v>74</v>
      </c>
      <c r="E975" s="1" t="s">
        <v>74</v>
      </c>
      <c r="F975" s="1" t="s">
        <v>9672</v>
      </c>
      <c r="G975" s="1" t="s">
        <v>74</v>
      </c>
      <c r="H975" s="1" t="s">
        <v>74</v>
      </c>
      <c r="I975" s="1" t="s">
        <v>9673</v>
      </c>
      <c r="J975" s="1" t="s">
        <v>1065</v>
      </c>
      <c r="K975" s="1" t="s">
        <v>74</v>
      </c>
      <c r="L975" s="1" t="s">
        <v>74</v>
      </c>
      <c r="M975" s="1" t="s">
        <v>74</v>
      </c>
      <c r="N975" s="1" t="s">
        <v>74</v>
      </c>
      <c r="O975" s="1" t="s">
        <v>74</v>
      </c>
      <c r="P975" s="1" t="s">
        <v>74</v>
      </c>
      <c r="Q975" s="1" t="s">
        <v>74</v>
      </c>
      <c r="R975" s="1" t="s">
        <v>74</v>
      </c>
      <c r="S975" s="1" t="s">
        <v>74</v>
      </c>
      <c r="T975" s="1" t="s">
        <v>74</v>
      </c>
      <c r="U975" s="1" t="s">
        <v>74</v>
      </c>
      <c r="V975" s="1" t="s">
        <v>9674</v>
      </c>
      <c r="W975" s="1" t="s">
        <v>74</v>
      </c>
      <c r="X975" s="1" t="s">
        <v>74</v>
      </c>
      <c r="Y975" s="1" t="s">
        <v>74</v>
      </c>
      <c r="Z975" s="1" t="s">
        <v>74</v>
      </c>
      <c r="AA975" s="1" t="s">
        <v>74</v>
      </c>
      <c r="AB975" s="1" t="s">
        <v>74</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1068</v>
      </c>
      <c r="AP975" s="1" t="s">
        <v>2288</v>
      </c>
      <c r="AQ975" s="1" t="s">
        <v>74</v>
      </c>
      <c r="AR975" s="1" t="s">
        <v>74</v>
      </c>
      <c r="AS975" s="1" t="s">
        <v>74</v>
      </c>
      <c r="AT975" s="1" t="s">
        <v>1657</v>
      </c>
      <c r="AU975" s="1">
        <v>2003.0</v>
      </c>
      <c r="AV975" s="1">
        <v>48.0</v>
      </c>
      <c r="AW975" s="1">
        <v>17.0</v>
      </c>
      <c r="AX975" s="1" t="s">
        <v>74</v>
      </c>
      <c r="AY975" s="1" t="s">
        <v>74</v>
      </c>
      <c r="AZ975" s="1" t="s">
        <v>74</v>
      </c>
      <c r="BA975" s="1" t="s">
        <v>74</v>
      </c>
      <c r="BB975" s="1">
        <v>2389.0</v>
      </c>
      <c r="BC975" s="1">
        <v>2395.0</v>
      </c>
      <c r="BD975" s="1" t="s">
        <v>74</v>
      </c>
      <c r="BE975" s="1" t="s">
        <v>9675</v>
      </c>
      <c r="BF975" s="2" t="str">
        <f>HYPERLINK("http://dx.doi.org/10.1016/S0013-4686(03)00252-4","http://dx.doi.org/10.1016/S0013-4686(03)00252-4")</f>
        <v>http://dx.doi.org/10.1016/S0013-4686(03)00252-4</v>
      </c>
      <c r="BG975" s="1" t="s">
        <v>74</v>
      </c>
      <c r="BH975" s="1" t="s">
        <v>74</v>
      </c>
      <c r="BI975" s="1" t="s">
        <v>74</v>
      </c>
      <c r="BJ975" s="1" t="s">
        <v>74</v>
      </c>
      <c r="BK975" s="1" t="s">
        <v>74</v>
      </c>
      <c r="BL975" s="1" t="s">
        <v>74</v>
      </c>
      <c r="BM975" s="1" t="s">
        <v>74</v>
      </c>
      <c r="BN975" s="1" t="s">
        <v>74</v>
      </c>
      <c r="BO975" s="1" t="s">
        <v>74</v>
      </c>
      <c r="BP975" s="1" t="s">
        <v>74</v>
      </c>
      <c r="BQ975" s="1" t="s">
        <v>74</v>
      </c>
      <c r="BR975" s="1" t="s">
        <v>74</v>
      </c>
      <c r="BS975" s="1" t="s">
        <v>9676</v>
      </c>
      <c r="BT975" s="1" t="str">
        <f>HYPERLINK("https%3A%2F%2Fwww.webofscience.com%2Fwos%2Fwoscc%2Ffull-record%2FWOS:000184166900003","View Full Record in Web of Science")</f>
        <v>View Full Record in Web of Science</v>
      </c>
    </row>
    <row r="976" ht="12.75" customHeight="1">
      <c r="A976" s="1" t="s">
        <v>72</v>
      </c>
      <c r="B976" s="1" t="s">
        <v>9677</v>
      </c>
      <c r="C976" s="1" t="s">
        <v>74</v>
      </c>
      <c r="D976" s="1" t="s">
        <v>74</v>
      </c>
      <c r="E976" s="1" t="s">
        <v>74</v>
      </c>
      <c r="F976" s="1" t="s">
        <v>9677</v>
      </c>
      <c r="G976" s="1" t="s">
        <v>74</v>
      </c>
      <c r="H976" s="1" t="s">
        <v>74</v>
      </c>
      <c r="I976" s="1" t="s">
        <v>9678</v>
      </c>
      <c r="J976" s="1" t="s">
        <v>9679</v>
      </c>
      <c r="K976" s="1" t="s">
        <v>74</v>
      </c>
      <c r="L976" s="1" t="s">
        <v>74</v>
      </c>
      <c r="M976" s="1" t="s">
        <v>74</v>
      </c>
      <c r="N976" s="1" t="s">
        <v>74</v>
      </c>
      <c r="O976" s="1" t="s">
        <v>74</v>
      </c>
      <c r="P976" s="1" t="s">
        <v>74</v>
      </c>
      <c r="Q976" s="1" t="s">
        <v>74</v>
      </c>
      <c r="R976" s="1" t="s">
        <v>74</v>
      </c>
      <c r="S976" s="1" t="s">
        <v>74</v>
      </c>
      <c r="T976" s="1" t="s">
        <v>74</v>
      </c>
      <c r="U976" s="1" t="s">
        <v>74</v>
      </c>
      <c r="V976" s="1" t="s">
        <v>9680</v>
      </c>
      <c r="W976" s="1" t="s">
        <v>74</v>
      </c>
      <c r="X976" s="1" t="s">
        <v>74</v>
      </c>
      <c r="Y976" s="1" t="s">
        <v>74</v>
      </c>
      <c r="Z976" s="1" t="s">
        <v>74</v>
      </c>
      <c r="AA976" s="1" t="s">
        <v>9681</v>
      </c>
      <c r="AB976" s="1" t="s">
        <v>5979</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9682</v>
      </c>
      <c r="AP976" s="1" t="s">
        <v>74</v>
      </c>
      <c r="AQ976" s="1" t="s">
        <v>74</v>
      </c>
      <c r="AR976" s="1" t="s">
        <v>74</v>
      </c>
      <c r="AS976" s="1" t="s">
        <v>74</v>
      </c>
      <c r="AT976" s="1" t="s">
        <v>9683</v>
      </c>
      <c r="AU976" s="1">
        <v>2003.0</v>
      </c>
      <c r="AV976" s="1">
        <v>342.0</v>
      </c>
      <c r="AW976" s="1">
        <v>3.0</v>
      </c>
      <c r="AX976" s="1" t="s">
        <v>74</v>
      </c>
      <c r="AY976" s="1" t="s">
        <v>74</v>
      </c>
      <c r="AZ976" s="1" t="s">
        <v>74</v>
      </c>
      <c r="BA976" s="1" t="s">
        <v>74</v>
      </c>
      <c r="BB976" s="1">
        <v>139.0</v>
      </c>
      <c r="BC976" s="1">
        <v>142.0</v>
      </c>
      <c r="BD976" s="1" t="s">
        <v>74</v>
      </c>
      <c r="BE976" s="1" t="s">
        <v>9684</v>
      </c>
      <c r="BF976" s="2" t="str">
        <f>HYPERLINK("http://dx.doi.org/10.1016/S0304-3940(03)00278-7","http://dx.doi.org/10.1016/S0304-3940(03)00278-7")</f>
        <v>http://dx.doi.org/10.1016/S0304-3940(03)00278-7</v>
      </c>
      <c r="BG976" s="1" t="s">
        <v>74</v>
      </c>
      <c r="BH976" s="1" t="s">
        <v>74</v>
      </c>
      <c r="BI976" s="1" t="s">
        <v>74</v>
      </c>
      <c r="BJ976" s="1" t="s">
        <v>74</v>
      </c>
      <c r="BK976" s="1" t="s">
        <v>74</v>
      </c>
      <c r="BL976" s="1" t="s">
        <v>74</v>
      </c>
      <c r="BM976" s="1" t="s">
        <v>74</v>
      </c>
      <c r="BN976" s="1">
        <v>1.2757884E7</v>
      </c>
      <c r="BO976" s="1" t="s">
        <v>74</v>
      </c>
      <c r="BP976" s="1" t="s">
        <v>74</v>
      </c>
      <c r="BQ976" s="1" t="s">
        <v>74</v>
      </c>
      <c r="BR976" s="1" t="s">
        <v>74</v>
      </c>
      <c r="BS976" s="1" t="s">
        <v>9685</v>
      </c>
      <c r="BT976" s="1" t="str">
        <f>HYPERLINK("https%3A%2F%2Fwww.webofscience.com%2Fwos%2Fwoscc%2Ffull-record%2FWOS:000183093200001","View Full Record in Web of Science")</f>
        <v>View Full Record in Web of Science</v>
      </c>
    </row>
    <row r="977" ht="12.75" customHeight="1">
      <c r="A977" s="1" t="s">
        <v>72</v>
      </c>
      <c r="B977" s="1" t="s">
        <v>9686</v>
      </c>
      <c r="C977" s="1" t="s">
        <v>74</v>
      </c>
      <c r="D977" s="1" t="s">
        <v>74</v>
      </c>
      <c r="E977" s="1" t="s">
        <v>74</v>
      </c>
      <c r="F977" s="1" t="s">
        <v>9686</v>
      </c>
      <c r="G977" s="1" t="s">
        <v>74</v>
      </c>
      <c r="H977" s="1" t="s">
        <v>74</v>
      </c>
      <c r="I977" s="1" t="s">
        <v>9687</v>
      </c>
      <c r="J977" s="1" t="s">
        <v>9204</v>
      </c>
      <c r="K977" s="1" t="s">
        <v>74</v>
      </c>
      <c r="L977" s="1" t="s">
        <v>74</v>
      </c>
      <c r="M977" s="1" t="s">
        <v>74</v>
      </c>
      <c r="N977" s="1" t="s">
        <v>74</v>
      </c>
      <c r="O977" s="1" t="s">
        <v>9688</v>
      </c>
      <c r="P977" s="1" t="s">
        <v>9689</v>
      </c>
      <c r="Q977" s="1" t="s">
        <v>9690</v>
      </c>
      <c r="R977" s="1" t="s">
        <v>9691</v>
      </c>
      <c r="S977" s="1" t="s">
        <v>74</v>
      </c>
      <c r="T977" s="1" t="s">
        <v>74</v>
      </c>
      <c r="U977" s="1" t="s">
        <v>74</v>
      </c>
      <c r="V977" s="1" t="s">
        <v>9692</v>
      </c>
      <c r="W977" s="1" t="s">
        <v>74</v>
      </c>
      <c r="X977" s="1" t="s">
        <v>74</v>
      </c>
      <c r="Y977" s="1" t="s">
        <v>74</v>
      </c>
      <c r="Z977" s="1" t="s">
        <v>74</v>
      </c>
      <c r="AA977" s="1" t="s">
        <v>9693</v>
      </c>
      <c r="AB977" s="1" t="s">
        <v>9694</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9208</v>
      </c>
      <c r="AP977" s="1" t="s">
        <v>74</v>
      </c>
      <c r="AQ977" s="1" t="s">
        <v>74</v>
      </c>
      <c r="AR977" s="1" t="s">
        <v>74</v>
      </c>
      <c r="AS977" s="1" t="s">
        <v>74</v>
      </c>
      <c r="AT977" s="1" t="s">
        <v>177</v>
      </c>
      <c r="AU977" s="1">
        <v>2001.0</v>
      </c>
      <c r="AV977" s="1">
        <v>8.0</v>
      </c>
      <c r="AW977" s="1">
        <v>3.0</v>
      </c>
      <c r="AX977" s="1" t="s">
        <v>74</v>
      </c>
      <c r="AY977" s="1" t="s">
        <v>74</v>
      </c>
      <c r="AZ977" s="1" t="s">
        <v>74</v>
      </c>
      <c r="BA977" s="1" t="s">
        <v>74</v>
      </c>
      <c r="BB977" s="1">
        <v>183.0</v>
      </c>
      <c r="BC977" s="1">
        <v>189.0</v>
      </c>
      <c r="BD977" s="1" t="s">
        <v>74</v>
      </c>
      <c r="BE977" s="1" t="s">
        <v>9695</v>
      </c>
      <c r="BF977" s="2" t="str">
        <f>HYPERLINK("http://dx.doi.org/10.1016/S1350-4177(01)00076-1","http://dx.doi.org/10.1016/S1350-4177(01)00076-1")</f>
        <v>http://dx.doi.org/10.1016/S1350-4177(01)00076-1</v>
      </c>
      <c r="BG977" s="1" t="s">
        <v>74</v>
      </c>
      <c r="BH977" s="1" t="s">
        <v>74</v>
      </c>
      <c r="BI977" s="1" t="s">
        <v>74</v>
      </c>
      <c r="BJ977" s="1" t="s">
        <v>74</v>
      </c>
      <c r="BK977" s="1" t="s">
        <v>74</v>
      </c>
      <c r="BL977" s="1" t="s">
        <v>74</v>
      </c>
      <c r="BM977" s="1" t="s">
        <v>74</v>
      </c>
      <c r="BN977" s="1">
        <v>1.1441596E7</v>
      </c>
      <c r="BO977" s="1" t="s">
        <v>74</v>
      </c>
      <c r="BP977" s="1" t="s">
        <v>74</v>
      </c>
      <c r="BQ977" s="1" t="s">
        <v>74</v>
      </c>
      <c r="BR977" s="1" t="s">
        <v>74</v>
      </c>
      <c r="BS977" s="1" t="s">
        <v>9696</v>
      </c>
      <c r="BT977" s="1" t="str">
        <f>HYPERLINK("https%3A%2F%2Fwww.webofscience.com%2Fwos%2Fwoscc%2Ffull-record%2FWOS:000169537500005","View Full Record in Web of Science")</f>
        <v>View Full Record in Web of Science</v>
      </c>
    </row>
    <row r="978" ht="12.75" customHeight="1">
      <c r="A978" s="1" t="s">
        <v>72</v>
      </c>
      <c r="B978" s="1" t="s">
        <v>6370</v>
      </c>
      <c r="C978" s="1" t="s">
        <v>74</v>
      </c>
      <c r="D978" s="1" t="s">
        <v>74</v>
      </c>
      <c r="E978" s="1" t="s">
        <v>74</v>
      </c>
      <c r="F978" s="1" t="s">
        <v>6370</v>
      </c>
      <c r="G978" s="1" t="s">
        <v>74</v>
      </c>
      <c r="H978" s="1" t="s">
        <v>74</v>
      </c>
      <c r="I978" s="1" t="s">
        <v>9697</v>
      </c>
      <c r="J978" s="1" t="s">
        <v>9698</v>
      </c>
      <c r="K978" s="1" t="s">
        <v>74</v>
      </c>
      <c r="L978" s="1" t="s">
        <v>74</v>
      </c>
      <c r="M978" s="1" t="s">
        <v>74</v>
      </c>
      <c r="N978" s="1" t="s">
        <v>74</v>
      </c>
      <c r="O978" s="1" t="s">
        <v>9699</v>
      </c>
      <c r="P978" s="1" t="s">
        <v>9700</v>
      </c>
      <c r="Q978" s="1" t="s">
        <v>9701</v>
      </c>
      <c r="R978" s="1" t="s">
        <v>9702</v>
      </c>
      <c r="S978" s="1" t="s">
        <v>74</v>
      </c>
      <c r="T978" s="1" t="s">
        <v>74</v>
      </c>
      <c r="U978" s="1" t="s">
        <v>74</v>
      </c>
      <c r="V978" s="1" t="s">
        <v>9703</v>
      </c>
      <c r="W978" s="1" t="s">
        <v>74</v>
      </c>
      <c r="X978" s="1" t="s">
        <v>74</v>
      </c>
      <c r="Y978" s="1" t="s">
        <v>74</v>
      </c>
      <c r="Z978" s="1" t="s">
        <v>74</v>
      </c>
      <c r="AA978" s="1" t="s">
        <v>74</v>
      </c>
      <c r="AB978" s="1" t="s">
        <v>74</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9704</v>
      </c>
      <c r="AP978" s="1" t="s">
        <v>74</v>
      </c>
      <c r="AQ978" s="1" t="s">
        <v>74</v>
      </c>
      <c r="AR978" s="1" t="s">
        <v>74</v>
      </c>
      <c r="AS978" s="1" t="s">
        <v>74</v>
      </c>
      <c r="AT978" s="1" t="s">
        <v>1279</v>
      </c>
      <c r="AU978" s="1">
        <v>2000.0</v>
      </c>
      <c r="AV978" s="1" t="s">
        <v>9705</v>
      </c>
      <c r="AW978" s="1" t="s">
        <v>74</v>
      </c>
      <c r="AX978" s="1" t="s">
        <v>74</v>
      </c>
      <c r="AY978" s="1" t="s">
        <v>74</v>
      </c>
      <c r="AZ978" s="1" t="s">
        <v>74</v>
      </c>
      <c r="BA978" s="1" t="s">
        <v>74</v>
      </c>
      <c r="BB978" s="1">
        <v>881.0</v>
      </c>
      <c r="BC978" s="1">
        <v>883.0</v>
      </c>
      <c r="BD978" s="1" t="s">
        <v>74</v>
      </c>
      <c r="BE978" s="1" t="s">
        <v>74</v>
      </c>
      <c r="BF978" s="1" t="s">
        <v>74</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9706</v>
      </c>
      <c r="BT978" s="1" t="str">
        <f>HYPERLINK("https%3A%2F%2Fwww.webofscience.com%2Fwos%2Fwoscc%2Ffull-record%2FWOS:000086729700245","View Full Record in Web of Science")</f>
        <v>View Full Record in Web of Science</v>
      </c>
    </row>
    <row r="979" ht="12.75" customHeight="1">
      <c r="A979" s="1" t="s">
        <v>72</v>
      </c>
      <c r="B979" s="1" t="s">
        <v>9707</v>
      </c>
      <c r="C979" s="1" t="s">
        <v>74</v>
      </c>
      <c r="D979" s="1" t="s">
        <v>74</v>
      </c>
      <c r="E979" s="1" t="s">
        <v>74</v>
      </c>
      <c r="F979" s="1" t="s">
        <v>9707</v>
      </c>
      <c r="G979" s="1" t="s">
        <v>74</v>
      </c>
      <c r="H979" s="1" t="s">
        <v>74</v>
      </c>
      <c r="I979" s="1" t="s">
        <v>9708</v>
      </c>
      <c r="J979" s="1" t="s">
        <v>5601</v>
      </c>
      <c r="K979" s="1" t="s">
        <v>74</v>
      </c>
      <c r="L979" s="1" t="s">
        <v>74</v>
      </c>
      <c r="M979" s="1" t="s">
        <v>74</v>
      </c>
      <c r="N979" s="1" t="s">
        <v>74</v>
      </c>
      <c r="O979" s="1" t="s">
        <v>74</v>
      </c>
      <c r="P979" s="1" t="s">
        <v>74</v>
      </c>
      <c r="Q979" s="1" t="s">
        <v>74</v>
      </c>
      <c r="R979" s="1" t="s">
        <v>74</v>
      </c>
      <c r="S979" s="1" t="s">
        <v>74</v>
      </c>
      <c r="T979" s="1" t="s">
        <v>74</v>
      </c>
      <c r="U979" s="1" t="s">
        <v>74</v>
      </c>
      <c r="V979" s="1" t="s">
        <v>9709</v>
      </c>
      <c r="W979" s="1" t="s">
        <v>74</v>
      </c>
      <c r="X979" s="1" t="s">
        <v>74</v>
      </c>
      <c r="Y979" s="1" t="s">
        <v>74</v>
      </c>
      <c r="Z979" s="1" t="s">
        <v>74</v>
      </c>
      <c r="AA979" s="1" t="s">
        <v>6688</v>
      </c>
      <c r="AB979" s="1" t="s">
        <v>6689</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5605</v>
      </c>
      <c r="AP979" s="1" t="s">
        <v>5606</v>
      </c>
      <c r="AQ979" s="1" t="s">
        <v>74</v>
      </c>
      <c r="AR979" s="1" t="s">
        <v>74</v>
      </c>
      <c r="AS979" s="1" t="s">
        <v>74</v>
      </c>
      <c r="AT979" s="1" t="s">
        <v>164</v>
      </c>
      <c r="AU979" s="1">
        <v>1997.0</v>
      </c>
      <c r="AV979" s="1">
        <v>56.0</v>
      </c>
      <c r="AW979" s="1">
        <v>6.0</v>
      </c>
      <c r="AX979" s="1" t="s">
        <v>74</v>
      </c>
      <c r="AY979" s="1" t="s">
        <v>74</v>
      </c>
      <c r="AZ979" s="1" t="s">
        <v>74</v>
      </c>
      <c r="BA979" s="1" t="s">
        <v>74</v>
      </c>
      <c r="BB979" s="1">
        <v>4781.0</v>
      </c>
      <c r="BC979" s="1">
        <v>4785.0</v>
      </c>
      <c r="BD979" s="1" t="s">
        <v>74</v>
      </c>
      <c r="BE979" s="1" t="s">
        <v>9710</v>
      </c>
      <c r="BF979" s="2" t="str">
        <f>HYPERLINK("http://dx.doi.org/10.1103/PhysRevA.56.4781","http://dx.doi.org/10.1103/PhysRevA.56.4781")</f>
        <v>http://dx.doi.org/10.1103/PhysRevA.56.4781</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9711</v>
      </c>
      <c r="BT979" s="1" t="str">
        <f>HYPERLINK("https%3A%2F%2Fwww.webofscience.com%2Fwos%2Fwoscc%2Ffull-record%2FWOS:A1997YK23300056","View Full Record in Web of Science")</f>
        <v>View Full Record in Web of Science</v>
      </c>
    </row>
    <row r="980" ht="12.75" customHeight="1">
      <c r="A980" s="1" t="s">
        <v>72</v>
      </c>
      <c r="B980" s="1" t="s">
        <v>9712</v>
      </c>
      <c r="C980" s="1" t="s">
        <v>74</v>
      </c>
      <c r="D980" s="1" t="s">
        <v>74</v>
      </c>
      <c r="E980" s="1" t="s">
        <v>74</v>
      </c>
      <c r="F980" s="1" t="s">
        <v>9713</v>
      </c>
      <c r="G980" s="1" t="s">
        <v>74</v>
      </c>
      <c r="H980" s="1" t="s">
        <v>74</v>
      </c>
      <c r="I980" s="1" t="s">
        <v>9714</v>
      </c>
      <c r="J980" s="1" t="s">
        <v>9715</v>
      </c>
      <c r="K980" s="1" t="s">
        <v>74</v>
      </c>
      <c r="L980" s="1" t="s">
        <v>74</v>
      </c>
      <c r="M980" s="1" t="s">
        <v>74</v>
      </c>
      <c r="N980" s="1" t="s">
        <v>74</v>
      </c>
      <c r="O980" s="1" t="s">
        <v>74</v>
      </c>
      <c r="P980" s="1" t="s">
        <v>74</v>
      </c>
      <c r="Q980" s="1" t="s">
        <v>74</v>
      </c>
      <c r="R980" s="1" t="s">
        <v>74</v>
      </c>
      <c r="S980" s="1" t="s">
        <v>74</v>
      </c>
      <c r="T980" s="1" t="s">
        <v>74</v>
      </c>
      <c r="U980" s="1" t="s">
        <v>74</v>
      </c>
      <c r="V980" s="1" t="s">
        <v>9716</v>
      </c>
      <c r="W980" s="1" t="s">
        <v>74</v>
      </c>
      <c r="X980" s="1" t="s">
        <v>74</v>
      </c>
      <c r="Y980" s="1" t="s">
        <v>74</v>
      </c>
      <c r="Z980" s="1" t="s">
        <v>74</v>
      </c>
      <c r="AA980" s="1" t="s">
        <v>3920</v>
      </c>
      <c r="AB980" s="1" t="s">
        <v>9717</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9718</v>
      </c>
      <c r="AP980" s="1" t="s">
        <v>9719</v>
      </c>
      <c r="AQ980" s="1" t="s">
        <v>74</v>
      </c>
      <c r="AR980" s="1" t="s">
        <v>74</v>
      </c>
      <c r="AS980" s="1" t="s">
        <v>74</v>
      </c>
      <c r="AT980" s="1" t="s">
        <v>1094</v>
      </c>
      <c r="AU980" s="1">
        <v>2025.0</v>
      </c>
      <c r="AV980" s="1">
        <v>315.0</v>
      </c>
      <c r="AW980" s="1" t="s">
        <v>74</v>
      </c>
      <c r="AX980" s="1" t="s">
        <v>74</v>
      </c>
      <c r="AY980" s="1" t="s">
        <v>74</v>
      </c>
      <c r="AZ980" s="1" t="s">
        <v>74</v>
      </c>
      <c r="BA980" s="1" t="s">
        <v>74</v>
      </c>
      <c r="BB980" s="1" t="s">
        <v>74</v>
      </c>
      <c r="BC980" s="1" t="s">
        <v>74</v>
      </c>
      <c r="BD980" s="1">
        <v>107841.0</v>
      </c>
      <c r="BE980" s="1" t="s">
        <v>9720</v>
      </c>
      <c r="BF980" s="2" t="str">
        <f>HYPERLINK("http://dx.doi.org/10.1016/j.atmosres.2024.107841","http://dx.doi.org/10.1016/j.atmosres.2024.107841")</f>
        <v>http://dx.doi.org/10.1016/j.atmosres.2024.107841</v>
      </c>
      <c r="BG980" s="1" t="s">
        <v>74</v>
      </c>
      <c r="BH980" s="1" t="s">
        <v>1108</v>
      </c>
      <c r="BI980" s="1" t="s">
        <v>74</v>
      </c>
      <c r="BJ980" s="1" t="s">
        <v>74</v>
      </c>
      <c r="BK980" s="1" t="s">
        <v>74</v>
      </c>
      <c r="BL980" s="1" t="s">
        <v>74</v>
      </c>
      <c r="BM980" s="1" t="s">
        <v>74</v>
      </c>
      <c r="BN980" s="1" t="s">
        <v>74</v>
      </c>
      <c r="BO980" s="1" t="s">
        <v>74</v>
      </c>
      <c r="BP980" s="1" t="s">
        <v>74</v>
      </c>
      <c r="BQ980" s="1" t="s">
        <v>74</v>
      </c>
      <c r="BR980" s="1" t="s">
        <v>74</v>
      </c>
      <c r="BS980" s="1" t="s">
        <v>9721</v>
      </c>
      <c r="BT980" s="1" t="str">
        <f>HYPERLINK("https%3A%2F%2Fwww.webofscience.com%2Fwos%2Fwoscc%2Ffull-record%2FWOS:001385706300001","View Full Record in Web of Science")</f>
        <v>View Full Record in Web of Science</v>
      </c>
    </row>
    <row r="981" ht="12.75" customHeight="1">
      <c r="A981" s="1" t="s">
        <v>72</v>
      </c>
      <c r="B981" s="1" t="s">
        <v>9722</v>
      </c>
      <c r="C981" s="1" t="s">
        <v>74</v>
      </c>
      <c r="D981" s="1" t="s">
        <v>74</v>
      </c>
      <c r="E981" s="1" t="s">
        <v>74</v>
      </c>
      <c r="F981" s="1" t="s">
        <v>9723</v>
      </c>
      <c r="G981" s="1" t="s">
        <v>74</v>
      </c>
      <c r="H981" s="1" t="s">
        <v>74</v>
      </c>
      <c r="I981" s="1" t="s">
        <v>9724</v>
      </c>
      <c r="J981" s="1" t="s">
        <v>9725</v>
      </c>
      <c r="K981" s="1" t="s">
        <v>74</v>
      </c>
      <c r="L981" s="1" t="s">
        <v>74</v>
      </c>
      <c r="M981" s="1" t="s">
        <v>74</v>
      </c>
      <c r="N981" s="1" t="s">
        <v>74</v>
      </c>
      <c r="O981" s="1" t="s">
        <v>74</v>
      </c>
      <c r="P981" s="1" t="s">
        <v>74</v>
      </c>
      <c r="Q981" s="1" t="s">
        <v>74</v>
      </c>
      <c r="R981" s="1" t="s">
        <v>74</v>
      </c>
      <c r="S981" s="1" t="s">
        <v>74</v>
      </c>
      <c r="T981" s="1" t="s">
        <v>74</v>
      </c>
      <c r="U981" s="1" t="s">
        <v>74</v>
      </c>
      <c r="V981" s="1" t="s">
        <v>9726</v>
      </c>
      <c r="W981" s="1" t="s">
        <v>74</v>
      </c>
      <c r="X981" s="1" t="s">
        <v>74</v>
      </c>
      <c r="Y981" s="1" t="s">
        <v>74</v>
      </c>
      <c r="Z981" s="1" t="s">
        <v>74</v>
      </c>
      <c r="AA981" s="1" t="s">
        <v>4028</v>
      </c>
      <c r="AB981" s="1" t="s">
        <v>74</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9727</v>
      </c>
      <c r="AP981" s="1" t="s">
        <v>9728</v>
      </c>
      <c r="AQ981" s="1" t="s">
        <v>74</v>
      </c>
      <c r="AR981" s="1" t="s">
        <v>74</v>
      </c>
      <c r="AS981" s="1" t="s">
        <v>74</v>
      </c>
      <c r="AT981" s="1" t="s">
        <v>164</v>
      </c>
      <c r="AU981" s="1">
        <v>2024.0</v>
      </c>
      <c r="AV981" s="1">
        <v>41.0</v>
      </c>
      <c r="AW981" s="1">
        <v>6.0</v>
      </c>
      <c r="AX981" s="1" t="s">
        <v>74</v>
      </c>
      <c r="AY981" s="1" t="s">
        <v>74</v>
      </c>
      <c r="AZ981" s="1" t="s">
        <v>74</v>
      </c>
      <c r="BA981" s="1" t="s">
        <v>74</v>
      </c>
      <c r="BB981" s="1">
        <v>785.0</v>
      </c>
      <c r="BC981" s="1">
        <v>789.0</v>
      </c>
      <c r="BD981" s="1" t="s">
        <v>74</v>
      </c>
      <c r="BE981" s="1" t="s">
        <v>9729</v>
      </c>
      <c r="BF981" s="2" t="str">
        <f>HYPERLINK("http://dx.doi.org/10.4067/s0716-10182024000600171","http://dx.doi.org/10.4067/s0716-10182024000600171")</f>
        <v>http://dx.doi.org/10.4067/s0716-10182024000600171</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9730</v>
      </c>
      <c r="BT981" s="1" t="str">
        <f>HYPERLINK("https%3A%2F%2Fwww.webofscience.com%2Fwos%2Fwoscc%2Ffull-record%2FWOS:001410894400013","View Full Record in Web of Science")</f>
        <v>View Full Record in Web of Science</v>
      </c>
    </row>
    <row r="982" ht="12.75" customHeight="1">
      <c r="A982" s="1" t="s">
        <v>72</v>
      </c>
      <c r="B982" s="1" t="s">
        <v>9731</v>
      </c>
      <c r="C982" s="1" t="s">
        <v>74</v>
      </c>
      <c r="D982" s="1" t="s">
        <v>74</v>
      </c>
      <c r="E982" s="1" t="s">
        <v>74</v>
      </c>
      <c r="F982" s="1" t="s">
        <v>9732</v>
      </c>
      <c r="G982" s="1" t="s">
        <v>74</v>
      </c>
      <c r="H982" s="1" t="s">
        <v>74</v>
      </c>
      <c r="I982" s="1" t="s">
        <v>9733</v>
      </c>
      <c r="J982" s="1" t="s">
        <v>9734</v>
      </c>
      <c r="K982" s="1" t="s">
        <v>74</v>
      </c>
      <c r="L982" s="1" t="s">
        <v>74</v>
      </c>
      <c r="M982" s="1" t="s">
        <v>74</v>
      </c>
      <c r="N982" s="1" t="s">
        <v>74</v>
      </c>
      <c r="O982" s="1" t="s">
        <v>74</v>
      </c>
      <c r="P982" s="1" t="s">
        <v>74</v>
      </c>
      <c r="Q982" s="1" t="s">
        <v>74</v>
      </c>
      <c r="R982" s="1" t="s">
        <v>74</v>
      </c>
      <c r="S982" s="1" t="s">
        <v>74</v>
      </c>
      <c r="T982" s="1" t="s">
        <v>74</v>
      </c>
      <c r="U982" s="1" t="s">
        <v>74</v>
      </c>
      <c r="V982" s="1" t="s">
        <v>9735</v>
      </c>
      <c r="W982" s="1" t="s">
        <v>74</v>
      </c>
      <c r="X982" s="1" t="s">
        <v>74</v>
      </c>
      <c r="Y982" s="1" t="s">
        <v>74</v>
      </c>
      <c r="Z982" s="1" t="s">
        <v>74</v>
      </c>
      <c r="AA982" s="1" t="s">
        <v>9736</v>
      </c>
      <c r="AB982" s="1" t="s">
        <v>9737</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9738</v>
      </c>
      <c r="AP982" s="1" t="s">
        <v>9739</v>
      </c>
      <c r="AQ982" s="1" t="s">
        <v>74</v>
      </c>
      <c r="AR982" s="1" t="s">
        <v>74</v>
      </c>
      <c r="AS982" s="1" t="s">
        <v>74</v>
      </c>
      <c r="AT982" s="1" t="s">
        <v>3269</v>
      </c>
      <c r="AU982" s="1">
        <v>2024.0</v>
      </c>
      <c r="AV982" s="1">
        <v>33.0</v>
      </c>
      <c r="AW982" s="1">
        <v>4.0</v>
      </c>
      <c r="AX982" s="1" t="s">
        <v>74</v>
      </c>
      <c r="AY982" s="1" t="s">
        <v>74</v>
      </c>
      <c r="AZ982" s="1" t="s">
        <v>74</v>
      </c>
      <c r="BA982" s="1" t="s">
        <v>74</v>
      </c>
      <c r="BB982" s="1">
        <v>533.0</v>
      </c>
      <c r="BC982" s="1">
        <v>555.0</v>
      </c>
      <c r="BD982" s="1" t="s">
        <v>74</v>
      </c>
      <c r="BE982" s="1" t="s">
        <v>9740</v>
      </c>
      <c r="BF982" s="2" t="str">
        <f>HYPERLINK("http://dx.doi.org/10.1080/09505431.2024.2361867","http://dx.doi.org/10.1080/09505431.2024.2361867")</f>
        <v>http://dx.doi.org/10.1080/09505431.2024.2361867</v>
      </c>
      <c r="BG982" s="1" t="s">
        <v>74</v>
      </c>
      <c r="BH982" s="1" t="s">
        <v>4970</v>
      </c>
      <c r="BI982" s="1" t="s">
        <v>74</v>
      </c>
      <c r="BJ982" s="1" t="s">
        <v>74</v>
      </c>
      <c r="BK982" s="1" t="s">
        <v>74</v>
      </c>
      <c r="BL982" s="1" t="s">
        <v>74</v>
      </c>
      <c r="BM982" s="1" t="s">
        <v>74</v>
      </c>
      <c r="BN982" s="1" t="s">
        <v>74</v>
      </c>
      <c r="BO982" s="1" t="s">
        <v>74</v>
      </c>
      <c r="BP982" s="1" t="s">
        <v>74</v>
      </c>
      <c r="BQ982" s="1" t="s">
        <v>74</v>
      </c>
      <c r="BR982" s="1" t="s">
        <v>74</v>
      </c>
      <c r="BS982" s="1" t="s">
        <v>9741</v>
      </c>
      <c r="BT982" s="1" t="str">
        <f>HYPERLINK("https%3A%2F%2Fwww.webofscience.com%2Fwos%2Fwoscc%2Ffull-record%2FWOS:001257991300001","View Full Record in Web of Science")</f>
        <v>View Full Record in Web of Science</v>
      </c>
    </row>
    <row r="983" ht="12.75" customHeight="1">
      <c r="A983" s="1" t="s">
        <v>72</v>
      </c>
      <c r="B983" s="1" t="s">
        <v>6054</v>
      </c>
      <c r="C983" s="1" t="s">
        <v>74</v>
      </c>
      <c r="D983" s="1" t="s">
        <v>74</v>
      </c>
      <c r="E983" s="1" t="s">
        <v>74</v>
      </c>
      <c r="F983" s="1" t="s">
        <v>6055</v>
      </c>
      <c r="G983" s="1" t="s">
        <v>74</v>
      </c>
      <c r="H983" s="1" t="s">
        <v>74</v>
      </c>
      <c r="I983" s="1" t="s">
        <v>9742</v>
      </c>
      <c r="J983" s="1" t="s">
        <v>9743</v>
      </c>
      <c r="K983" s="1" t="s">
        <v>74</v>
      </c>
      <c r="L983" s="1" t="s">
        <v>74</v>
      </c>
      <c r="M983" s="1" t="s">
        <v>74</v>
      </c>
      <c r="N983" s="1" t="s">
        <v>74</v>
      </c>
      <c r="O983" s="1" t="s">
        <v>74</v>
      </c>
      <c r="P983" s="1" t="s">
        <v>74</v>
      </c>
      <c r="Q983" s="1" t="s">
        <v>74</v>
      </c>
      <c r="R983" s="1" t="s">
        <v>74</v>
      </c>
      <c r="S983" s="1" t="s">
        <v>74</v>
      </c>
      <c r="T983" s="1" t="s">
        <v>74</v>
      </c>
      <c r="U983" s="1" t="s">
        <v>74</v>
      </c>
      <c r="V983" s="1" t="s">
        <v>9744</v>
      </c>
      <c r="W983" s="1" t="s">
        <v>74</v>
      </c>
      <c r="X983" s="1" t="s">
        <v>74</v>
      </c>
      <c r="Y983" s="1" t="s">
        <v>74</v>
      </c>
      <c r="Z983" s="1" t="s">
        <v>74</v>
      </c>
      <c r="AA983" s="1" t="s">
        <v>4553</v>
      </c>
      <c r="AB983" s="1" t="s">
        <v>4554</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9745</v>
      </c>
      <c r="AP983" s="1" t="s">
        <v>9746</v>
      </c>
      <c r="AQ983" s="1" t="s">
        <v>74</v>
      </c>
      <c r="AR983" s="1" t="s">
        <v>74</v>
      </c>
      <c r="AS983" s="1" t="s">
        <v>74</v>
      </c>
      <c r="AT983" s="1" t="s">
        <v>7159</v>
      </c>
      <c r="AU983" s="1">
        <v>2023.0</v>
      </c>
      <c r="AV983" s="1">
        <v>562.0</v>
      </c>
      <c r="AW983" s="1" t="s">
        <v>74</v>
      </c>
      <c r="AX983" s="1" t="s">
        <v>74</v>
      </c>
      <c r="AY983" s="1" t="s">
        <v>74</v>
      </c>
      <c r="AZ983" s="1" t="s">
        <v>74</v>
      </c>
      <c r="BA983" s="1" t="s">
        <v>74</v>
      </c>
      <c r="BB983" s="1" t="s">
        <v>74</v>
      </c>
      <c r="BC983" s="1" t="s">
        <v>74</v>
      </c>
      <c r="BD983" s="1">
        <v>111421.0</v>
      </c>
      <c r="BE983" s="1" t="s">
        <v>9747</v>
      </c>
      <c r="BF983" s="2" t="str">
        <f>HYPERLINK("http://dx.doi.org/10.1016/j.jtbi.2023.111421","http://dx.doi.org/10.1016/j.jtbi.2023.111421")</f>
        <v>http://dx.doi.org/10.1016/j.jtbi.2023.111421</v>
      </c>
      <c r="BG983" s="1" t="s">
        <v>74</v>
      </c>
      <c r="BH983" s="1" t="s">
        <v>5815</v>
      </c>
      <c r="BI983" s="1" t="s">
        <v>74</v>
      </c>
      <c r="BJ983" s="1" t="s">
        <v>74</v>
      </c>
      <c r="BK983" s="1" t="s">
        <v>74</v>
      </c>
      <c r="BL983" s="1" t="s">
        <v>74</v>
      </c>
      <c r="BM983" s="1" t="s">
        <v>74</v>
      </c>
      <c r="BN983" s="1">
        <v>3.6754345E7</v>
      </c>
      <c r="BO983" s="1" t="s">
        <v>74</v>
      </c>
      <c r="BP983" s="1" t="s">
        <v>74</v>
      </c>
      <c r="BQ983" s="1" t="s">
        <v>74</v>
      </c>
      <c r="BR983" s="1" t="s">
        <v>74</v>
      </c>
      <c r="BS983" s="1" t="s">
        <v>9748</v>
      </c>
      <c r="BT983" s="1" t="str">
        <f>HYPERLINK("https%3A%2F%2Fwww.webofscience.com%2Fwos%2Fwoscc%2Ffull-record%2FWOS:000931966300001","View Full Record in Web of Science")</f>
        <v>View Full Record in Web of Science</v>
      </c>
    </row>
    <row r="984" ht="12.75" customHeight="1">
      <c r="A984" s="1" t="s">
        <v>311</v>
      </c>
      <c r="B984" s="1" t="s">
        <v>9749</v>
      </c>
      <c r="C984" s="1" t="s">
        <v>74</v>
      </c>
      <c r="D984" s="1" t="s">
        <v>9750</v>
      </c>
      <c r="E984" s="1" t="s">
        <v>74</v>
      </c>
      <c r="F984" s="1" t="s">
        <v>9751</v>
      </c>
      <c r="G984" s="1" t="s">
        <v>74</v>
      </c>
      <c r="H984" s="1" t="s">
        <v>74</v>
      </c>
      <c r="I984" s="1" t="s">
        <v>9752</v>
      </c>
      <c r="J984" s="1" t="s">
        <v>9753</v>
      </c>
      <c r="K984" s="1" t="s">
        <v>317</v>
      </c>
      <c r="L984" s="1" t="s">
        <v>74</v>
      </c>
      <c r="M984" s="1" t="s">
        <v>74</v>
      </c>
      <c r="N984" s="1" t="s">
        <v>74</v>
      </c>
      <c r="O984" s="1" t="s">
        <v>74</v>
      </c>
      <c r="P984" s="1" t="s">
        <v>74</v>
      </c>
      <c r="Q984" s="1" t="s">
        <v>74</v>
      </c>
      <c r="R984" s="1" t="s">
        <v>74</v>
      </c>
      <c r="S984" s="1" t="s">
        <v>74</v>
      </c>
      <c r="T984" s="1" t="s">
        <v>74</v>
      </c>
      <c r="U984" s="1" t="s">
        <v>74</v>
      </c>
      <c r="V984" s="1" t="s">
        <v>9754</v>
      </c>
      <c r="W984" s="1" t="s">
        <v>74</v>
      </c>
      <c r="X984" s="1" t="s">
        <v>74</v>
      </c>
      <c r="Y984" s="1" t="s">
        <v>74</v>
      </c>
      <c r="Z984" s="1" t="s">
        <v>74</v>
      </c>
      <c r="AA984" s="1" t="s">
        <v>9755</v>
      </c>
      <c r="AB984" s="1" t="s">
        <v>9756</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321</v>
      </c>
      <c r="AP984" s="1" t="s">
        <v>322</v>
      </c>
      <c r="AQ984" s="1" t="s">
        <v>9757</v>
      </c>
      <c r="AR984" s="1" t="s">
        <v>74</v>
      </c>
      <c r="AS984" s="1" t="s">
        <v>74</v>
      </c>
      <c r="AT984" s="1" t="s">
        <v>74</v>
      </c>
      <c r="AU984" s="1">
        <v>2023.0</v>
      </c>
      <c r="AV984" s="1">
        <v>1428.0</v>
      </c>
      <c r="AW984" s="1" t="s">
        <v>74</v>
      </c>
      <c r="AX984" s="1" t="s">
        <v>74</v>
      </c>
      <c r="AY984" s="1" t="s">
        <v>74</v>
      </c>
      <c r="AZ984" s="1" t="s">
        <v>74</v>
      </c>
      <c r="BA984" s="1" t="s">
        <v>74</v>
      </c>
      <c r="BB984" s="1">
        <v>199.0</v>
      </c>
      <c r="BC984" s="1">
        <v>232.0</v>
      </c>
      <c r="BD984" s="1" t="s">
        <v>74</v>
      </c>
      <c r="BE984" s="1" t="s">
        <v>9758</v>
      </c>
      <c r="BF984" s="2" t="str">
        <f>HYPERLINK("http://dx.doi.org/10.1007/978-3-031-32554-0_9","http://dx.doi.org/10.1007/978-3-031-32554-0_9")</f>
        <v>http://dx.doi.org/10.1007/978-3-031-32554-0_9</v>
      </c>
      <c r="BG984" s="1" t="s">
        <v>9759</v>
      </c>
      <c r="BH984" s="1" t="s">
        <v>74</v>
      </c>
      <c r="BI984" s="1" t="s">
        <v>74</v>
      </c>
      <c r="BJ984" s="1" t="s">
        <v>74</v>
      </c>
      <c r="BK984" s="1" t="s">
        <v>74</v>
      </c>
      <c r="BL984" s="1" t="s">
        <v>74</v>
      </c>
      <c r="BM984" s="1" t="s">
        <v>74</v>
      </c>
      <c r="BN984" s="1">
        <v>3.7466775E7</v>
      </c>
      <c r="BO984" s="1" t="s">
        <v>74</v>
      </c>
      <c r="BP984" s="1" t="s">
        <v>74</v>
      </c>
      <c r="BQ984" s="1" t="s">
        <v>74</v>
      </c>
      <c r="BR984" s="1" t="s">
        <v>74</v>
      </c>
      <c r="BS984" s="1" t="s">
        <v>9760</v>
      </c>
      <c r="BT984" s="1" t="str">
        <f>HYPERLINK("https%3A%2F%2Fwww.webofscience.com%2Fwos%2Fwoscc%2Ffull-record%2FWOS:001168210800009","View Full Record in Web of Science")</f>
        <v>View Full Record in Web of Science</v>
      </c>
    </row>
    <row r="985" ht="12.75" customHeight="1">
      <c r="A985" s="1" t="s">
        <v>72</v>
      </c>
      <c r="B985" s="1" t="s">
        <v>9761</v>
      </c>
      <c r="C985" s="1" t="s">
        <v>74</v>
      </c>
      <c r="D985" s="1" t="s">
        <v>74</v>
      </c>
      <c r="E985" s="1" t="s">
        <v>74</v>
      </c>
      <c r="F985" s="1" t="s">
        <v>9762</v>
      </c>
      <c r="G985" s="1" t="s">
        <v>74</v>
      </c>
      <c r="H985" s="1" t="s">
        <v>74</v>
      </c>
      <c r="I985" s="1" t="s">
        <v>9763</v>
      </c>
      <c r="J985" s="1" t="s">
        <v>9764</v>
      </c>
      <c r="K985" s="1" t="s">
        <v>74</v>
      </c>
      <c r="L985" s="1" t="s">
        <v>74</v>
      </c>
      <c r="M985" s="1" t="s">
        <v>74</v>
      </c>
      <c r="N985" s="1" t="s">
        <v>74</v>
      </c>
      <c r="O985" s="1" t="s">
        <v>74</v>
      </c>
      <c r="P985" s="1" t="s">
        <v>74</v>
      </c>
      <c r="Q985" s="1" t="s">
        <v>74</v>
      </c>
      <c r="R985" s="1" t="s">
        <v>74</v>
      </c>
      <c r="S985" s="1" t="s">
        <v>74</v>
      </c>
      <c r="T985" s="1" t="s">
        <v>74</v>
      </c>
      <c r="U985" s="1" t="s">
        <v>74</v>
      </c>
      <c r="V985" s="1" t="s">
        <v>9765</v>
      </c>
      <c r="W985" s="1" t="s">
        <v>74</v>
      </c>
      <c r="X985" s="1" t="s">
        <v>74</v>
      </c>
      <c r="Y985" s="1" t="s">
        <v>74</v>
      </c>
      <c r="Z985" s="1" t="s">
        <v>74</v>
      </c>
      <c r="AA985" s="1" t="s">
        <v>9766</v>
      </c>
      <c r="AB985" s="1" t="s">
        <v>74</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9767</v>
      </c>
      <c r="AP985" s="1" t="s">
        <v>74</v>
      </c>
      <c r="AQ985" s="1" t="s">
        <v>74</v>
      </c>
      <c r="AR985" s="1" t="s">
        <v>74</v>
      </c>
      <c r="AS985" s="1" t="s">
        <v>74</v>
      </c>
      <c r="AT985" s="1" t="s">
        <v>294</v>
      </c>
      <c r="AU985" s="1">
        <v>2022.0</v>
      </c>
      <c r="AV985" s="1">
        <v>25.0</v>
      </c>
      <c r="AW985" s="1" t="s">
        <v>74</v>
      </c>
      <c r="AX985" s="1" t="s">
        <v>74</v>
      </c>
      <c r="AY985" s="1" t="s">
        <v>74</v>
      </c>
      <c r="AZ985" s="1" t="s">
        <v>74</v>
      </c>
      <c r="BA985" s="1" t="s">
        <v>74</v>
      </c>
      <c r="BB985" s="1" t="s">
        <v>74</v>
      </c>
      <c r="BC985" s="1" t="s">
        <v>74</v>
      </c>
      <c r="BD985" s="1">
        <v>102104.0</v>
      </c>
      <c r="BE985" s="1" t="s">
        <v>9768</v>
      </c>
      <c r="BF985" s="2" t="str">
        <f>HYPERLINK("http://dx.doi.org/10.1016/j.eti.2021.102104","http://dx.doi.org/10.1016/j.eti.2021.102104")</f>
        <v>http://dx.doi.org/10.1016/j.eti.2021.102104</v>
      </c>
      <c r="BG985" s="1" t="s">
        <v>74</v>
      </c>
      <c r="BH985" s="1" t="s">
        <v>74</v>
      </c>
      <c r="BI985" s="1" t="s">
        <v>74</v>
      </c>
      <c r="BJ985" s="1" t="s">
        <v>74</v>
      </c>
      <c r="BK985" s="1" t="s">
        <v>74</v>
      </c>
      <c r="BL985" s="1" t="s">
        <v>74</v>
      </c>
      <c r="BM985" s="1" t="s">
        <v>74</v>
      </c>
      <c r="BN985" s="1" t="s">
        <v>74</v>
      </c>
      <c r="BO985" s="1" t="s">
        <v>74</v>
      </c>
      <c r="BP985" s="1" t="s">
        <v>74</v>
      </c>
      <c r="BQ985" s="1" t="s">
        <v>74</v>
      </c>
      <c r="BR985" s="1" t="s">
        <v>74</v>
      </c>
      <c r="BS985" s="1" t="s">
        <v>9769</v>
      </c>
      <c r="BT985" s="1" t="str">
        <f>HYPERLINK("https%3A%2F%2Fwww.webofscience.com%2Fwos%2Fwoscc%2Ffull-record%2FWOS:000783834300021","View Full Record in Web of Science")</f>
        <v>View Full Record in Web of Science</v>
      </c>
    </row>
    <row r="986" ht="12.75" customHeight="1">
      <c r="A986" s="1" t="s">
        <v>72</v>
      </c>
      <c r="B986" s="1" t="s">
        <v>9770</v>
      </c>
      <c r="C986" s="1" t="s">
        <v>74</v>
      </c>
      <c r="D986" s="1" t="s">
        <v>74</v>
      </c>
      <c r="E986" s="1" t="s">
        <v>74</v>
      </c>
      <c r="F986" s="1" t="s">
        <v>9771</v>
      </c>
      <c r="G986" s="1" t="s">
        <v>74</v>
      </c>
      <c r="H986" s="1" t="s">
        <v>74</v>
      </c>
      <c r="I986" s="1" t="s">
        <v>9772</v>
      </c>
      <c r="J986" s="1" t="s">
        <v>1959</v>
      </c>
      <c r="K986" s="1" t="s">
        <v>74</v>
      </c>
      <c r="L986" s="1" t="s">
        <v>74</v>
      </c>
      <c r="M986" s="1" t="s">
        <v>74</v>
      </c>
      <c r="N986" s="1" t="s">
        <v>74</v>
      </c>
      <c r="O986" s="1" t="s">
        <v>74</v>
      </c>
      <c r="P986" s="1" t="s">
        <v>74</v>
      </c>
      <c r="Q986" s="1" t="s">
        <v>74</v>
      </c>
      <c r="R986" s="1" t="s">
        <v>74</v>
      </c>
      <c r="S986" s="1" t="s">
        <v>74</v>
      </c>
      <c r="T986" s="1" t="s">
        <v>74</v>
      </c>
      <c r="U986" s="1" t="s">
        <v>74</v>
      </c>
      <c r="V986" s="1" t="s">
        <v>9773</v>
      </c>
      <c r="W986" s="1" t="s">
        <v>74</v>
      </c>
      <c r="X986" s="1" t="s">
        <v>74</v>
      </c>
      <c r="Y986" s="1" t="s">
        <v>74</v>
      </c>
      <c r="Z986" s="1" t="s">
        <v>74</v>
      </c>
      <c r="AA986" s="1" t="s">
        <v>9774</v>
      </c>
      <c r="AB986" s="1" t="s">
        <v>9775</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1963</v>
      </c>
      <c r="AP986" s="1" t="s">
        <v>74</v>
      </c>
      <c r="AQ986" s="1" t="s">
        <v>74</v>
      </c>
      <c r="AR986" s="1" t="s">
        <v>74</v>
      </c>
      <c r="AS986" s="1" t="s">
        <v>74</v>
      </c>
      <c r="AT986" s="1" t="s">
        <v>7705</v>
      </c>
      <c r="AU986" s="1">
        <v>2021.0</v>
      </c>
      <c r="AV986" s="1">
        <v>11.0</v>
      </c>
      <c r="AW986" s="1">
        <v>1.0</v>
      </c>
      <c r="AX986" s="1" t="s">
        <v>74</v>
      </c>
      <c r="AY986" s="1" t="s">
        <v>74</v>
      </c>
      <c r="AZ986" s="1" t="s">
        <v>74</v>
      </c>
      <c r="BA986" s="1" t="s">
        <v>74</v>
      </c>
      <c r="BB986" s="1" t="s">
        <v>74</v>
      </c>
      <c r="BC986" s="1" t="s">
        <v>74</v>
      </c>
      <c r="BD986" s="1">
        <v>17820.0</v>
      </c>
      <c r="BE986" s="1" t="s">
        <v>9776</v>
      </c>
      <c r="BF986" s="2" t="str">
        <f>HYPERLINK("http://dx.doi.org/10.1038/s41598-021-97210-w","http://dx.doi.org/10.1038/s41598-021-97210-w")</f>
        <v>http://dx.doi.org/10.1038/s41598-021-97210-w</v>
      </c>
      <c r="BG986" s="1" t="s">
        <v>74</v>
      </c>
      <c r="BH986" s="1" t="s">
        <v>74</v>
      </c>
      <c r="BI986" s="1" t="s">
        <v>74</v>
      </c>
      <c r="BJ986" s="1" t="s">
        <v>74</v>
      </c>
      <c r="BK986" s="1" t="s">
        <v>74</v>
      </c>
      <c r="BL986" s="1" t="s">
        <v>74</v>
      </c>
      <c r="BM986" s="1" t="s">
        <v>74</v>
      </c>
      <c r="BN986" s="1">
        <v>3.4497283E7</v>
      </c>
      <c r="BO986" s="1" t="s">
        <v>74</v>
      </c>
      <c r="BP986" s="1" t="s">
        <v>74</v>
      </c>
      <c r="BQ986" s="1" t="s">
        <v>74</v>
      </c>
      <c r="BR986" s="1" t="s">
        <v>74</v>
      </c>
      <c r="BS986" s="1" t="s">
        <v>9777</v>
      </c>
      <c r="BT986" s="1" t="str">
        <f>HYPERLINK("https%3A%2F%2Fwww.webofscience.com%2Fwos%2Fwoscc%2Ffull-record%2FWOS:000693895300064","View Full Record in Web of Science")</f>
        <v>View Full Record in Web of Science</v>
      </c>
    </row>
    <row r="987" ht="12.75" customHeight="1">
      <c r="A987" s="1" t="s">
        <v>72</v>
      </c>
      <c r="B987" s="1" t="s">
        <v>8680</v>
      </c>
      <c r="C987" s="1" t="s">
        <v>74</v>
      </c>
      <c r="D987" s="1" t="s">
        <v>74</v>
      </c>
      <c r="E987" s="1" t="s">
        <v>74</v>
      </c>
      <c r="F987" s="1" t="s">
        <v>8681</v>
      </c>
      <c r="G987" s="1" t="s">
        <v>74</v>
      </c>
      <c r="H987" s="1" t="s">
        <v>74</v>
      </c>
      <c r="I987" s="1" t="s">
        <v>8682</v>
      </c>
      <c r="J987" s="1" t="s">
        <v>8683</v>
      </c>
      <c r="K987" s="1" t="s">
        <v>74</v>
      </c>
      <c r="L987" s="1" t="s">
        <v>74</v>
      </c>
      <c r="M987" s="1" t="s">
        <v>74</v>
      </c>
      <c r="N987" s="1" t="s">
        <v>74</v>
      </c>
      <c r="O987" s="1" t="s">
        <v>74</v>
      </c>
      <c r="P987" s="1" t="s">
        <v>74</v>
      </c>
      <c r="Q987" s="1" t="s">
        <v>74</v>
      </c>
      <c r="R987" s="1" t="s">
        <v>74</v>
      </c>
      <c r="S987" s="1" t="s">
        <v>74</v>
      </c>
      <c r="T987" s="1" t="s">
        <v>74</v>
      </c>
      <c r="U987" s="1" t="s">
        <v>74</v>
      </c>
      <c r="V987" s="1" t="s">
        <v>74</v>
      </c>
      <c r="W987" s="1" t="s">
        <v>74</v>
      </c>
      <c r="X987" s="1" t="s">
        <v>74</v>
      </c>
      <c r="Y987" s="1" t="s">
        <v>74</v>
      </c>
      <c r="Z987" s="1" t="s">
        <v>74</v>
      </c>
      <c r="AA987" s="1" t="s">
        <v>9778</v>
      </c>
      <c r="AB987" s="1" t="s">
        <v>74</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8687</v>
      </c>
      <c r="AP987" s="1" t="s">
        <v>8688</v>
      </c>
      <c r="AQ987" s="1" t="s">
        <v>74</v>
      </c>
      <c r="AR987" s="1" t="s">
        <v>74</v>
      </c>
      <c r="AS987" s="1" t="s">
        <v>74</v>
      </c>
      <c r="AT987" s="1" t="s">
        <v>94</v>
      </c>
      <c r="AU987" s="1">
        <v>2021.0</v>
      </c>
      <c r="AV987" s="1">
        <v>21.0</v>
      </c>
      <c r="AW987" s="1" t="s">
        <v>74</v>
      </c>
      <c r="AX987" s="1" t="s">
        <v>74</v>
      </c>
      <c r="AY987" s="1">
        <v>4.0</v>
      </c>
      <c r="AZ987" s="1" t="s">
        <v>569</v>
      </c>
      <c r="BA987" s="1">
        <v>448.0</v>
      </c>
      <c r="BB987" s="1">
        <v>454.0</v>
      </c>
      <c r="BC987" s="1">
        <v>455.0</v>
      </c>
      <c r="BD987" s="1" t="s">
        <v>74</v>
      </c>
      <c r="BE987" s="1" t="s">
        <v>74</v>
      </c>
      <c r="BF987" s="1" t="s">
        <v>74</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9779</v>
      </c>
      <c r="BT987" s="1" t="str">
        <f>HYPERLINK("https%3A%2F%2Fwww.webofscience.com%2Fwos%2Fwoscc%2Ffull-record%2FWOS:000705310101377","View Full Record in Web of Science")</f>
        <v>View Full Record in Web of Science</v>
      </c>
    </row>
    <row r="988" ht="12.75" customHeight="1">
      <c r="A988" s="1" t="s">
        <v>72</v>
      </c>
      <c r="B988" s="1" t="s">
        <v>9780</v>
      </c>
      <c r="C988" s="1" t="s">
        <v>74</v>
      </c>
      <c r="D988" s="1" t="s">
        <v>74</v>
      </c>
      <c r="E988" s="1" t="s">
        <v>74</v>
      </c>
      <c r="F988" s="1" t="s">
        <v>9781</v>
      </c>
      <c r="G988" s="1" t="s">
        <v>74</v>
      </c>
      <c r="H988" s="1" t="s">
        <v>74</v>
      </c>
      <c r="I988" s="1" t="s">
        <v>9782</v>
      </c>
      <c r="J988" s="1" t="s">
        <v>9783</v>
      </c>
      <c r="K988" s="1" t="s">
        <v>74</v>
      </c>
      <c r="L988" s="1" t="s">
        <v>74</v>
      </c>
      <c r="M988" s="1" t="s">
        <v>74</v>
      </c>
      <c r="N988" s="1" t="s">
        <v>74</v>
      </c>
      <c r="O988" s="1" t="s">
        <v>74</v>
      </c>
      <c r="P988" s="1" t="s">
        <v>74</v>
      </c>
      <c r="Q988" s="1" t="s">
        <v>74</v>
      </c>
      <c r="R988" s="1" t="s">
        <v>74</v>
      </c>
      <c r="S988" s="1" t="s">
        <v>74</v>
      </c>
      <c r="T988" s="1" t="s">
        <v>74</v>
      </c>
      <c r="U988" s="1" t="s">
        <v>74</v>
      </c>
      <c r="V988" s="1" t="s">
        <v>9784</v>
      </c>
      <c r="W988" s="1" t="s">
        <v>74</v>
      </c>
      <c r="X988" s="1" t="s">
        <v>74</v>
      </c>
      <c r="Y988" s="1" t="s">
        <v>74</v>
      </c>
      <c r="Z988" s="1" t="s">
        <v>74</v>
      </c>
      <c r="AA988" s="1" t="s">
        <v>9785</v>
      </c>
      <c r="AB988" s="1" t="s">
        <v>9786</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9787</v>
      </c>
      <c r="AP988" s="1" t="s">
        <v>74</v>
      </c>
      <c r="AQ988" s="1" t="s">
        <v>74</v>
      </c>
      <c r="AR988" s="1" t="s">
        <v>74</v>
      </c>
      <c r="AS988" s="1" t="s">
        <v>74</v>
      </c>
      <c r="AT988" s="1" t="s">
        <v>745</v>
      </c>
      <c r="AU988" s="1">
        <v>2021.0</v>
      </c>
      <c r="AV988" s="1" t="s">
        <v>74</v>
      </c>
      <c r="AW988" s="1">
        <v>5.0</v>
      </c>
      <c r="AX988" s="1" t="s">
        <v>74</v>
      </c>
      <c r="AY988" s="1" t="s">
        <v>74</v>
      </c>
      <c r="AZ988" s="1" t="s">
        <v>74</v>
      </c>
      <c r="BA988" s="1" t="s">
        <v>74</v>
      </c>
      <c r="BB988" s="1" t="s">
        <v>74</v>
      </c>
      <c r="BC988" s="1" t="s">
        <v>74</v>
      </c>
      <c r="BD988" s="1">
        <v>41.0</v>
      </c>
      <c r="BE988" s="1" t="s">
        <v>9788</v>
      </c>
      <c r="BF988" s="2" t="str">
        <f>HYPERLINK("http://dx.doi.org/10.1088/1475-7516/2021/05/041","http://dx.doi.org/10.1088/1475-7516/2021/05/041")</f>
        <v>http://dx.doi.org/10.1088/1475-7516/2021/05/041</v>
      </c>
      <c r="BG988" s="1" t="s">
        <v>74</v>
      </c>
      <c r="BH988" s="1" t="s">
        <v>74</v>
      </c>
      <c r="BI988" s="1" t="s">
        <v>74</v>
      </c>
      <c r="BJ988" s="1" t="s">
        <v>74</v>
      </c>
      <c r="BK988" s="1" t="s">
        <v>74</v>
      </c>
      <c r="BL988" s="1" t="s">
        <v>74</v>
      </c>
      <c r="BM988" s="1" t="s">
        <v>74</v>
      </c>
      <c r="BN988" s="1" t="s">
        <v>74</v>
      </c>
      <c r="BO988" s="1" t="s">
        <v>74</v>
      </c>
      <c r="BP988" s="1" t="s">
        <v>74</v>
      </c>
      <c r="BQ988" s="1" t="s">
        <v>74</v>
      </c>
      <c r="BR988" s="1" t="s">
        <v>74</v>
      </c>
      <c r="BS988" s="1" t="s">
        <v>9789</v>
      </c>
      <c r="BT988" s="1" t="str">
        <f>HYPERLINK("https%3A%2F%2Fwww.webofscience.com%2Fwos%2Fwoscc%2Ffull-record%2FWOS:000654421200021","View Full Record in Web of Science")</f>
        <v>View Full Record in Web of Science</v>
      </c>
    </row>
    <row r="989" ht="12.75" customHeight="1">
      <c r="A989" s="1" t="s">
        <v>72</v>
      </c>
      <c r="B989" s="1" t="s">
        <v>9790</v>
      </c>
      <c r="C989" s="1" t="s">
        <v>74</v>
      </c>
      <c r="D989" s="1" t="s">
        <v>74</v>
      </c>
      <c r="E989" s="1" t="s">
        <v>74</v>
      </c>
      <c r="F989" s="1" t="s">
        <v>9791</v>
      </c>
      <c r="G989" s="1" t="s">
        <v>74</v>
      </c>
      <c r="H989" s="1" t="s">
        <v>74</v>
      </c>
      <c r="I989" s="1" t="s">
        <v>9792</v>
      </c>
      <c r="J989" s="1" t="s">
        <v>2789</v>
      </c>
      <c r="K989" s="1" t="s">
        <v>74</v>
      </c>
      <c r="L989" s="1" t="s">
        <v>74</v>
      </c>
      <c r="M989" s="1" t="s">
        <v>74</v>
      </c>
      <c r="N989" s="1" t="s">
        <v>74</v>
      </c>
      <c r="O989" s="1" t="s">
        <v>74</v>
      </c>
      <c r="P989" s="1" t="s">
        <v>74</v>
      </c>
      <c r="Q989" s="1" t="s">
        <v>74</v>
      </c>
      <c r="R989" s="1" t="s">
        <v>74</v>
      </c>
      <c r="S989" s="1" t="s">
        <v>74</v>
      </c>
      <c r="T989" s="1" t="s">
        <v>74</v>
      </c>
      <c r="U989" s="1" t="s">
        <v>74</v>
      </c>
      <c r="V989" s="1" t="s">
        <v>9793</v>
      </c>
      <c r="W989" s="1" t="s">
        <v>74</v>
      </c>
      <c r="X989" s="1" t="s">
        <v>74</v>
      </c>
      <c r="Y989" s="1" t="s">
        <v>74</v>
      </c>
      <c r="Z989" s="1" t="s">
        <v>74</v>
      </c>
      <c r="AA989" s="1" t="s">
        <v>9794</v>
      </c>
      <c r="AB989" s="1" t="s">
        <v>9795</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2793</v>
      </c>
      <c r="AP989" s="1" t="s">
        <v>8054</v>
      </c>
      <c r="AQ989" s="1" t="s">
        <v>74</v>
      </c>
      <c r="AR989" s="1" t="s">
        <v>74</v>
      </c>
      <c r="AS989" s="1" t="s">
        <v>74</v>
      </c>
      <c r="AT989" s="1" t="s">
        <v>9796</v>
      </c>
      <c r="AU989" s="1">
        <v>2021.0</v>
      </c>
      <c r="AV989" s="1">
        <v>118.0</v>
      </c>
      <c r="AW989" s="1">
        <v>17.0</v>
      </c>
      <c r="AX989" s="1" t="s">
        <v>74</v>
      </c>
      <c r="AY989" s="1" t="s">
        <v>74</v>
      </c>
      <c r="AZ989" s="1" t="s">
        <v>74</v>
      </c>
      <c r="BA989" s="1" t="s">
        <v>74</v>
      </c>
      <c r="BB989" s="1" t="s">
        <v>74</v>
      </c>
      <c r="BC989" s="1" t="s">
        <v>74</v>
      </c>
      <c r="BD989" s="1">
        <v>172407.0</v>
      </c>
      <c r="BE989" s="1" t="s">
        <v>9797</v>
      </c>
      <c r="BF989" s="2" t="str">
        <f>HYPERLINK("http://dx.doi.org/10.1063/5.0045969","http://dx.doi.org/10.1063/5.0045969")</f>
        <v>http://dx.doi.org/10.1063/5.0045969</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9798</v>
      </c>
      <c r="BT989" s="1" t="str">
        <f>HYPERLINK("https%3A%2F%2Fwww.webofscience.com%2Fwos%2Fwoscc%2Ffull-record%2FWOS:000644064000019","View Full Record in Web of Science")</f>
        <v>View Full Record in Web of Science</v>
      </c>
    </row>
    <row r="990" ht="12.75" customHeight="1">
      <c r="A990" s="1" t="s">
        <v>72</v>
      </c>
      <c r="B990" s="1" t="s">
        <v>9799</v>
      </c>
      <c r="C990" s="1" t="s">
        <v>74</v>
      </c>
      <c r="D990" s="1" t="s">
        <v>74</v>
      </c>
      <c r="E990" s="1" t="s">
        <v>74</v>
      </c>
      <c r="F990" s="1" t="s">
        <v>9800</v>
      </c>
      <c r="G990" s="1" t="s">
        <v>74</v>
      </c>
      <c r="H990" s="1" t="s">
        <v>74</v>
      </c>
      <c r="I990" s="1" t="s">
        <v>9801</v>
      </c>
      <c r="J990" s="1" t="s">
        <v>6805</v>
      </c>
      <c r="K990" s="1" t="s">
        <v>74</v>
      </c>
      <c r="L990" s="1" t="s">
        <v>74</v>
      </c>
      <c r="M990" s="1" t="s">
        <v>74</v>
      </c>
      <c r="N990" s="1" t="s">
        <v>74</v>
      </c>
      <c r="O990" s="1" t="s">
        <v>74</v>
      </c>
      <c r="P990" s="1" t="s">
        <v>74</v>
      </c>
      <c r="Q990" s="1" t="s">
        <v>74</v>
      </c>
      <c r="R990" s="1" t="s">
        <v>74</v>
      </c>
      <c r="S990" s="1" t="s">
        <v>74</v>
      </c>
      <c r="T990" s="1" t="s">
        <v>74</v>
      </c>
      <c r="U990" s="1" t="s">
        <v>74</v>
      </c>
      <c r="V990" s="1" t="s">
        <v>9802</v>
      </c>
      <c r="W990" s="1" t="s">
        <v>74</v>
      </c>
      <c r="X990" s="1" t="s">
        <v>74</v>
      </c>
      <c r="Y990" s="1" t="s">
        <v>74</v>
      </c>
      <c r="Z990" s="1" t="s">
        <v>74</v>
      </c>
      <c r="AA990" s="1" t="s">
        <v>9803</v>
      </c>
      <c r="AB990" s="1" t="s">
        <v>9804</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6809</v>
      </c>
      <c r="AP990" s="1" t="s">
        <v>74</v>
      </c>
      <c r="AQ990" s="1" t="s">
        <v>74</v>
      </c>
      <c r="AR990" s="1" t="s">
        <v>74</v>
      </c>
      <c r="AS990" s="1" t="s">
        <v>74</v>
      </c>
      <c r="AT990" s="1" t="s">
        <v>74</v>
      </c>
      <c r="AU990" s="1">
        <v>2021.0</v>
      </c>
      <c r="AV990" s="1">
        <v>9.0</v>
      </c>
      <c r="AW990" s="1" t="s">
        <v>74</v>
      </c>
      <c r="AX990" s="1" t="s">
        <v>74</v>
      </c>
      <c r="AY990" s="1" t="s">
        <v>74</v>
      </c>
      <c r="AZ990" s="1" t="s">
        <v>74</v>
      </c>
      <c r="BA990" s="1" t="s">
        <v>74</v>
      </c>
      <c r="BB990" s="1">
        <v>720.0</v>
      </c>
      <c r="BC990" s="1">
        <v>732.0</v>
      </c>
      <c r="BD990" s="1" t="s">
        <v>74</v>
      </c>
      <c r="BE990" s="1" t="s">
        <v>9805</v>
      </c>
      <c r="BF990" s="2" t="str">
        <f>HYPERLINK("http://dx.doi.org/10.1109/ACCESS.2020.3046466","http://dx.doi.org/10.1109/ACCESS.2020.3046466")</f>
        <v>http://dx.doi.org/10.1109/ACCESS.2020.3046466</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9806</v>
      </c>
      <c r="BT990" s="1" t="str">
        <f>HYPERLINK("https%3A%2F%2Fwww.webofscience.com%2Fwos%2Fwoscc%2Ffull-record%2FWOS:000606580400001","View Full Record in Web of Science")</f>
        <v>View Full Record in Web of Science</v>
      </c>
    </row>
    <row r="991" ht="12.75" customHeight="1">
      <c r="A991" s="1" t="s">
        <v>72</v>
      </c>
      <c r="B991" s="1" t="s">
        <v>9086</v>
      </c>
      <c r="C991" s="1" t="s">
        <v>74</v>
      </c>
      <c r="D991" s="1" t="s">
        <v>74</v>
      </c>
      <c r="E991" s="1" t="s">
        <v>74</v>
      </c>
      <c r="F991" s="1" t="s">
        <v>9807</v>
      </c>
      <c r="G991" s="1" t="s">
        <v>74</v>
      </c>
      <c r="H991" s="1" t="s">
        <v>74</v>
      </c>
      <c r="I991" s="1" t="s">
        <v>9808</v>
      </c>
      <c r="J991" s="1" t="s">
        <v>1476</v>
      </c>
      <c r="K991" s="1" t="s">
        <v>74</v>
      </c>
      <c r="L991" s="1" t="s">
        <v>74</v>
      </c>
      <c r="M991" s="1" t="s">
        <v>74</v>
      </c>
      <c r="N991" s="1" t="s">
        <v>74</v>
      </c>
      <c r="O991" s="1" t="s">
        <v>74</v>
      </c>
      <c r="P991" s="1" t="s">
        <v>74</v>
      </c>
      <c r="Q991" s="1" t="s">
        <v>74</v>
      </c>
      <c r="R991" s="1" t="s">
        <v>74</v>
      </c>
      <c r="S991" s="1" t="s">
        <v>74</v>
      </c>
      <c r="T991" s="1" t="s">
        <v>74</v>
      </c>
      <c r="U991" s="1" t="s">
        <v>74</v>
      </c>
      <c r="V991" s="1" t="s">
        <v>9809</v>
      </c>
      <c r="W991" s="1" t="s">
        <v>74</v>
      </c>
      <c r="X991" s="1" t="s">
        <v>74</v>
      </c>
      <c r="Y991" s="1" t="s">
        <v>74</v>
      </c>
      <c r="Z991" s="1" t="s">
        <v>74</v>
      </c>
      <c r="AA991" s="1" t="s">
        <v>9091</v>
      </c>
      <c r="AB991" s="1" t="s">
        <v>9810</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1480</v>
      </c>
      <c r="AP991" s="1" t="s">
        <v>1481</v>
      </c>
      <c r="AQ991" s="1" t="s">
        <v>74</v>
      </c>
      <c r="AR991" s="1" t="s">
        <v>74</v>
      </c>
      <c r="AS991" s="1" t="s">
        <v>74</v>
      </c>
      <c r="AT991" s="1" t="s">
        <v>74</v>
      </c>
      <c r="AU991" s="1">
        <v>2021.0</v>
      </c>
      <c r="AV991" s="1">
        <v>17.0</v>
      </c>
      <c r="AW991" s="1" t="s">
        <v>74</v>
      </c>
      <c r="AX991" s="1" t="s">
        <v>74</v>
      </c>
      <c r="AY991" s="1" t="s">
        <v>74</v>
      </c>
      <c r="AZ991" s="1" t="s">
        <v>74</v>
      </c>
      <c r="BA991" s="1" t="s">
        <v>74</v>
      </c>
      <c r="BB991" s="1">
        <v>285.0</v>
      </c>
      <c r="BC991" s="1">
        <v>304.0</v>
      </c>
      <c r="BD991" s="1" t="s">
        <v>74</v>
      </c>
      <c r="BE991" s="1" t="s">
        <v>9811</v>
      </c>
      <c r="BF991" s="2" t="str">
        <f>HYPERLINK("http://dx.doi.org/10.3934/jmd.2021009","http://dx.doi.org/10.3934/jmd.2021009")</f>
        <v>http://dx.doi.org/10.3934/jmd.2021009</v>
      </c>
      <c r="BG991" s="1" t="s">
        <v>74</v>
      </c>
      <c r="BH991" s="1" t="s">
        <v>74</v>
      </c>
      <c r="BI991" s="1" t="s">
        <v>74</v>
      </c>
      <c r="BJ991" s="1" t="s">
        <v>74</v>
      </c>
      <c r="BK991" s="1" t="s">
        <v>74</v>
      </c>
      <c r="BL991" s="1" t="s">
        <v>74</v>
      </c>
      <c r="BM991" s="1" t="s">
        <v>74</v>
      </c>
      <c r="BN991" s="1" t="s">
        <v>74</v>
      </c>
      <c r="BO991" s="1" t="s">
        <v>74</v>
      </c>
      <c r="BP991" s="1" t="s">
        <v>74</v>
      </c>
      <c r="BQ991" s="1" t="s">
        <v>74</v>
      </c>
      <c r="BR991" s="1" t="s">
        <v>74</v>
      </c>
      <c r="BS991" s="1" t="s">
        <v>9812</v>
      </c>
      <c r="BT991" s="1" t="str">
        <f>HYPERLINK("https%3A%2F%2Fwww.webofscience.com%2Fwos%2Fwoscc%2Ffull-record%2FWOS:000663807000001","View Full Record in Web of Science")</f>
        <v>View Full Record in Web of Science</v>
      </c>
    </row>
    <row r="992" ht="12.75" customHeight="1">
      <c r="A992" s="1" t="s">
        <v>72</v>
      </c>
      <c r="B992" s="1" t="s">
        <v>9813</v>
      </c>
      <c r="C992" s="1" t="s">
        <v>74</v>
      </c>
      <c r="D992" s="1" t="s">
        <v>74</v>
      </c>
      <c r="E992" s="1" t="s">
        <v>74</v>
      </c>
      <c r="F992" s="1" t="s">
        <v>9814</v>
      </c>
      <c r="G992" s="1" t="s">
        <v>74</v>
      </c>
      <c r="H992" s="1" t="s">
        <v>74</v>
      </c>
      <c r="I992" s="1" t="s">
        <v>9815</v>
      </c>
      <c r="J992" s="1" t="s">
        <v>9816</v>
      </c>
      <c r="K992" s="1" t="s">
        <v>74</v>
      </c>
      <c r="L992" s="1" t="s">
        <v>74</v>
      </c>
      <c r="M992" s="1" t="s">
        <v>74</v>
      </c>
      <c r="N992" s="1" t="s">
        <v>74</v>
      </c>
      <c r="O992" s="1" t="s">
        <v>74</v>
      </c>
      <c r="P992" s="1" t="s">
        <v>74</v>
      </c>
      <c r="Q992" s="1" t="s">
        <v>74</v>
      </c>
      <c r="R992" s="1" t="s">
        <v>74</v>
      </c>
      <c r="S992" s="1" t="s">
        <v>74</v>
      </c>
      <c r="T992" s="1" t="s">
        <v>74</v>
      </c>
      <c r="U992" s="1" t="s">
        <v>74</v>
      </c>
      <c r="V992" s="1" t="s">
        <v>9817</v>
      </c>
      <c r="W992" s="1" t="s">
        <v>74</v>
      </c>
      <c r="X992" s="1" t="s">
        <v>74</v>
      </c>
      <c r="Y992" s="1" t="s">
        <v>74</v>
      </c>
      <c r="Z992" s="1" t="s">
        <v>74</v>
      </c>
      <c r="AA992" s="1" t="s">
        <v>74</v>
      </c>
      <c r="AB992" s="1" t="s">
        <v>9818</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9819</v>
      </c>
      <c r="AP992" s="1" t="s">
        <v>9820</v>
      </c>
      <c r="AQ992" s="1" t="s">
        <v>74</v>
      </c>
      <c r="AR992" s="1" t="s">
        <v>74</v>
      </c>
      <c r="AS992" s="1" t="s">
        <v>74</v>
      </c>
      <c r="AT992" s="1" t="s">
        <v>568</v>
      </c>
      <c r="AU992" s="1">
        <v>2020.0</v>
      </c>
      <c r="AV992" s="1">
        <v>37.0</v>
      </c>
      <c r="AW992" s="1">
        <v>7.0</v>
      </c>
      <c r="AX992" s="1" t="s">
        <v>74</v>
      </c>
      <c r="AY992" s="1" t="s">
        <v>74</v>
      </c>
      <c r="AZ992" s="1" t="s">
        <v>74</v>
      </c>
      <c r="BA992" s="1" t="s">
        <v>74</v>
      </c>
      <c r="BB992" s="1">
        <v>1216.0</v>
      </c>
      <c r="BC992" s="1">
        <v>1228.0</v>
      </c>
      <c r="BD992" s="1" t="s">
        <v>74</v>
      </c>
      <c r="BE992" s="1" t="s">
        <v>9821</v>
      </c>
      <c r="BF992" s="2" t="str">
        <f>HYPERLINK("http://dx.doi.org/10.1080/19440049.2020.1750710","http://dx.doi.org/10.1080/19440049.2020.1750710")</f>
        <v>http://dx.doi.org/10.1080/19440049.2020.1750710</v>
      </c>
      <c r="BG992" s="1" t="s">
        <v>74</v>
      </c>
      <c r="BH992" s="1" t="s">
        <v>8003</v>
      </c>
      <c r="BI992" s="1" t="s">
        <v>74</v>
      </c>
      <c r="BJ992" s="1" t="s">
        <v>74</v>
      </c>
      <c r="BK992" s="1" t="s">
        <v>74</v>
      </c>
      <c r="BL992" s="1" t="s">
        <v>74</v>
      </c>
      <c r="BM992" s="1" t="s">
        <v>74</v>
      </c>
      <c r="BN992" s="1">
        <v>3.2515303E7</v>
      </c>
      <c r="BO992" s="1" t="s">
        <v>74</v>
      </c>
      <c r="BP992" s="1" t="s">
        <v>74</v>
      </c>
      <c r="BQ992" s="1" t="s">
        <v>74</v>
      </c>
      <c r="BR992" s="1" t="s">
        <v>74</v>
      </c>
      <c r="BS992" s="1" t="s">
        <v>9822</v>
      </c>
      <c r="BT992" s="1" t="str">
        <f>HYPERLINK("https%3A%2F%2Fwww.webofscience.com%2Fwos%2Fwoscc%2Ffull-record%2FWOS:000543573700001","View Full Record in Web of Science")</f>
        <v>View Full Record in Web of Science</v>
      </c>
    </row>
    <row r="993" ht="12.75" customHeight="1">
      <c r="A993" s="1" t="s">
        <v>72</v>
      </c>
      <c r="B993" s="1" t="s">
        <v>9823</v>
      </c>
      <c r="C993" s="1" t="s">
        <v>74</v>
      </c>
      <c r="D993" s="1" t="s">
        <v>74</v>
      </c>
      <c r="E993" s="1" t="s">
        <v>74</v>
      </c>
      <c r="F993" s="1" t="s">
        <v>9824</v>
      </c>
      <c r="G993" s="1" t="s">
        <v>74</v>
      </c>
      <c r="H993" s="1" t="s">
        <v>74</v>
      </c>
      <c r="I993" s="1" t="s">
        <v>9825</v>
      </c>
      <c r="J993" s="1" t="s">
        <v>9826</v>
      </c>
      <c r="K993" s="1" t="s">
        <v>74</v>
      </c>
      <c r="L993" s="1" t="s">
        <v>74</v>
      </c>
      <c r="M993" s="1" t="s">
        <v>74</v>
      </c>
      <c r="N993" s="1" t="s">
        <v>74</v>
      </c>
      <c r="O993" s="1" t="s">
        <v>74</v>
      </c>
      <c r="P993" s="1" t="s">
        <v>74</v>
      </c>
      <c r="Q993" s="1" t="s">
        <v>74</v>
      </c>
      <c r="R993" s="1" t="s">
        <v>74</v>
      </c>
      <c r="S993" s="1" t="s">
        <v>74</v>
      </c>
      <c r="T993" s="1" t="s">
        <v>74</v>
      </c>
      <c r="U993" s="1" t="s">
        <v>74</v>
      </c>
      <c r="V993" s="1" t="s">
        <v>9827</v>
      </c>
      <c r="W993" s="1" t="s">
        <v>74</v>
      </c>
      <c r="X993" s="1" t="s">
        <v>74</v>
      </c>
      <c r="Y993" s="1" t="s">
        <v>74</v>
      </c>
      <c r="Z993" s="1" t="s">
        <v>74</v>
      </c>
      <c r="AA993" s="1" t="s">
        <v>9828</v>
      </c>
      <c r="AB993" s="1" t="s">
        <v>9829</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9830</v>
      </c>
      <c r="AP993" s="1" t="s">
        <v>9831</v>
      </c>
      <c r="AQ993" s="1" t="s">
        <v>74</v>
      </c>
      <c r="AR993" s="1" t="s">
        <v>74</v>
      </c>
      <c r="AS993" s="1" t="s">
        <v>74</v>
      </c>
      <c r="AT993" s="1" t="s">
        <v>1106</v>
      </c>
      <c r="AU993" s="1">
        <v>2020.0</v>
      </c>
      <c r="AV993" s="1">
        <v>49.0</v>
      </c>
      <c r="AW993" s="1">
        <v>1.0</v>
      </c>
      <c r="AX993" s="1" t="s">
        <v>74</v>
      </c>
      <c r="AY993" s="1" t="s">
        <v>74</v>
      </c>
      <c r="AZ993" s="1" t="s">
        <v>569</v>
      </c>
      <c r="BA993" s="1" t="s">
        <v>74</v>
      </c>
      <c r="BB993" s="1">
        <v>419.0</v>
      </c>
      <c r="BC993" s="1">
        <v>428.0</v>
      </c>
      <c r="BD993" s="1" t="s">
        <v>74</v>
      </c>
      <c r="BE993" s="1" t="s">
        <v>9832</v>
      </c>
      <c r="BF993" s="2" t="str">
        <f>HYPERLINK("http://dx.doi.org/10.1007/s11664-019-07816-0","http://dx.doi.org/10.1007/s11664-019-07816-0")</f>
        <v>http://dx.doi.org/10.1007/s11664-019-07816-0</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9833</v>
      </c>
      <c r="BT993" s="1" t="str">
        <f>HYPERLINK("https%3A%2F%2Fwww.webofscience.com%2Fwos%2Fwoscc%2Ffull-record%2FWOS:000514136400042","View Full Record in Web of Science")</f>
        <v>View Full Record in Web of Science</v>
      </c>
    </row>
    <row r="994" ht="12.75" customHeight="1">
      <c r="A994" s="1" t="s">
        <v>207</v>
      </c>
      <c r="B994" s="1" t="s">
        <v>9834</v>
      </c>
      <c r="C994" s="1" t="s">
        <v>74</v>
      </c>
      <c r="D994" s="1" t="s">
        <v>74</v>
      </c>
      <c r="E994" s="1" t="s">
        <v>224</v>
      </c>
      <c r="F994" s="1" t="s">
        <v>9835</v>
      </c>
      <c r="G994" s="1" t="s">
        <v>74</v>
      </c>
      <c r="H994" s="1" t="s">
        <v>74</v>
      </c>
      <c r="I994" s="1" t="s">
        <v>9836</v>
      </c>
      <c r="J994" s="1" t="s">
        <v>227</v>
      </c>
      <c r="K994" s="1" t="s">
        <v>74</v>
      </c>
      <c r="L994" s="1" t="s">
        <v>74</v>
      </c>
      <c r="M994" s="1" t="s">
        <v>74</v>
      </c>
      <c r="N994" s="1" t="s">
        <v>74</v>
      </c>
      <c r="O994" s="1" t="s">
        <v>228</v>
      </c>
      <c r="P994" s="1" t="s">
        <v>229</v>
      </c>
      <c r="Q994" s="1" t="s">
        <v>230</v>
      </c>
      <c r="R994" s="1" t="s">
        <v>231</v>
      </c>
      <c r="S994" s="1" t="s">
        <v>74</v>
      </c>
      <c r="T994" s="1" t="s">
        <v>74</v>
      </c>
      <c r="U994" s="1" t="s">
        <v>74</v>
      </c>
      <c r="V994" s="1" t="s">
        <v>9837</v>
      </c>
      <c r="W994" s="1" t="s">
        <v>74</v>
      </c>
      <c r="X994" s="1" t="s">
        <v>74</v>
      </c>
      <c r="Y994" s="1" t="s">
        <v>74</v>
      </c>
      <c r="Z994" s="1" t="s">
        <v>74</v>
      </c>
      <c r="AA994" s="1" t="s">
        <v>7683</v>
      </c>
      <c r="AB994" s="1" t="s">
        <v>7684</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74</v>
      </c>
      <c r="AP994" s="1" t="s">
        <v>74</v>
      </c>
      <c r="AQ994" s="1" t="s">
        <v>235</v>
      </c>
      <c r="AR994" s="1" t="s">
        <v>74</v>
      </c>
      <c r="AS994" s="1" t="s">
        <v>74</v>
      </c>
      <c r="AT994" s="1" t="s">
        <v>74</v>
      </c>
      <c r="AU994" s="1">
        <v>2019.0</v>
      </c>
      <c r="AV994" s="1" t="s">
        <v>74</v>
      </c>
      <c r="AW994" s="1" t="s">
        <v>74</v>
      </c>
      <c r="AX994" s="1" t="s">
        <v>74</v>
      </c>
      <c r="AY994" s="1" t="s">
        <v>74</v>
      </c>
      <c r="AZ994" s="1" t="s">
        <v>74</v>
      </c>
      <c r="BA994" s="1" t="s">
        <v>74</v>
      </c>
      <c r="BB994" s="1" t="s">
        <v>74</v>
      </c>
      <c r="BC994" s="1" t="s">
        <v>74</v>
      </c>
      <c r="BD994" s="1" t="s">
        <v>74</v>
      </c>
      <c r="BE994" s="1" t="s">
        <v>9838</v>
      </c>
      <c r="BF994" s="2" t="str">
        <f>HYPERLINK("http://dx.doi.org/10.1109/chilecon47746.2019.8986857","http://dx.doi.org/10.1109/chilecon47746.2019.8986857")</f>
        <v>http://dx.doi.org/10.1109/chilecon47746.2019.8986857</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9839</v>
      </c>
      <c r="BT994" s="1" t="str">
        <f>HYPERLINK("https%3A%2F%2Fwww.webofscience.com%2Fwos%2Fwoscc%2Ffull-record%2FWOS:000542919100001","View Full Record in Web of Science")</f>
        <v>View Full Record in Web of Science</v>
      </c>
    </row>
    <row r="995" ht="12.75" customHeight="1">
      <c r="A995" s="1" t="s">
        <v>207</v>
      </c>
      <c r="B995" s="1" t="s">
        <v>9840</v>
      </c>
      <c r="C995" s="1" t="s">
        <v>74</v>
      </c>
      <c r="D995" s="1" t="s">
        <v>74</v>
      </c>
      <c r="E995" s="1" t="s">
        <v>224</v>
      </c>
      <c r="F995" s="1" t="s">
        <v>9841</v>
      </c>
      <c r="G995" s="1" t="s">
        <v>74</v>
      </c>
      <c r="H995" s="1" t="s">
        <v>74</v>
      </c>
      <c r="I995" s="1" t="s">
        <v>9842</v>
      </c>
      <c r="J995" s="1" t="s">
        <v>9843</v>
      </c>
      <c r="K995" s="1" t="s">
        <v>74</v>
      </c>
      <c r="L995" s="1" t="s">
        <v>74</v>
      </c>
      <c r="M995" s="1" t="s">
        <v>74</v>
      </c>
      <c r="N995" s="1" t="s">
        <v>74</v>
      </c>
      <c r="O995" s="1" t="s">
        <v>2934</v>
      </c>
      <c r="P995" s="1" t="s">
        <v>9844</v>
      </c>
      <c r="Q995" s="1" t="s">
        <v>9845</v>
      </c>
      <c r="R995" s="1" t="s">
        <v>9846</v>
      </c>
      <c r="S995" s="1" t="s">
        <v>9847</v>
      </c>
      <c r="T995" s="1" t="s">
        <v>74</v>
      </c>
      <c r="U995" s="1" t="s">
        <v>74</v>
      </c>
      <c r="V995" s="1" t="s">
        <v>9848</v>
      </c>
      <c r="W995" s="1" t="s">
        <v>74</v>
      </c>
      <c r="X995" s="1" t="s">
        <v>74</v>
      </c>
      <c r="Y995" s="1" t="s">
        <v>74</v>
      </c>
      <c r="Z995" s="1" t="s">
        <v>74</v>
      </c>
      <c r="AA995" s="1" t="s">
        <v>74</v>
      </c>
      <c r="AB995" s="1" t="s">
        <v>9849</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74</v>
      </c>
      <c r="AP995" s="1" t="s">
        <v>74</v>
      </c>
      <c r="AQ995" s="1" t="s">
        <v>9850</v>
      </c>
      <c r="AR995" s="1" t="s">
        <v>74</v>
      </c>
      <c r="AS995" s="1" t="s">
        <v>74</v>
      </c>
      <c r="AT995" s="1" t="s">
        <v>74</v>
      </c>
      <c r="AU995" s="1">
        <v>2019.0</v>
      </c>
      <c r="AV995" s="1" t="s">
        <v>74</v>
      </c>
      <c r="AW995" s="1" t="s">
        <v>74</v>
      </c>
      <c r="AX995" s="1" t="s">
        <v>74</v>
      </c>
      <c r="AY995" s="1" t="s">
        <v>74</v>
      </c>
      <c r="AZ995" s="1" t="s">
        <v>74</v>
      </c>
      <c r="BA995" s="1" t="s">
        <v>74</v>
      </c>
      <c r="BB995" s="1" t="s">
        <v>74</v>
      </c>
      <c r="BC995" s="1" t="s">
        <v>74</v>
      </c>
      <c r="BD995" s="1" t="s">
        <v>74</v>
      </c>
      <c r="BE995" s="1" t="s">
        <v>74</v>
      </c>
      <c r="BF995" s="1" t="s">
        <v>74</v>
      </c>
      <c r="BG995" s="1" t="s">
        <v>74</v>
      </c>
      <c r="BH995" s="1" t="s">
        <v>74</v>
      </c>
      <c r="BI995" s="1" t="s">
        <v>74</v>
      </c>
      <c r="BJ995" s="1" t="s">
        <v>74</v>
      </c>
      <c r="BK995" s="1" t="s">
        <v>74</v>
      </c>
      <c r="BL995" s="1" t="s">
        <v>74</v>
      </c>
      <c r="BM995" s="1" t="s">
        <v>74</v>
      </c>
      <c r="BN995" s="1" t="s">
        <v>74</v>
      </c>
      <c r="BO995" s="1" t="s">
        <v>74</v>
      </c>
      <c r="BP995" s="1" t="s">
        <v>74</v>
      </c>
      <c r="BQ995" s="1" t="s">
        <v>74</v>
      </c>
      <c r="BR995" s="1" t="s">
        <v>74</v>
      </c>
      <c r="BS995" s="1" t="s">
        <v>9851</v>
      </c>
      <c r="BT995" s="1" t="str">
        <f>HYPERLINK("https%3A%2F%2Fwww.webofscience.com%2Fwos%2Fwoscc%2Ffull-record%2FWOS:000494746200027","View Full Record in Web of Science")</f>
        <v>View Full Record in Web of Science</v>
      </c>
    </row>
    <row r="996" ht="12.75" customHeight="1">
      <c r="A996" s="1" t="s">
        <v>72</v>
      </c>
      <c r="B996" s="1" t="s">
        <v>9852</v>
      </c>
      <c r="C996" s="1" t="s">
        <v>74</v>
      </c>
      <c r="D996" s="1" t="s">
        <v>74</v>
      </c>
      <c r="E996" s="1" t="s">
        <v>74</v>
      </c>
      <c r="F996" s="1" t="s">
        <v>9853</v>
      </c>
      <c r="G996" s="1" t="s">
        <v>74</v>
      </c>
      <c r="H996" s="1" t="s">
        <v>74</v>
      </c>
      <c r="I996" s="1" t="s">
        <v>9854</v>
      </c>
      <c r="J996" s="1" t="s">
        <v>2262</v>
      </c>
      <c r="K996" s="1" t="s">
        <v>74</v>
      </c>
      <c r="L996" s="1" t="s">
        <v>74</v>
      </c>
      <c r="M996" s="1" t="s">
        <v>74</v>
      </c>
      <c r="N996" s="1" t="s">
        <v>74</v>
      </c>
      <c r="O996" s="1" t="s">
        <v>74</v>
      </c>
      <c r="P996" s="1" t="s">
        <v>74</v>
      </c>
      <c r="Q996" s="1" t="s">
        <v>74</v>
      </c>
      <c r="R996" s="1" t="s">
        <v>74</v>
      </c>
      <c r="S996" s="1" t="s">
        <v>74</v>
      </c>
      <c r="T996" s="1" t="s">
        <v>74</v>
      </c>
      <c r="U996" s="1" t="s">
        <v>74</v>
      </c>
      <c r="V996" s="1" t="s">
        <v>9855</v>
      </c>
      <c r="W996" s="1" t="s">
        <v>74</v>
      </c>
      <c r="X996" s="1" t="s">
        <v>74</v>
      </c>
      <c r="Y996" s="1" t="s">
        <v>74</v>
      </c>
      <c r="Z996" s="1" t="s">
        <v>74</v>
      </c>
      <c r="AA996" s="1" t="s">
        <v>9856</v>
      </c>
      <c r="AB996" s="1" t="s">
        <v>3682</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2266</v>
      </c>
      <c r="AP996" s="1" t="s">
        <v>2267</v>
      </c>
      <c r="AQ996" s="1" t="s">
        <v>74</v>
      </c>
      <c r="AR996" s="1" t="s">
        <v>74</v>
      </c>
      <c r="AS996" s="1" t="s">
        <v>74</v>
      </c>
      <c r="AT996" s="1" t="s">
        <v>3721</v>
      </c>
      <c r="AU996" s="1">
        <v>2018.0</v>
      </c>
      <c r="AV996" s="1">
        <v>264.0</v>
      </c>
      <c r="AW996" s="1" t="s">
        <v>74</v>
      </c>
      <c r="AX996" s="1" t="s">
        <v>74</v>
      </c>
      <c r="AY996" s="1" t="s">
        <v>74</v>
      </c>
      <c r="AZ996" s="1" t="s">
        <v>74</v>
      </c>
      <c r="BA996" s="1" t="s">
        <v>74</v>
      </c>
      <c r="BB996" s="1">
        <v>327.0</v>
      </c>
      <c r="BC996" s="1">
        <v>336.0</v>
      </c>
      <c r="BD996" s="1" t="s">
        <v>74</v>
      </c>
      <c r="BE996" s="1" t="s">
        <v>9857</v>
      </c>
      <c r="BF996" s="2" t="str">
        <f>HYPERLINK("http://dx.doi.org/10.1016/j.molliq.2018.05.042","http://dx.doi.org/10.1016/j.molliq.2018.05.042")</f>
        <v>http://dx.doi.org/10.1016/j.molliq.2018.05.042</v>
      </c>
      <c r="BG996" s="1" t="s">
        <v>74</v>
      </c>
      <c r="BH996" s="1" t="s">
        <v>74</v>
      </c>
      <c r="BI996" s="1" t="s">
        <v>74</v>
      </c>
      <c r="BJ996" s="1" t="s">
        <v>74</v>
      </c>
      <c r="BK996" s="1" t="s">
        <v>74</v>
      </c>
      <c r="BL996" s="1" t="s">
        <v>74</v>
      </c>
      <c r="BM996" s="1" t="s">
        <v>74</v>
      </c>
      <c r="BN996" s="1" t="s">
        <v>74</v>
      </c>
      <c r="BO996" s="1" t="s">
        <v>74</v>
      </c>
      <c r="BP996" s="1" t="s">
        <v>74</v>
      </c>
      <c r="BQ996" s="1" t="s">
        <v>74</v>
      </c>
      <c r="BR996" s="1" t="s">
        <v>74</v>
      </c>
      <c r="BS996" s="1" t="s">
        <v>9858</v>
      </c>
      <c r="BT996" s="1" t="str">
        <f>HYPERLINK("https%3A%2F%2Fwww.webofscience.com%2Fwos%2Fwoscc%2Ffull-record%2FWOS:000436913900040","View Full Record in Web of Science")</f>
        <v>View Full Record in Web of Science</v>
      </c>
    </row>
    <row r="997" ht="12.75" customHeight="1">
      <c r="A997" s="1" t="s">
        <v>72</v>
      </c>
      <c r="B997" s="1" t="s">
        <v>9859</v>
      </c>
      <c r="C997" s="1" t="s">
        <v>74</v>
      </c>
      <c r="D997" s="1" t="s">
        <v>74</v>
      </c>
      <c r="E997" s="1" t="s">
        <v>74</v>
      </c>
      <c r="F997" s="1" t="s">
        <v>9860</v>
      </c>
      <c r="G997" s="1" t="s">
        <v>74</v>
      </c>
      <c r="H997" s="1" t="s">
        <v>74</v>
      </c>
      <c r="I997" s="1" t="s">
        <v>9861</v>
      </c>
      <c r="J997" s="1" t="s">
        <v>9862</v>
      </c>
      <c r="K997" s="1" t="s">
        <v>74</v>
      </c>
      <c r="L997" s="1" t="s">
        <v>74</v>
      </c>
      <c r="M997" s="1" t="s">
        <v>74</v>
      </c>
      <c r="N997" s="1" t="s">
        <v>74</v>
      </c>
      <c r="O997" s="1" t="s">
        <v>74</v>
      </c>
      <c r="P997" s="1" t="s">
        <v>74</v>
      </c>
      <c r="Q997" s="1" t="s">
        <v>74</v>
      </c>
      <c r="R997" s="1" t="s">
        <v>74</v>
      </c>
      <c r="S997" s="1" t="s">
        <v>74</v>
      </c>
      <c r="T997" s="1" t="s">
        <v>74</v>
      </c>
      <c r="U997" s="1" t="s">
        <v>74</v>
      </c>
      <c r="V997" s="1" t="s">
        <v>9863</v>
      </c>
      <c r="W997" s="1" t="s">
        <v>74</v>
      </c>
      <c r="X997" s="1" t="s">
        <v>74</v>
      </c>
      <c r="Y997" s="1" t="s">
        <v>74</v>
      </c>
      <c r="Z997" s="1" t="s">
        <v>74</v>
      </c>
      <c r="AA997" s="1" t="s">
        <v>1338</v>
      </c>
      <c r="AB997" s="1" t="s">
        <v>1339</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9864</v>
      </c>
      <c r="AP997" s="1" t="s">
        <v>9865</v>
      </c>
      <c r="AQ997" s="1" t="s">
        <v>74</v>
      </c>
      <c r="AR997" s="1" t="s">
        <v>74</v>
      </c>
      <c r="AS997" s="1" t="s">
        <v>74</v>
      </c>
      <c r="AT997" s="1" t="s">
        <v>775</v>
      </c>
      <c r="AU997" s="1">
        <v>2018.0</v>
      </c>
      <c r="AV997" s="1">
        <v>274.0</v>
      </c>
      <c r="AW997" s="1">
        <v>9.0</v>
      </c>
      <c r="AX997" s="1" t="s">
        <v>74</v>
      </c>
      <c r="AY997" s="1" t="s">
        <v>74</v>
      </c>
      <c r="AZ997" s="1" t="s">
        <v>74</v>
      </c>
      <c r="BA997" s="1" t="s">
        <v>74</v>
      </c>
      <c r="BB997" s="1">
        <v>2499.0</v>
      </c>
      <c r="BC997" s="1">
        <v>2531.0</v>
      </c>
      <c r="BD997" s="1" t="s">
        <v>74</v>
      </c>
      <c r="BE997" s="1" t="s">
        <v>9866</v>
      </c>
      <c r="BF997" s="2" t="str">
        <f>HYPERLINK("http://dx.doi.org/10.1016/j.jfa.2017.10.007","http://dx.doi.org/10.1016/j.jfa.2017.10.007")</f>
        <v>http://dx.doi.org/10.1016/j.jfa.2017.10.007</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9867</v>
      </c>
      <c r="BT997" s="1" t="str">
        <f>HYPERLINK("https%3A%2F%2Fwww.webofscience.com%2Fwos%2Fwoscc%2Ffull-record%2FWOS:000428966100002","View Full Record in Web of Science")</f>
        <v>View Full Record in Web of Science</v>
      </c>
    </row>
    <row r="998" ht="12.75" customHeight="1">
      <c r="A998" s="1" t="s">
        <v>72</v>
      </c>
      <c r="B998" s="1" t="s">
        <v>9868</v>
      </c>
      <c r="C998" s="1" t="s">
        <v>74</v>
      </c>
      <c r="D998" s="1" t="s">
        <v>74</v>
      </c>
      <c r="E998" s="1" t="s">
        <v>74</v>
      </c>
      <c r="F998" s="1" t="s">
        <v>9869</v>
      </c>
      <c r="G998" s="1" t="s">
        <v>74</v>
      </c>
      <c r="H998" s="1" t="s">
        <v>74</v>
      </c>
      <c r="I998" s="1" t="s">
        <v>9870</v>
      </c>
      <c r="J998" s="1" t="s">
        <v>9871</v>
      </c>
      <c r="K998" s="1" t="s">
        <v>74</v>
      </c>
      <c r="L998" s="1" t="s">
        <v>74</v>
      </c>
      <c r="M998" s="1" t="s">
        <v>74</v>
      </c>
      <c r="N998" s="1" t="s">
        <v>74</v>
      </c>
      <c r="O998" s="1" t="s">
        <v>74</v>
      </c>
      <c r="P998" s="1" t="s">
        <v>74</v>
      </c>
      <c r="Q998" s="1" t="s">
        <v>74</v>
      </c>
      <c r="R998" s="1" t="s">
        <v>74</v>
      </c>
      <c r="S998" s="1" t="s">
        <v>74</v>
      </c>
      <c r="T998" s="1" t="s">
        <v>74</v>
      </c>
      <c r="U998" s="1" t="s">
        <v>74</v>
      </c>
      <c r="V998" s="1" t="s">
        <v>9872</v>
      </c>
      <c r="W998" s="1" t="s">
        <v>74</v>
      </c>
      <c r="X998" s="1" t="s">
        <v>74</v>
      </c>
      <c r="Y998" s="1" t="s">
        <v>74</v>
      </c>
      <c r="Z998" s="1" t="s">
        <v>74</v>
      </c>
      <c r="AA998" s="1" t="s">
        <v>9873</v>
      </c>
      <c r="AB998" s="1" t="s">
        <v>9874</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9875</v>
      </c>
      <c r="AP998" s="1" t="s">
        <v>9876</v>
      </c>
      <c r="AQ998" s="1" t="s">
        <v>74</v>
      </c>
      <c r="AR998" s="1" t="s">
        <v>74</v>
      </c>
      <c r="AS998" s="1" t="s">
        <v>74</v>
      </c>
      <c r="AT998" s="1" t="s">
        <v>1106</v>
      </c>
      <c r="AU998" s="1">
        <v>2017.0</v>
      </c>
      <c r="AV998" s="1">
        <v>94.0</v>
      </c>
      <c r="AW998" s="1">
        <v>1.0</v>
      </c>
      <c r="AX998" s="1" t="s">
        <v>74</v>
      </c>
      <c r="AY998" s="1" t="s">
        <v>74</v>
      </c>
      <c r="AZ998" s="1" t="s">
        <v>74</v>
      </c>
      <c r="BA998" s="1" t="s">
        <v>74</v>
      </c>
      <c r="BB998" s="1">
        <v>99.0</v>
      </c>
      <c r="BC998" s="1">
        <v>105.0</v>
      </c>
      <c r="BD998" s="1" t="s">
        <v>74</v>
      </c>
      <c r="BE998" s="1" t="s">
        <v>9877</v>
      </c>
      <c r="BF998" s="2" t="str">
        <f>HYPERLINK("http://dx.doi.org/10.1007/s11746-016-2920-8","http://dx.doi.org/10.1007/s11746-016-2920-8")</f>
        <v>http://dx.doi.org/10.1007/s11746-016-2920-8</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9878</v>
      </c>
      <c r="BT998" s="1" t="str">
        <f>HYPERLINK("https%3A%2F%2Fwww.webofscience.com%2Fwos%2Fwoscc%2Ffull-record%2FWOS:000393586000010","View Full Record in Web of Science")</f>
        <v>View Full Record in Web of Science</v>
      </c>
    </row>
    <row r="999" ht="12.75" customHeight="1">
      <c r="A999" s="1" t="s">
        <v>72</v>
      </c>
      <c r="B999" s="1" t="s">
        <v>9879</v>
      </c>
      <c r="C999" s="1" t="s">
        <v>74</v>
      </c>
      <c r="D999" s="1" t="s">
        <v>74</v>
      </c>
      <c r="E999" s="1" t="s">
        <v>74</v>
      </c>
      <c r="F999" s="1" t="s">
        <v>9880</v>
      </c>
      <c r="G999" s="1" t="s">
        <v>74</v>
      </c>
      <c r="H999" s="1" t="s">
        <v>74</v>
      </c>
      <c r="I999" s="1" t="s">
        <v>9881</v>
      </c>
      <c r="J999" s="1" t="s">
        <v>9882</v>
      </c>
      <c r="K999" s="1" t="s">
        <v>74</v>
      </c>
      <c r="L999" s="1" t="s">
        <v>74</v>
      </c>
      <c r="M999" s="1" t="s">
        <v>74</v>
      </c>
      <c r="N999" s="1" t="s">
        <v>74</v>
      </c>
      <c r="O999" s="1" t="s">
        <v>74</v>
      </c>
      <c r="P999" s="1" t="s">
        <v>74</v>
      </c>
      <c r="Q999" s="1" t="s">
        <v>74</v>
      </c>
      <c r="R999" s="1" t="s">
        <v>74</v>
      </c>
      <c r="S999" s="1" t="s">
        <v>74</v>
      </c>
      <c r="T999" s="1" t="s">
        <v>74</v>
      </c>
      <c r="U999" s="1" t="s">
        <v>74</v>
      </c>
      <c r="V999" s="1" t="s">
        <v>9883</v>
      </c>
      <c r="W999" s="1" t="s">
        <v>74</v>
      </c>
      <c r="X999" s="1" t="s">
        <v>74</v>
      </c>
      <c r="Y999" s="1" t="s">
        <v>74</v>
      </c>
      <c r="Z999" s="1" t="s">
        <v>74</v>
      </c>
      <c r="AA999" s="1" t="s">
        <v>9884</v>
      </c>
      <c r="AB999" s="1" t="s">
        <v>9885</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9886</v>
      </c>
      <c r="AP999" s="1" t="s">
        <v>9887</v>
      </c>
      <c r="AQ999" s="1" t="s">
        <v>74</v>
      </c>
      <c r="AR999" s="1" t="s">
        <v>74</v>
      </c>
      <c r="AS999" s="1" t="s">
        <v>74</v>
      </c>
      <c r="AT999" s="1" t="s">
        <v>164</v>
      </c>
      <c r="AU999" s="1">
        <v>2016.0</v>
      </c>
      <c r="AV999" s="1">
        <v>36.0</v>
      </c>
      <c r="AW999" s="1">
        <v>12.0</v>
      </c>
      <c r="AX999" s="1" t="s">
        <v>74</v>
      </c>
      <c r="AY999" s="1" t="s">
        <v>74</v>
      </c>
      <c r="AZ999" s="1" t="s">
        <v>74</v>
      </c>
      <c r="BA999" s="1" t="s">
        <v>74</v>
      </c>
      <c r="BB999" s="1">
        <v>2194.0</v>
      </c>
      <c r="BC999" s="1">
        <v>2202.0</v>
      </c>
      <c r="BD999" s="1" t="s">
        <v>74</v>
      </c>
      <c r="BE999" s="1" t="s">
        <v>9888</v>
      </c>
      <c r="BF999" s="2" t="str">
        <f>HYPERLINK("http://dx.doi.org/10.1177/0271678X15615874","http://dx.doi.org/10.1177/0271678X15615874")</f>
        <v>http://dx.doi.org/10.1177/0271678X15615874</v>
      </c>
      <c r="BG999" s="1" t="s">
        <v>74</v>
      </c>
      <c r="BH999" s="1" t="s">
        <v>74</v>
      </c>
      <c r="BI999" s="1" t="s">
        <v>74</v>
      </c>
      <c r="BJ999" s="1" t="s">
        <v>74</v>
      </c>
      <c r="BK999" s="1" t="s">
        <v>74</v>
      </c>
      <c r="BL999" s="1" t="s">
        <v>74</v>
      </c>
      <c r="BM999" s="1" t="s">
        <v>74</v>
      </c>
      <c r="BN999" s="1">
        <v>2.666123E7</v>
      </c>
      <c r="BO999" s="1" t="s">
        <v>74</v>
      </c>
      <c r="BP999" s="1" t="s">
        <v>74</v>
      </c>
      <c r="BQ999" s="1" t="s">
        <v>74</v>
      </c>
      <c r="BR999" s="1" t="s">
        <v>74</v>
      </c>
      <c r="BS999" s="1" t="s">
        <v>9889</v>
      </c>
      <c r="BT999" s="1" t="str">
        <f>HYPERLINK("https%3A%2F%2Fwww.webofscience.com%2Fwos%2Fwoscc%2Ffull-record%2FWOS:000389138200016","View Full Record in Web of Science")</f>
        <v>View Full Record in Web of Science</v>
      </c>
    </row>
    <row r="1000" ht="12.75" customHeight="1">
      <c r="A1000" s="1" t="s">
        <v>748</v>
      </c>
      <c r="B1000" s="1" t="s">
        <v>9890</v>
      </c>
      <c r="C1000" s="1" t="s">
        <v>74</v>
      </c>
      <c r="D1000" s="1" t="s">
        <v>9891</v>
      </c>
      <c r="E1000" s="1" t="s">
        <v>74</v>
      </c>
      <c r="F1000" s="1" t="s">
        <v>9892</v>
      </c>
      <c r="G1000" s="1" t="s">
        <v>74</v>
      </c>
      <c r="H1000" s="1" t="s">
        <v>74</v>
      </c>
      <c r="I1000" s="1" t="s">
        <v>9893</v>
      </c>
      <c r="J1000" s="1" t="s">
        <v>9894</v>
      </c>
      <c r="K1000" s="1" t="s">
        <v>74</v>
      </c>
      <c r="L1000" s="1" t="s">
        <v>74</v>
      </c>
      <c r="M1000" s="1" t="s">
        <v>74</v>
      </c>
      <c r="N1000" s="1" t="s">
        <v>74</v>
      </c>
      <c r="O1000" s="1" t="s">
        <v>74</v>
      </c>
      <c r="P1000" s="1" t="s">
        <v>74</v>
      </c>
      <c r="Q1000" s="1" t="s">
        <v>74</v>
      </c>
      <c r="R1000" s="1" t="s">
        <v>74</v>
      </c>
      <c r="S1000" s="1" t="s">
        <v>74</v>
      </c>
      <c r="T1000" s="1" t="s">
        <v>74</v>
      </c>
      <c r="U1000" s="1" t="s">
        <v>74</v>
      </c>
      <c r="V1000" s="1" t="s">
        <v>74</v>
      </c>
      <c r="W1000" s="1" t="s">
        <v>74</v>
      </c>
      <c r="X1000" s="1" t="s">
        <v>74</v>
      </c>
      <c r="Y1000" s="1" t="s">
        <v>74</v>
      </c>
      <c r="Z1000" s="1" t="s">
        <v>74</v>
      </c>
      <c r="AA1000" s="1" t="s">
        <v>74</v>
      </c>
      <c r="AB1000" s="1" t="s">
        <v>74</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74</v>
      </c>
      <c r="AP1000" s="1" t="s">
        <v>74</v>
      </c>
      <c r="AQ1000" s="1" t="s">
        <v>9895</v>
      </c>
      <c r="AR1000" s="1" t="s">
        <v>74</v>
      </c>
      <c r="AS1000" s="1" t="s">
        <v>74</v>
      </c>
      <c r="AT1000" s="1" t="s">
        <v>74</v>
      </c>
      <c r="AU1000" s="1">
        <v>2016.0</v>
      </c>
      <c r="AV1000" s="1" t="s">
        <v>74</v>
      </c>
      <c r="AW1000" s="1" t="s">
        <v>74</v>
      </c>
      <c r="AX1000" s="1" t="s">
        <v>74</v>
      </c>
      <c r="AY1000" s="1" t="s">
        <v>74</v>
      </c>
      <c r="AZ1000" s="1" t="s">
        <v>74</v>
      </c>
      <c r="BA1000" s="1" t="s">
        <v>74</v>
      </c>
      <c r="BB1000" s="1">
        <v>17.0</v>
      </c>
      <c r="BC1000" s="1">
        <v>36.0</v>
      </c>
      <c r="BD1000" s="1" t="s">
        <v>74</v>
      </c>
      <c r="BE1000" s="1" t="s">
        <v>74</v>
      </c>
      <c r="BF1000" s="1" t="s">
        <v>74</v>
      </c>
      <c r="BG1000" s="1" t="s">
        <v>9896</v>
      </c>
      <c r="BH1000" s="1" t="s">
        <v>74</v>
      </c>
      <c r="BI1000" s="1" t="s">
        <v>74</v>
      </c>
      <c r="BJ1000" s="1" t="s">
        <v>74</v>
      </c>
      <c r="BK1000" s="1" t="s">
        <v>74</v>
      </c>
      <c r="BL1000" s="1" t="s">
        <v>74</v>
      </c>
      <c r="BM1000" s="1" t="s">
        <v>74</v>
      </c>
      <c r="BN1000" s="1" t="s">
        <v>74</v>
      </c>
      <c r="BO1000" s="1" t="s">
        <v>74</v>
      </c>
      <c r="BP1000" s="1" t="s">
        <v>74</v>
      </c>
      <c r="BQ1000" s="1" t="s">
        <v>74</v>
      </c>
      <c r="BR1000" s="1" t="s">
        <v>74</v>
      </c>
      <c r="BS1000" s="1" t="s">
        <v>9897</v>
      </c>
      <c r="BT1000" s="1" t="str">
        <f>HYPERLINK("https%3A%2F%2Fwww.webofscience.com%2Fwos%2Fwoscc%2Ffull-record%2FWOS:000570893300003","View Full Record in Web of Science")</f>
        <v>View Full Record in Web of Science</v>
      </c>
    </row>
    <row r="1001" ht="12.75" customHeight="1">
      <c r="A1001" s="1" t="s">
        <v>72</v>
      </c>
      <c r="B1001" s="1" t="s">
        <v>9898</v>
      </c>
      <c r="C1001" s="1" t="s">
        <v>74</v>
      </c>
      <c r="D1001" s="1" t="s">
        <v>74</v>
      </c>
      <c r="E1001" s="1" t="s">
        <v>74</v>
      </c>
      <c r="F1001" s="1" t="s">
        <v>9899</v>
      </c>
      <c r="G1001" s="1" t="s">
        <v>74</v>
      </c>
      <c r="H1001" s="1" t="s">
        <v>74</v>
      </c>
      <c r="I1001" s="1" t="s">
        <v>9900</v>
      </c>
      <c r="J1001" s="1" t="s">
        <v>1959</v>
      </c>
      <c r="K1001" s="1" t="s">
        <v>74</v>
      </c>
      <c r="L1001" s="1" t="s">
        <v>74</v>
      </c>
      <c r="M1001" s="1" t="s">
        <v>74</v>
      </c>
      <c r="N1001" s="1" t="s">
        <v>74</v>
      </c>
      <c r="O1001" s="1" t="s">
        <v>74</v>
      </c>
      <c r="P1001" s="1" t="s">
        <v>74</v>
      </c>
      <c r="Q1001" s="1" t="s">
        <v>74</v>
      </c>
      <c r="R1001" s="1" t="s">
        <v>74</v>
      </c>
      <c r="S1001" s="1" t="s">
        <v>74</v>
      </c>
      <c r="T1001" s="1" t="s">
        <v>74</v>
      </c>
      <c r="U1001" s="1" t="s">
        <v>74</v>
      </c>
      <c r="V1001" s="1" t="s">
        <v>9901</v>
      </c>
      <c r="W1001" s="1" t="s">
        <v>74</v>
      </c>
      <c r="X1001" s="1" t="s">
        <v>74</v>
      </c>
      <c r="Y1001" s="1" t="s">
        <v>74</v>
      </c>
      <c r="Z1001" s="1" t="s">
        <v>74</v>
      </c>
      <c r="AA1001" s="1" t="s">
        <v>4553</v>
      </c>
      <c r="AB1001" s="1" t="s">
        <v>4554</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1963</v>
      </c>
      <c r="AP1001" s="1" t="s">
        <v>74</v>
      </c>
      <c r="AQ1001" s="1" t="s">
        <v>74</v>
      </c>
      <c r="AR1001" s="1" t="s">
        <v>74</v>
      </c>
      <c r="AS1001" s="1" t="s">
        <v>74</v>
      </c>
      <c r="AT1001" s="1" t="s">
        <v>6646</v>
      </c>
      <c r="AU1001" s="1">
        <v>2015.0</v>
      </c>
      <c r="AV1001" s="1">
        <v>5.0</v>
      </c>
      <c r="AW1001" s="1" t="s">
        <v>74</v>
      </c>
      <c r="AX1001" s="1" t="s">
        <v>74</v>
      </c>
      <c r="AY1001" s="1" t="s">
        <v>74</v>
      </c>
      <c r="AZ1001" s="1" t="s">
        <v>74</v>
      </c>
      <c r="BA1001" s="1" t="s">
        <v>74</v>
      </c>
      <c r="BB1001" s="1" t="s">
        <v>74</v>
      </c>
      <c r="BC1001" s="1" t="s">
        <v>74</v>
      </c>
      <c r="BD1001" s="1">
        <v>12506.0</v>
      </c>
      <c r="BE1001" s="1" t="s">
        <v>9902</v>
      </c>
      <c r="BF1001" s="2" t="str">
        <f>HYPERLINK("http://dx.doi.org/10.1038/srep12506","http://dx.doi.org/10.1038/srep12506")</f>
        <v>http://dx.doi.org/10.1038/srep12506</v>
      </c>
      <c r="BG1001" s="1" t="s">
        <v>74</v>
      </c>
      <c r="BH1001" s="1" t="s">
        <v>74</v>
      </c>
      <c r="BI1001" s="1" t="s">
        <v>74</v>
      </c>
      <c r="BJ1001" s="1" t="s">
        <v>74</v>
      </c>
      <c r="BK1001" s="1" t="s">
        <v>74</v>
      </c>
      <c r="BL1001" s="1" t="s">
        <v>74</v>
      </c>
      <c r="BM1001" s="1" t="s">
        <v>74</v>
      </c>
      <c r="BN1001" s="1">
        <v>2.6224119E7</v>
      </c>
      <c r="BO1001" s="1" t="s">
        <v>74</v>
      </c>
      <c r="BP1001" s="1" t="s">
        <v>74</v>
      </c>
      <c r="BQ1001" s="1" t="s">
        <v>74</v>
      </c>
      <c r="BR1001" s="1" t="s">
        <v>74</v>
      </c>
      <c r="BS1001" s="1" t="s">
        <v>9903</v>
      </c>
      <c r="BT1001" s="1" t="str">
        <f>HYPERLINK("https%3A%2F%2Fwww.webofscience.com%2Fwos%2Fwoscc%2Ffull-record%2FWOS:000358867500001","View Full Record in Web of Science")</f>
        <v>View Full Record in Web of Science</v>
      </c>
    </row>
  </sheetData>
  <printOptions/>
  <pageMargins bottom="0.75" footer="0.0" header="0.0" left="0.7" right="0.7" top="0.75"/>
  <pageSetup orientation="landscape"/>
  <drawing r:id="rId1"/>
</worksheet>
</file>